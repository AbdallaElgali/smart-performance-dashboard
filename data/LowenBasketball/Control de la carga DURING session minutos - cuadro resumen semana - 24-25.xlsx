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1" documentId="13_ncr:1_{0C1250AE-8F59-404A-BC61-120660E3B6D1}" xr6:coauthVersionLast="47" xr6:coauthVersionMax="47" xr10:uidLastSave="{A898E25D-9452-4261-B559-29406B3C4F10}"/>
  <bookViews>
    <workbookView xWindow="-120" yWindow="-120" windowWidth="51840" windowHeight="21120" xr2:uid="{00000000-000D-0000-FFFF-FFFF00000000}"/>
  </bookViews>
  <sheets>
    <sheet name="Contenidos de la semana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2" l="1"/>
  <c r="C49" i="2"/>
  <c r="C33" i="2"/>
  <c r="AL8" i="2"/>
  <c r="AL7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4" i="2"/>
  <c r="BB34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4" i="2"/>
  <c r="AV34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4" i="2"/>
  <c r="AP34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4" i="2"/>
  <c r="AJ34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4" i="2"/>
  <c r="AD34" i="2"/>
  <c r="Z21" i="2"/>
  <c r="Z22" i="2"/>
  <c r="Z23" i="2"/>
  <c r="Z24" i="2"/>
  <c r="Z25" i="2"/>
  <c r="Z26" i="2"/>
  <c r="Z27" i="2"/>
  <c r="Z28" i="2"/>
  <c r="Z29" i="2"/>
  <c r="Z30" i="2"/>
  <c r="Z31" i="2"/>
  <c r="Z32" i="2"/>
  <c r="Z34" i="2"/>
  <c r="X34" i="2"/>
  <c r="T21" i="2"/>
  <c r="T22" i="2"/>
  <c r="T23" i="2"/>
  <c r="T24" i="2"/>
  <c r="T25" i="2"/>
  <c r="T26" i="2"/>
  <c r="T27" i="2"/>
  <c r="T28" i="2"/>
  <c r="T29" i="2"/>
  <c r="T30" i="2"/>
  <c r="T31" i="2"/>
  <c r="T32" i="2"/>
  <c r="T34" i="2"/>
  <c r="R34" i="2"/>
  <c r="BA33" i="2"/>
  <c r="BD33" i="2"/>
  <c r="BB33" i="2"/>
  <c r="AU33" i="2"/>
  <c r="AX33" i="2"/>
  <c r="AV33" i="2"/>
  <c r="AO33" i="2"/>
  <c r="AR33" i="2"/>
  <c r="AP33" i="2"/>
  <c r="AI33" i="2"/>
  <c r="AL33" i="2"/>
  <c r="AJ33" i="2"/>
  <c r="AC33" i="2"/>
  <c r="AF33" i="2"/>
  <c r="AD33" i="2"/>
  <c r="W33" i="2"/>
  <c r="Z33" i="2"/>
  <c r="X33" i="2"/>
  <c r="Q33" i="2"/>
  <c r="T33" i="2"/>
  <c r="R33" i="2"/>
  <c r="BB19" i="2"/>
  <c r="BB18" i="2"/>
  <c r="BA18" i="2"/>
  <c r="C36" i="2" s="1"/>
  <c r="BD17" i="2"/>
  <c r="BD16" i="2"/>
  <c r="BD15" i="2"/>
  <c r="BD14" i="2"/>
  <c r="BD13" i="2"/>
  <c r="BD12" i="2"/>
  <c r="BD11" i="2"/>
  <c r="BD10" i="2"/>
  <c r="BD9" i="2"/>
  <c r="BD8" i="2"/>
  <c r="BD7" i="2"/>
  <c r="BD18" i="2"/>
  <c r="BD6" i="2"/>
  <c r="BD19" i="2"/>
  <c r="AV19" i="2"/>
  <c r="AU18" i="2"/>
  <c r="AV18" i="2" s="1"/>
  <c r="AX6" i="2"/>
  <c r="AX13" i="2"/>
  <c r="AX7" i="2"/>
  <c r="AX8" i="2"/>
  <c r="AX9" i="2"/>
  <c r="AX10" i="2"/>
  <c r="AX11" i="2"/>
  <c r="AX12" i="2"/>
  <c r="AX17" i="2"/>
  <c r="AX16" i="2"/>
  <c r="AX15" i="2"/>
  <c r="AX14" i="2"/>
  <c r="AX19" i="2"/>
  <c r="AP19" i="2"/>
  <c r="AO18" i="2"/>
  <c r="AP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18" i="2"/>
  <c r="AR19" i="2"/>
  <c r="AJ19" i="2"/>
  <c r="AI18" i="2"/>
  <c r="AJ18" i="2"/>
  <c r="AL6" i="2"/>
  <c r="AL9" i="2"/>
  <c r="AL10" i="2"/>
  <c r="AL11" i="2"/>
  <c r="AL12" i="2"/>
  <c r="AL13" i="2"/>
  <c r="AL14" i="2"/>
  <c r="AL15" i="2"/>
  <c r="AL16" i="2"/>
  <c r="AL17" i="2"/>
  <c r="AL18" i="2"/>
  <c r="AL19" i="2"/>
  <c r="AD19" i="2"/>
  <c r="AD18" i="2"/>
  <c r="AC18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19" i="2"/>
  <c r="X19" i="2"/>
  <c r="X18" i="2"/>
  <c r="W18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19" i="2"/>
  <c r="T7" i="2"/>
  <c r="T8" i="2"/>
  <c r="T9" i="2"/>
  <c r="T10" i="2"/>
  <c r="T11" i="2"/>
  <c r="T12" i="2"/>
  <c r="T13" i="2"/>
  <c r="T14" i="2"/>
  <c r="T15" i="2"/>
  <c r="T16" i="2"/>
  <c r="T17" i="2"/>
  <c r="T6" i="2"/>
  <c r="C45" i="2"/>
  <c r="C55" i="2"/>
  <c r="C56" i="2"/>
  <c r="C10" i="2"/>
  <c r="C11" i="2"/>
  <c r="C31" i="2"/>
  <c r="C32" i="2"/>
  <c r="C30" i="2"/>
  <c r="C29" i="2"/>
  <c r="C15" i="2"/>
  <c r="C8" i="2"/>
  <c r="C18" i="2"/>
  <c r="C19" i="2"/>
  <c r="C21" i="2"/>
  <c r="C22" i="2"/>
  <c r="C23" i="2"/>
  <c r="C24" i="2"/>
  <c r="C25" i="2"/>
  <c r="C26" i="2"/>
  <c r="C27" i="2"/>
  <c r="C28" i="2"/>
  <c r="C6" i="2"/>
  <c r="C9" i="2"/>
  <c r="C14" i="2"/>
  <c r="C13" i="2"/>
  <c r="C12" i="2"/>
  <c r="C7" i="2"/>
  <c r="C46" i="2" s="1"/>
  <c r="C20" i="2"/>
  <c r="C16" i="2"/>
  <c r="C17" i="2"/>
  <c r="C44" i="2" s="1" a="1"/>
  <c r="C44" i="2" s="1"/>
  <c r="R19" i="2"/>
  <c r="Q18" i="2"/>
  <c r="R18" i="2"/>
  <c r="T18" i="2"/>
  <c r="T19" i="2"/>
  <c r="AX18" i="2" l="1"/>
  <c r="C54" i="2"/>
  <c r="C43" i="2"/>
  <c r="C35" i="2"/>
  <c r="D9" i="2" s="1"/>
  <c r="C51" i="2"/>
  <c r="D22" i="2" l="1"/>
  <c r="D25" i="2"/>
  <c r="I35" i="2"/>
  <c r="D28" i="2"/>
  <c r="D19" i="2"/>
  <c r="E35" i="2"/>
  <c r="H35" i="2"/>
  <c r="F35" i="2"/>
  <c r="D33" i="2"/>
  <c r="D14" i="2"/>
  <c r="D13" i="2"/>
  <c r="K35" i="2"/>
  <c r="D11" i="2"/>
  <c r="D17" i="2"/>
  <c r="D23" i="2"/>
  <c r="L35" i="2"/>
  <c r="D29" i="2"/>
  <c r="D26" i="2"/>
  <c r="M35" i="2"/>
  <c r="D8" i="2"/>
  <c r="D16" i="2"/>
  <c r="D31" i="2"/>
  <c r="D10" i="2"/>
  <c r="D21" i="2"/>
  <c r="D18" i="2"/>
  <c r="D34" i="2"/>
  <c r="D32" i="2"/>
  <c r="G35" i="2"/>
  <c r="D6" i="2"/>
  <c r="D30" i="2"/>
  <c r="D27" i="2"/>
  <c r="J35" i="2"/>
  <c r="D7" i="2"/>
  <c r="D20" i="2"/>
  <c r="D24" i="2"/>
  <c r="D12" i="2"/>
  <c r="D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<sst xmlns="http://schemas.openxmlformats.org/spreadsheetml/2006/main" count="169" uniqueCount="73">
  <si>
    <t>TIRO</t>
  </si>
  <si>
    <t>Deben coincidir los 2:</t>
  </si>
  <si>
    <t>5x5 + 5x0</t>
  </si>
  <si>
    <t>5x0 + 5x5</t>
  </si>
  <si>
    <t>4x4 + 4x0</t>
  </si>
  <si>
    <t>4x0 + 4x4</t>
  </si>
  <si>
    <t>5x4 +1</t>
  </si>
  <si>
    <t>5x4</t>
  </si>
  <si>
    <t>4x3 +1</t>
  </si>
  <si>
    <t>3x2 +1</t>
  </si>
  <si>
    <t>3x2 (CT 11)</t>
  </si>
  <si>
    <t>2x1</t>
  </si>
  <si>
    <t>0-1-2-3</t>
  </si>
  <si>
    <t>5x5</t>
  </si>
  <si>
    <t>4x4</t>
  </si>
  <si>
    <t>3x3</t>
  </si>
  <si>
    <t>2x2</t>
  </si>
  <si>
    <t>1x1</t>
  </si>
  <si>
    <t>5x0</t>
  </si>
  <si>
    <t>4X0</t>
  </si>
  <si>
    <t>3x0</t>
  </si>
  <si>
    <t>2X0</t>
  </si>
  <si>
    <t>Ac</t>
  </si>
  <si>
    <t>Crr</t>
  </si>
  <si>
    <t>Exp</t>
  </si>
  <si>
    <t>full</t>
  </si>
  <si>
    <t>3c</t>
  </si>
  <si>
    <t>2c</t>
  </si>
  <si>
    <t>1c</t>
  </si>
  <si>
    <t>1/2c + 3c</t>
  </si>
  <si>
    <t>1/2c + 2c</t>
  </si>
  <si>
    <t>1/2c + 1c</t>
  </si>
  <si>
    <t>1/2 c</t>
  </si>
  <si>
    <t>%</t>
  </si>
  <si>
    <t>MIN TOTAL</t>
  </si>
  <si>
    <t>TAREA</t>
  </si>
  <si>
    <t>1/4 c</t>
  </si>
  <si>
    <t>3x0 + 2x1</t>
  </si>
  <si>
    <t>GAME</t>
  </si>
  <si>
    <t>Weekly contents LÖWEN 24/25</t>
  </si>
  <si>
    <t>WEEK:</t>
  </si>
  <si>
    <t>GAME:</t>
  </si>
  <si>
    <t>MONDAY</t>
  </si>
  <si>
    <t>TUESDAY</t>
  </si>
  <si>
    <t>WEDNESDAY</t>
  </si>
  <si>
    <t>THURSDAY</t>
  </si>
  <si>
    <t>FRIDAY</t>
  </si>
  <si>
    <t>SATURDAY</t>
  </si>
  <si>
    <t>4x3 + 3x2</t>
  </si>
  <si>
    <t>3x3x3</t>
  </si>
  <si>
    <t>4x4x4</t>
  </si>
  <si>
    <t>4x4 ball line</t>
  </si>
  <si>
    <t>LIVE</t>
  </si>
  <si>
    <t>ind 1x0</t>
  </si>
  <si>
    <t>SPEED</t>
  </si>
  <si>
    <t>STRENGTH</t>
  </si>
  <si>
    <t>COMPETITION</t>
  </si>
  <si>
    <t>CONSTRUCTION</t>
  </si>
  <si>
    <t>SHOOTING</t>
  </si>
  <si>
    <t>IND</t>
  </si>
  <si>
    <t>CONTENTS OF THE WEEK</t>
  </si>
  <si>
    <t>METABOLIC</t>
  </si>
  <si>
    <t>ORIENTATION OF THE WEEK</t>
  </si>
  <si>
    <t>NO OPPOSITION</t>
  </si>
  <si>
    <t>WITH OPPOSITION</t>
  </si>
  <si>
    <t>METHODOLOGICAL RHYTHMS</t>
  </si>
  <si>
    <t>TACTICAL</t>
  </si>
  <si>
    <r>
      <rPr>
        <sz val="14"/>
        <color theme="1"/>
        <rFont val="Calibri"/>
        <family val="2"/>
        <scheme val="minor"/>
      </rPr>
      <t xml:space="preserve">Sunday 05/01/25
</t>
    </r>
    <r>
      <rPr>
        <sz val="20"/>
        <color theme="1"/>
        <rFont val="Calibri"/>
        <family val="2"/>
        <scheme val="minor"/>
      </rPr>
      <t>LÖWEN vs Bonn</t>
    </r>
  </si>
  <si>
    <t>Cns</t>
  </si>
  <si>
    <t>Tac</t>
  </si>
  <si>
    <t>SUNDAY</t>
  </si>
  <si>
    <t>Live</t>
  </si>
  <si>
    <t>NOT REAL YET!!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</si>
</sst>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Helvetica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26"/>
      <color theme="8" tint="-0.499984740745262"/>
      <name val="Haettenschweiler"/>
      <family val="2"/>
    </font>
    <font>
      <sz val="20"/>
      <color theme="1"/>
      <name val="Calibri"/>
      <family val="2"/>
      <scheme val="minor"/>
    </font>
    <font>
      <sz val="26"/>
      <color theme="8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name val="Bahnschrift Condensed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rgb="FFC1F1EB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CC6600"/>
      </left>
      <right/>
      <top style="thick">
        <color rgb="FFCC6600"/>
      </top>
      <bottom style="thick">
        <color rgb="FFCC6600"/>
      </bottom>
      <diagonal/>
    </border>
    <border>
      <left/>
      <right/>
      <top style="thick">
        <color rgb="FFCC6600"/>
      </top>
      <bottom style="thick">
        <color rgb="FFCC6600"/>
      </bottom>
      <diagonal/>
    </border>
    <border>
      <left/>
      <right style="thick">
        <color rgb="FFCC6600"/>
      </right>
      <top style="thick">
        <color rgb="FFCC6600"/>
      </top>
      <bottom style="thick">
        <color rgb="FFCC66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Protection="0">
      <alignment vertical="top" wrapText="1"/>
    </xf>
  </cellStyleXfs>
  <cellXfs count="5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2" borderId="1" xfId="1" applyFont="1" applyFill="1" applyBorder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9" fontId="4" fillId="2" borderId="0" xfId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9" fontId="6" fillId="2" borderId="3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horizontal="center" vertical="center" wrapText="1"/>
    </xf>
    <xf numFmtId="0" fontId="8" fillId="2" borderId="0" xfId="2" applyFont="1" applyFill="1">
      <alignment vertical="top" wrapText="1"/>
    </xf>
    <xf numFmtId="0" fontId="6" fillId="8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8" fillId="8" borderId="2" xfId="2" applyFont="1" applyFill="1" applyBorder="1" applyAlignment="1">
      <alignment horizontal="center" vertical="center" wrapText="1"/>
    </xf>
    <xf numFmtId="0" fontId="9" fillId="9" borderId="2" xfId="2" applyFont="1" applyFill="1" applyBorder="1" applyAlignment="1">
      <alignment horizontal="center" vertical="top" wrapText="1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14" fontId="0" fillId="9" borderId="3" xfId="0" quotePrefix="1" applyNumberForma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13" fillId="2" borderId="0" xfId="0" applyFont="1" applyFill="1" applyAlignment="1">
      <alignment vertical="center"/>
    </xf>
    <xf numFmtId="0" fontId="14" fillId="8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16" fontId="10" fillId="2" borderId="3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6" fillId="2" borderId="0" xfId="2" applyFont="1" applyFill="1">
      <alignment vertical="top" wrapText="1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</cellXfs>
  <cellStyles count="3">
    <cellStyle name="Normal 2" xfId="2" xr:uid="{00000000-0005-0000-0000-000001000000}"/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1E965"/>
      <color rgb="FFB9D945"/>
      <color rgb="FFEE8AE7"/>
      <color rgb="FFCC6600"/>
      <color rgb="FFFFCC00"/>
      <color rgb="FFC1F1EB"/>
      <color rgb="FF6BDFD1"/>
      <color rgb="FFFF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CONTENTS OF THE WEEK ON COURT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08739536620743"/>
          <c:y val="9.6913459990179682E-2"/>
          <c:w val="0.73847807697808554"/>
          <c:h val="0.82499791268669032"/>
        </c:manualLayout>
      </c:layout>
      <c:doughnutChart>
        <c:varyColors val="1"/>
        <c:ser>
          <c:idx val="0"/>
          <c:order val="0"/>
          <c:tx>
            <c:strRef>
              <c:f>'Contenidos de la semana'!$C$42</c:f>
              <c:strCache>
                <c:ptCount val="1"/>
                <c:pt idx="0">
                  <c:v>CONTENTS OF THE WEEK</c:v>
                </c:pt>
              </c:strCache>
            </c:strRef>
          </c:tx>
          <c:dPt>
            <c:idx val="0"/>
            <c:bubble3D val="0"/>
            <c:spPr>
              <a:solidFill>
                <a:srgbClr val="873AC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43-4DE0-9FCD-3068C2A0E4D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43-4DE0-9FCD-3068C2A0E4D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43-4DE0-9FCD-3068C2A0E4DA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43-4DE0-9FCD-3068C2A0E4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'Contenidos de la semana'!$B$43:$B$46</c:f>
              <c:strCache>
                <c:ptCount val="4"/>
                <c:pt idx="0">
                  <c:v>SPEED</c:v>
                </c:pt>
                <c:pt idx="1">
                  <c:v>STRENGTH</c:v>
                </c:pt>
                <c:pt idx="2">
                  <c:v>METABOLIC</c:v>
                </c:pt>
                <c:pt idx="3">
                  <c:v>IND</c:v>
                </c:pt>
              </c:strCache>
            </c:strRef>
          </c:cat>
          <c:val>
            <c:numRef>
              <c:f>'Contenidos de la semana'!$C$43:$C$46</c:f>
              <c:numCache>
                <c:formatCode>General</c:formatCode>
                <c:ptCount val="4"/>
                <c:pt idx="0">
                  <c:v>32</c:v>
                </c:pt>
                <c:pt idx="1">
                  <c:v>46</c:v>
                </c:pt>
                <c:pt idx="2">
                  <c:v>10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43-4DE0-9FCD-3068C2A0E4D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9499775234613485E-2"/>
          <c:y val="0.93125060879971544"/>
          <c:w val="0.84924904338472429"/>
          <c:h val="5.3254817220931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ORIENTATION OF THE WEEK ON COURT</a:t>
            </a:r>
          </a:p>
        </c:rich>
      </c:tx>
      <c:layout>
        <c:manualLayout>
          <c:xMode val="edge"/>
          <c:yMode val="edge"/>
          <c:x val="0.10937356818836952"/>
          <c:y val="2.601627348634453E-2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08739536620743"/>
          <c:y val="0.11991049364867955"/>
          <c:w val="0.70721887036847664"/>
          <c:h val="0.80200090483548914"/>
        </c:manualLayout>
      </c:layout>
      <c:doughnutChart>
        <c:varyColors val="1"/>
        <c:ser>
          <c:idx val="0"/>
          <c:order val="0"/>
          <c:tx>
            <c:strRef>
              <c:f>'Contenidos de la semana'!$C$48</c:f>
              <c:strCache>
                <c:ptCount val="1"/>
                <c:pt idx="0">
                  <c:v>ORIENTATION OF THE WEEK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F6-4DC3-881F-061280BDAB1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F6-4DC3-881F-061280BDAB1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F6-4DC3-881F-061280BDAB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'Contenidos de la semana'!$B$49:$B$51</c:f>
              <c:strCache>
                <c:ptCount val="3"/>
                <c:pt idx="0">
                  <c:v>NO OPPOSITION</c:v>
                </c:pt>
                <c:pt idx="1">
                  <c:v>WITH OPPOSITION</c:v>
                </c:pt>
                <c:pt idx="2">
                  <c:v>SHOOTING</c:v>
                </c:pt>
              </c:strCache>
            </c:strRef>
          </c:cat>
          <c:val>
            <c:numRef>
              <c:f>'Contenidos de la semana'!$C$49:$C$51</c:f>
              <c:numCache>
                <c:formatCode>General</c:formatCode>
                <c:ptCount val="3"/>
                <c:pt idx="0">
                  <c:v>104</c:v>
                </c:pt>
                <c:pt idx="1">
                  <c:v>178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F6-4DC3-881F-061280BDAB1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2550618922242738E-2"/>
          <c:y val="0.92545829991313688"/>
          <c:w val="0.84924904338472429"/>
          <c:h val="5.4021993556098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METHODOLOGICAL RHYTHMS</a:t>
            </a:r>
          </a:p>
        </c:rich>
      </c:tx>
      <c:layout>
        <c:manualLayout>
          <c:xMode val="edge"/>
          <c:yMode val="edge"/>
          <c:x val="0.27893040826544085"/>
          <c:y val="2.601627348634453E-2"/>
        </c:manualLayout>
      </c:layout>
      <c:overlay val="0"/>
      <c:spPr>
        <a:solidFill>
          <a:srgbClr val="C1F1E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08739536620743"/>
          <c:y val="0.11991049364867955"/>
          <c:w val="0.70721887036847664"/>
          <c:h val="0.80200090483548914"/>
        </c:manualLayout>
      </c:layout>
      <c:doughnutChart>
        <c:varyColors val="1"/>
        <c:ser>
          <c:idx val="0"/>
          <c:order val="0"/>
          <c:tx>
            <c:strRef>
              <c:f>'Contenidos de la semana'!$C$48</c:f>
              <c:strCache>
                <c:ptCount val="1"/>
                <c:pt idx="0">
                  <c:v>ORIENTATION OF THE WEEK</c:v>
                </c:pt>
              </c:strCache>
            </c:strRef>
          </c:tx>
          <c:dPt>
            <c:idx val="0"/>
            <c:bubble3D val="0"/>
            <c:spPr>
              <a:solidFill>
                <a:srgbClr val="91E96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8B-4CA3-838E-9963D8A1F5AA}"/>
              </c:ext>
            </c:extLst>
          </c:dPt>
          <c:dPt>
            <c:idx val="1"/>
            <c:bubble3D val="0"/>
            <c:spPr>
              <a:solidFill>
                <a:srgbClr val="EE8AE7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8B-4CA3-838E-9963D8A1F5AA}"/>
              </c:ext>
            </c:extLst>
          </c:dPt>
          <c:dPt>
            <c:idx val="2"/>
            <c:bubble3D val="0"/>
            <c:spPr>
              <a:solidFill>
                <a:srgbClr val="6BDFD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38B-4CA3-838E-9963D8A1F5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'Contenidos de la semana'!$B$54:$B$56</c:f>
              <c:strCache>
                <c:ptCount val="3"/>
                <c:pt idx="0">
                  <c:v>CONSTRUCTION</c:v>
                </c:pt>
                <c:pt idx="1">
                  <c:v>TACTICAL</c:v>
                </c:pt>
                <c:pt idx="2">
                  <c:v>COMPETITION</c:v>
                </c:pt>
              </c:strCache>
            </c:strRef>
          </c:cat>
          <c:val>
            <c:numRef>
              <c:f>'Contenidos de la semana'!$C$54:$C$56</c:f>
              <c:numCache>
                <c:formatCode>General</c:formatCode>
                <c:ptCount val="3"/>
                <c:pt idx="0">
                  <c:v>64</c:v>
                </c:pt>
                <c:pt idx="1">
                  <c:v>87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8B-4CA3-838E-9963D8A1F5A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2550618922242738E-2"/>
          <c:y val="0.92545829991313688"/>
          <c:w val="0.84924904338472429"/>
          <c:h val="5.4021993556098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35</xdr:row>
      <xdr:rowOff>104776</xdr:rowOff>
    </xdr:from>
    <xdr:to>
      <xdr:col>9</xdr:col>
      <xdr:colOff>590549</xdr:colOff>
      <xdr:row>57</xdr:row>
      <xdr:rowOff>14288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35</xdr:row>
      <xdr:rowOff>68036</xdr:rowOff>
    </xdr:from>
    <xdr:to>
      <xdr:col>14</xdr:col>
      <xdr:colOff>0</xdr:colOff>
      <xdr:row>57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630011</xdr:colOff>
      <xdr:row>35</xdr:row>
      <xdr:rowOff>68035</xdr:rowOff>
    </xdr:from>
    <xdr:to>
      <xdr:col>25</xdr:col>
      <xdr:colOff>27214</xdr:colOff>
      <xdr:row>56</xdr:row>
      <xdr:rowOff>149678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425824</xdr:colOff>
      <xdr:row>0</xdr:row>
      <xdr:rowOff>78441</xdr:rowOff>
    </xdr:from>
    <xdr:to>
      <xdr:col>8</xdr:col>
      <xdr:colOff>408679</xdr:colOff>
      <xdr:row>3</xdr:row>
      <xdr:rowOff>72502</xdr:rowOff>
    </xdr:to>
    <xdr:pic>
      <xdr:nvPicPr>
        <xdr:cNvPr id="6" name="Imagen 5" descr="Basketball Löwen Braunschweig | Braunschweig">
          <a:extLst>
            <a:ext uri="{FF2B5EF4-FFF2-40B4-BE49-F238E27FC236}">
              <a16:creationId xmlns:a16="http://schemas.microsoft.com/office/drawing/2014/main" id="{46C56068-7336-6870-FB74-2DA45A4F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295" y="78441"/>
          <a:ext cx="744855" cy="7448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9"/>
  <sheetViews>
    <sheetView tabSelected="1" topLeftCell="A21" zoomScale="145" zoomScaleNormal="145" zoomScaleSheetLayoutView="90" zoomScalePageLayoutView="55" workbookViewId="0">
      <selection activeCell="AA50" sqref="AA50"/>
    </sheetView>
  </sheetViews>
  <sheetFormatPr baseColWidth="10" defaultColWidth="11.42578125" defaultRowHeight="13.5" customHeight="1" x14ac:dyDescent="0.25"/>
  <cols>
    <col min="1" max="1" width="3.28515625" style="1" customWidth="1"/>
    <col min="2" max="2" width="17.7109375" style="1" customWidth="1"/>
    <col min="3" max="3" width="9.5703125" style="1" customWidth="1"/>
    <col min="4" max="13" width="11.42578125" style="1"/>
    <col min="14" max="14" width="13" style="1" customWidth="1"/>
    <col min="15" max="15" width="9.85546875" style="1" customWidth="1"/>
    <col min="16" max="16" width="6.5703125" style="1" customWidth="1"/>
    <col min="17" max="17" width="4.140625" style="1" customWidth="1"/>
    <col min="18" max="18" width="4.28515625" style="1" customWidth="1"/>
    <col min="19" max="20" width="4" style="1" customWidth="1"/>
    <col min="21" max="21" width="9.85546875" style="1" customWidth="1"/>
    <col min="22" max="22" width="4.140625" style="1" customWidth="1"/>
    <col min="23" max="24" width="4.28515625" style="1" customWidth="1"/>
    <col min="25" max="25" width="5.42578125" style="1" customWidth="1"/>
    <col min="26" max="26" width="4.140625" style="1" customWidth="1"/>
    <col min="27" max="27" width="9.85546875" style="1" customWidth="1"/>
    <col min="28" max="28" width="6.42578125" style="1" customWidth="1"/>
    <col min="29" max="32" width="5.5703125" style="1" customWidth="1"/>
    <col min="33" max="33" width="9.85546875" style="1" customWidth="1"/>
    <col min="34" max="34" width="7.85546875" style="1" customWidth="1"/>
    <col min="35" max="38" width="5" style="1" customWidth="1"/>
    <col min="39" max="39" width="9.7109375" style="1" customWidth="1"/>
    <col min="40" max="40" width="7.42578125" style="1" customWidth="1"/>
    <col min="41" max="44" width="4.140625" style="1" customWidth="1"/>
    <col min="45" max="45" width="9.7109375" style="1" customWidth="1"/>
    <col min="46" max="46" width="8.42578125" style="1" customWidth="1"/>
    <col min="47" max="50" width="4.42578125" style="1" customWidth="1"/>
    <col min="51" max="51" width="9.7109375" style="1" customWidth="1"/>
    <col min="52" max="52" width="6.5703125" style="1" customWidth="1"/>
    <col min="53" max="53" width="4.28515625" style="1" customWidth="1"/>
    <col min="54" max="56" width="4.140625" style="1" customWidth="1"/>
    <col min="57" max="16384" width="11.42578125" style="1"/>
  </cols>
  <sheetData>
    <row r="1" spans="1:56" ht="10.5" customHeight="1" thickBot="1" x14ac:dyDescent="0.3"/>
    <row r="2" spans="1:56" s="36" customFormat="1" ht="35.25" customHeight="1" thickTop="1" thickBot="1" x14ac:dyDescent="0.3">
      <c r="B2" s="54" t="s">
        <v>39</v>
      </c>
      <c r="C2" s="55"/>
      <c r="D2" s="55"/>
      <c r="E2" s="55"/>
      <c r="F2" s="55"/>
      <c r="G2" s="56"/>
      <c r="H2" s="42"/>
      <c r="K2" s="1" t="s">
        <v>40</v>
      </c>
      <c r="L2" s="38">
        <v>23</v>
      </c>
      <c r="M2" s="1" t="s">
        <v>41</v>
      </c>
      <c r="N2" s="57" t="s">
        <v>67</v>
      </c>
      <c r="O2" s="57"/>
      <c r="P2" s="57"/>
      <c r="Q2" s="57"/>
      <c r="R2" s="57"/>
      <c r="S2" s="57"/>
      <c r="T2" s="5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</row>
    <row r="3" spans="1:56" ht="13.5" customHeight="1" thickTop="1" x14ac:dyDescent="0.25"/>
    <row r="5" spans="1:56" s="32" customFormat="1" ht="20.25" customHeight="1" x14ac:dyDescent="0.25">
      <c r="A5" s="45"/>
      <c r="B5" s="35" t="s">
        <v>35</v>
      </c>
      <c r="C5" s="34" t="s">
        <v>34</v>
      </c>
      <c r="D5" s="34" t="s">
        <v>33</v>
      </c>
      <c r="E5" s="41" t="s">
        <v>36</v>
      </c>
      <c r="F5" s="34" t="s">
        <v>32</v>
      </c>
      <c r="G5" s="34" t="s">
        <v>31</v>
      </c>
      <c r="H5" s="34" t="s">
        <v>30</v>
      </c>
      <c r="I5" s="34" t="s">
        <v>29</v>
      </c>
      <c r="J5" s="34" t="s">
        <v>28</v>
      </c>
      <c r="K5" s="34" t="s">
        <v>27</v>
      </c>
      <c r="L5" s="34" t="s">
        <v>26</v>
      </c>
      <c r="M5" s="32" t="s">
        <v>25</v>
      </c>
      <c r="O5" s="50" t="s">
        <v>42</v>
      </c>
      <c r="P5" s="50"/>
      <c r="Q5" s="50"/>
      <c r="R5" s="33" t="s">
        <v>24</v>
      </c>
      <c r="S5" s="33" t="s">
        <v>23</v>
      </c>
      <c r="T5" s="33" t="s">
        <v>22</v>
      </c>
      <c r="U5" s="50" t="s">
        <v>43</v>
      </c>
      <c r="V5" s="50"/>
      <c r="W5" s="50"/>
      <c r="X5" s="33" t="s">
        <v>24</v>
      </c>
      <c r="Y5" s="33" t="s">
        <v>23</v>
      </c>
      <c r="Z5" s="33" t="s">
        <v>22</v>
      </c>
      <c r="AA5" s="50" t="s">
        <v>44</v>
      </c>
      <c r="AB5" s="50"/>
      <c r="AC5" s="50"/>
      <c r="AD5" s="33" t="s">
        <v>24</v>
      </c>
      <c r="AE5" s="33" t="s">
        <v>23</v>
      </c>
      <c r="AF5" s="33" t="s">
        <v>22</v>
      </c>
      <c r="AG5" s="50" t="s">
        <v>45</v>
      </c>
      <c r="AH5" s="50"/>
      <c r="AI5" s="50"/>
      <c r="AJ5" s="33" t="s">
        <v>24</v>
      </c>
      <c r="AK5" s="33" t="s">
        <v>23</v>
      </c>
      <c r="AL5" s="33" t="s">
        <v>22</v>
      </c>
      <c r="AM5" s="50" t="s">
        <v>46</v>
      </c>
      <c r="AN5" s="50"/>
      <c r="AO5" s="50"/>
      <c r="AP5" s="33" t="s">
        <v>24</v>
      </c>
      <c r="AQ5" s="33" t="s">
        <v>23</v>
      </c>
      <c r="AR5" s="33" t="s">
        <v>22</v>
      </c>
      <c r="AS5" s="50" t="s">
        <v>47</v>
      </c>
      <c r="AT5" s="50"/>
      <c r="AU5" s="50"/>
      <c r="AV5" s="33" t="s">
        <v>24</v>
      </c>
      <c r="AW5" s="33" t="s">
        <v>23</v>
      </c>
      <c r="AX5" s="33" t="s">
        <v>22</v>
      </c>
      <c r="AY5" s="50" t="s">
        <v>70</v>
      </c>
      <c r="AZ5" s="50"/>
      <c r="BA5" s="50"/>
      <c r="BB5" s="33" t="s">
        <v>24</v>
      </c>
      <c r="BC5" s="33" t="s">
        <v>23</v>
      </c>
      <c r="BD5" s="33" t="s">
        <v>22</v>
      </c>
    </row>
    <row r="6" spans="1:56" s="28" customFormat="1" ht="17.25" customHeight="1" x14ac:dyDescent="0.25">
      <c r="B6" s="18" t="s">
        <v>0</v>
      </c>
      <c r="C6" s="17">
        <f>SUM(E6:M6)</f>
        <v>60</v>
      </c>
      <c r="D6" s="16">
        <f t="shared" ref="D6:D34" si="0">C6/$C$35</f>
        <v>0.17543859649122806</v>
      </c>
      <c r="E6" s="15">
        <v>12</v>
      </c>
      <c r="F6" s="15">
        <v>40</v>
      </c>
      <c r="G6" s="15"/>
      <c r="H6" s="15"/>
      <c r="I6" s="15"/>
      <c r="J6" s="15">
        <v>8</v>
      </c>
      <c r="K6" s="15"/>
      <c r="L6" s="15"/>
      <c r="M6" s="14"/>
      <c r="O6" s="21"/>
      <c r="P6" s="20"/>
      <c r="Q6" s="20"/>
      <c r="R6" s="20"/>
      <c r="S6" s="20"/>
      <c r="T6" s="19">
        <f>Q6-R6</f>
        <v>0</v>
      </c>
      <c r="U6" s="21"/>
      <c r="V6" s="20"/>
      <c r="W6" s="20"/>
      <c r="X6" s="20"/>
      <c r="Y6" s="20"/>
      <c r="Z6" s="19">
        <f>W6-X6</f>
        <v>0</v>
      </c>
      <c r="AA6" s="21"/>
      <c r="AB6" s="20"/>
      <c r="AC6" s="20"/>
      <c r="AD6" s="20"/>
      <c r="AE6" s="20"/>
      <c r="AF6" s="19">
        <f>AC6-AD6</f>
        <v>0</v>
      </c>
      <c r="AG6" s="21" t="s">
        <v>53</v>
      </c>
      <c r="AH6" s="20" t="s">
        <v>32</v>
      </c>
      <c r="AI6" s="20">
        <v>50</v>
      </c>
      <c r="AJ6" s="20"/>
      <c r="AK6" s="20"/>
      <c r="AL6" s="19">
        <f>AI6-AJ6</f>
        <v>50</v>
      </c>
      <c r="AM6" s="21" t="s">
        <v>19</v>
      </c>
      <c r="AN6" s="20" t="s">
        <v>28</v>
      </c>
      <c r="AO6" s="20">
        <v>11</v>
      </c>
      <c r="AP6" s="20">
        <v>2.2999999999999998</v>
      </c>
      <c r="AQ6" s="20" t="s">
        <v>68</v>
      </c>
      <c r="AR6" s="19">
        <f>AO6-AP6</f>
        <v>8.6999999999999993</v>
      </c>
      <c r="AS6" s="21" t="s">
        <v>16</v>
      </c>
      <c r="AT6" s="20" t="s">
        <v>32</v>
      </c>
      <c r="AU6" s="20">
        <v>15</v>
      </c>
      <c r="AV6" s="20">
        <v>4</v>
      </c>
      <c r="AW6" s="20" t="s">
        <v>68</v>
      </c>
      <c r="AX6" s="19">
        <f>AU6-AV6</f>
        <v>11</v>
      </c>
      <c r="AY6" s="21" t="s">
        <v>0</v>
      </c>
      <c r="AZ6" s="20" t="s">
        <v>32</v>
      </c>
      <c r="BA6" s="20">
        <v>40</v>
      </c>
      <c r="BB6" s="20"/>
      <c r="BC6" s="20"/>
      <c r="BD6" s="19">
        <f>BA6-BB6</f>
        <v>40</v>
      </c>
    </row>
    <row r="7" spans="1:56" s="28" customFormat="1" ht="17.25" customHeight="1" x14ac:dyDescent="0.25">
      <c r="B7" s="18" t="s">
        <v>53</v>
      </c>
      <c r="C7" s="17">
        <f t="shared" ref="C7:C33" si="1">SUM(E7:M7)</f>
        <v>50</v>
      </c>
      <c r="D7" s="16">
        <f t="shared" si="0"/>
        <v>0.14619883040935672</v>
      </c>
      <c r="E7" s="15"/>
      <c r="F7" s="15">
        <v>50</v>
      </c>
      <c r="G7" s="15"/>
      <c r="H7" s="15"/>
      <c r="I7" s="15"/>
      <c r="J7" s="15"/>
      <c r="K7" s="15"/>
      <c r="L7" s="15"/>
      <c r="M7" s="14"/>
      <c r="O7" s="21"/>
      <c r="P7" s="20"/>
      <c r="Q7" s="20"/>
      <c r="R7" s="20"/>
      <c r="S7" s="20"/>
      <c r="T7" s="19">
        <f t="shared" ref="T7:T17" si="2">Q7-R7</f>
        <v>0</v>
      </c>
      <c r="U7" s="21"/>
      <c r="V7" s="20"/>
      <c r="W7" s="20"/>
      <c r="X7" s="20"/>
      <c r="Y7" s="20"/>
      <c r="Z7" s="19">
        <f t="shared" ref="Z7:Z17" si="3">W7-X7</f>
        <v>0</v>
      </c>
      <c r="AA7" s="21"/>
      <c r="AB7" s="20"/>
      <c r="AC7" s="20"/>
      <c r="AD7" s="20"/>
      <c r="AE7" s="20"/>
      <c r="AF7" s="19">
        <f t="shared" ref="AF7:AF17" si="4">AC7-AD7</f>
        <v>0</v>
      </c>
      <c r="AG7" s="21"/>
      <c r="AH7" s="20"/>
      <c r="AI7" s="20"/>
      <c r="AJ7" s="20"/>
      <c r="AK7" s="20"/>
      <c r="AL7" s="19">
        <f>AI7-AJ7</f>
        <v>0</v>
      </c>
      <c r="AM7" s="21" t="s">
        <v>14</v>
      </c>
      <c r="AN7" s="20" t="s">
        <v>28</v>
      </c>
      <c r="AO7" s="20">
        <v>4</v>
      </c>
      <c r="AP7" s="20">
        <v>0.3</v>
      </c>
      <c r="AQ7" s="20" t="s">
        <v>69</v>
      </c>
      <c r="AR7" s="19">
        <f t="shared" ref="AR7:AR17" si="5">AO7-AP7</f>
        <v>3.7</v>
      </c>
      <c r="AS7" s="21" t="s">
        <v>0</v>
      </c>
      <c r="AT7" s="20" t="s">
        <v>28</v>
      </c>
      <c r="AU7" s="20">
        <v>3</v>
      </c>
      <c r="AV7" s="20">
        <v>1</v>
      </c>
      <c r="AW7" s="20" t="s">
        <v>71</v>
      </c>
      <c r="AX7" s="19">
        <f t="shared" ref="AX7:AX17" si="6">AU7-AV7</f>
        <v>2</v>
      </c>
      <c r="AY7" s="21"/>
      <c r="AZ7" s="20"/>
      <c r="BA7" s="20"/>
      <c r="BB7" s="20"/>
      <c r="BC7" s="20"/>
      <c r="BD7" s="19">
        <f t="shared" ref="BD7:BD17" si="7">BA7-BB7</f>
        <v>0</v>
      </c>
    </row>
    <row r="8" spans="1:56" s="28" customFormat="1" ht="17.25" customHeight="1" x14ac:dyDescent="0.25">
      <c r="B8" s="31" t="s">
        <v>21</v>
      </c>
      <c r="C8" s="17">
        <f t="shared" si="1"/>
        <v>0</v>
      </c>
      <c r="D8" s="16">
        <f t="shared" si="0"/>
        <v>0</v>
      </c>
      <c r="E8" s="22"/>
      <c r="F8" s="22"/>
      <c r="G8" s="22"/>
      <c r="H8" s="22"/>
      <c r="I8" s="22"/>
      <c r="J8" s="22"/>
      <c r="K8" s="22"/>
      <c r="L8" s="22"/>
      <c r="M8" s="14"/>
      <c r="O8" s="21"/>
      <c r="P8" s="20"/>
      <c r="Q8" s="20"/>
      <c r="R8" s="20"/>
      <c r="S8" s="20"/>
      <c r="T8" s="19">
        <f t="shared" si="2"/>
        <v>0</v>
      </c>
      <c r="U8" s="21"/>
      <c r="V8" s="20"/>
      <c r="W8" s="20"/>
      <c r="X8" s="20"/>
      <c r="Y8" s="20"/>
      <c r="Z8" s="19">
        <f t="shared" si="3"/>
        <v>0</v>
      </c>
      <c r="AA8" s="21"/>
      <c r="AB8" s="20"/>
      <c r="AC8" s="20"/>
      <c r="AD8" s="20"/>
      <c r="AE8" s="20"/>
      <c r="AF8" s="19">
        <f t="shared" si="4"/>
        <v>0</v>
      </c>
      <c r="AG8" s="21"/>
      <c r="AH8" s="20"/>
      <c r="AI8" s="20"/>
      <c r="AJ8" s="20"/>
      <c r="AK8" s="20"/>
      <c r="AL8" s="19">
        <f>(AI8-AJ8)</f>
        <v>0</v>
      </c>
      <c r="AM8" s="21" t="s">
        <v>9</v>
      </c>
      <c r="AN8" s="20" t="s">
        <v>31</v>
      </c>
      <c r="AO8" s="20">
        <v>6</v>
      </c>
      <c r="AP8" s="20">
        <v>1.8</v>
      </c>
      <c r="AQ8" s="20" t="s">
        <v>71</v>
      </c>
      <c r="AR8" s="19">
        <f t="shared" si="5"/>
        <v>4.2</v>
      </c>
      <c r="AS8" s="21" t="s">
        <v>19</v>
      </c>
      <c r="AT8" s="20" t="s">
        <v>32</v>
      </c>
      <c r="AU8" s="20">
        <v>15</v>
      </c>
      <c r="AV8" s="20">
        <v>2</v>
      </c>
      <c r="AW8" s="20" t="s">
        <v>68</v>
      </c>
      <c r="AX8" s="19">
        <f t="shared" si="6"/>
        <v>13</v>
      </c>
      <c r="AY8" s="21"/>
      <c r="AZ8" s="20"/>
      <c r="BA8" s="20"/>
      <c r="BB8" s="20"/>
      <c r="BC8" s="20"/>
      <c r="BD8" s="19">
        <f t="shared" si="7"/>
        <v>0</v>
      </c>
    </row>
    <row r="9" spans="1:56" s="28" customFormat="1" ht="17.25" customHeight="1" x14ac:dyDescent="0.25">
      <c r="B9" s="18" t="s">
        <v>20</v>
      </c>
      <c r="C9" s="17">
        <f t="shared" si="1"/>
        <v>5</v>
      </c>
      <c r="D9" s="16">
        <f t="shared" si="0"/>
        <v>1.4619883040935672E-2</v>
      </c>
      <c r="E9" s="15"/>
      <c r="F9" s="15"/>
      <c r="G9" s="15"/>
      <c r="H9" s="15"/>
      <c r="I9" s="15"/>
      <c r="J9" s="15"/>
      <c r="K9" s="15">
        <v>5</v>
      </c>
      <c r="L9" s="15"/>
      <c r="M9" s="14"/>
      <c r="O9" s="21"/>
      <c r="P9" s="20"/>
      <c r="Q9" s="20"/>
      <c r="R9" s="20"/>
      <c r="S9" s="20"/>
      <c r="T9" s="19">
        <f t="shared" si="2"/>
        <v>0</v>
      </c>
      <c r="U9" s="21"/>
      <c r="V9" s="20"/>
      <c r="W9" s="20"/>
      <c r="X9" s="20"/>
      <c r="Y9" s="20"/>
      <c r="Z9" s="19">
        <f t="shared" si="3"/>
        <v>0</v>
      </c>
      <c r="AA9" s="21"/>
      <c r="AB9" s="20"/>
      <c r="AC9" s="20"/>
      <c r="AD9" s="20"/>
      <c r="AE9" s="20"/>
      <c r="AF9" s="19">
        <f t="shared" si="4"/>
        <v>0</v>
      </c>
      <c r="AG9" s="21"/>
      <c r="AH9" s="20"/>
      <c r="AI9" s="20"/>
      <c r="AJ9" s="20"/>
      <c r="AK9" s="20"/>
      <c r="AL9" s="19">
        <f t="shared" ref="AL9:AL17" si="8">AI9-AJ9</f>
        <v>0</v>
      </c>
      <c r="AM9" s="21" t="s">
        <v>13</v>
      </c>
      <c r="AN9" s="20" t="s">
        <v>32</v>
      </c>
      <c r="AO9" s="20">
        <v>15</v>
      </c>
      <c r="AP9" s="20">
        <v>1.4</v>
      </c>
      <c r="AQ9" s="20" t="s">
        <v>68</v>
      </c>
      <c r="AR9" s="19">
        <f t="shared" si="5"/>
        <v>13.6</v>
      </c>
      <c r="AS9" s="21" t="s">
        <v>20</v>
      </c>
      <c r="AT9" s="20" t="s">
        <v>27</v>
      </c>
      <c r="AU9" s="20">
        <v>5</v>
      </c>
      <c r="AV9" s="20">
        <v>3</v>
      </c>
      <c r="AW9" s="20" t="s">
        <v>71</v>
      </c>
      <c r="AX9" s="19">
        <f t="shared" si="6"/>
        <v>2</v>
      </c>
      <c r="AY9" s="21"/>
      <c r="AZ9" s="20"/>
      <c r="BA9" s="20"/>
      <c r="BB9" s="20"/>
      <c r="BC9" s="20"/>
      <c r="BD9" s="19">
        <f t="shared" si="7"/>
        <v>0</v>
      </c>
    </row>
    <row r="10" spans="1:56" s="28" customFormat="1" ht="17.25" customHeight="1" x14ac:dyDescent="0.25">
      <c r="B10" s="31" t="s">
        <v>19</v>
      </c>
      <c r="C10" s="17">
        <f t="shared" si="1"/>
        <v>26</v>
      </c>
      <c r="D10" s="16">
        <f t="shared" si="0"/>
        <v>7.6023391812865493E-2</v>
      </c>
      <c r="E10" s="22"/>
      <c r="F10" s="22">
        <v>15</v>
      </c>
      <c r="G10" s="22"/>
      <c r="H10" s="22"/>
      <c r="I10" s="22"/>
      <c r="J10" s="22">
        <v>11</v>
      </c>
      <c r="K10" s="22"/>
      <c r="L10" s="22"/>
      <c r="M10" s="14"/>
      <c r="O10" s="21"/>
      <c r="P10" s="20"/>
      <c r="Q10" s="20"/>
      <c r="R10" s="20"/>
      <c r="S10" s="20"/>
      <c r="T10" s="19">
        <f t="shared" si="2"/>
        <v>0</v>
      </c>
      <c r="U10" s="21"/>
      <c r="V10" s="20"/>
      <c r="W10" s="20"/>
      <c r="X10" s="20"/>
      <c r="Y10" s="20"/>
      <c r="Z10" s="19">
        <f t="shared" si="3"/>
        <v>0</v>
      </c>
      <c r="AA10" s="21"/>
      <c r="AB10" s="20"/>
      <c r="AC10" s="20"/>
      <c r="AD10" s="20"/>
      <c r="AE10" s="20"/>
      <c r="AF10" s="19">
        <f t="shared" si="4"/>
        <v>0</v>
      </c>
      <c r="AG10" s="21"/>
      <c r="AH10" s="20"/>
      <c r="AI10" s="20"/>
      <c r="AJ10" s="20"/>
      <c r="AK10" s="20"/>
      <c r="AL10" s="19">
        <f t="shared" si="8"/>
        <v>0</v>
      </c>
      <c r="AM10" s="21" t="s">
        <v>13</v>
      </c>
      <c r="AN10" s="20" t="s">
        <v>31</v>
      </c>
      <c r="AO10" s="20">
        <v>18</v>
      </c>
      <c r="AP10" s="20">
        <v>4</v>
      </c>
      <c r="AQ10" s="20" t="s">
        <v>68</v>
      </c>
      <c r="AR10" s="19">
        <f t="shared" si="5"/>
        <v>14</v>
      </c>
      <c r="AS10" s="21" t="s">
        <v>8</v>
      </c>
      <c r="AT10" s="20" t="s">
        <v>27</v>
      </c>
      <c r="AU10" s="20">
        <v>10</v>
      </c>
      <c r="AV10" s="20">
        <v>1.5</v>
      </c>
      <c r="AW10" s="20" t="s">
        <v>69</v>
      </c>
      <c r="AX10" s="19">
        <f t="shared" si="6"/>
        <v>8.5</v>
      </c>
      <c r="AY10" s="21"/>
      <c r="AZ10" s="20"/>
      <c r="BA10" s="20"/>
      <c r="BB10" s="20"/>
      <c r="BC10" s="20"/>
      <c r="BD10" s="19">
        <f t="shared" si="7"/>
        <v>0</v>
      </c>
    </row>
    <row r="11" spans="1:56" s="28" customFormat="1" ht="17.25" customHeight="1" x14ac:dyDescent="0.25">
      <c r="B11" s="18" t="s">
        <v>18</v>
      </c>
      <c r="C11" s="17">
        <f t="shared" si="1"/>
        <v>23</v>
      </c>
      <c r="D11" s="16">
        <f t="shared" si="0"/>
        <v>6.725146198830409E-2</v>
      </c>
      <c r="E11" s="15"/>
      <c r="F11" s="15"/>
      <c r="G11" s="15"/>
      <c r="H11" s="15">
        <v>23</v>
      </c>
      <c r="I11" s="15"/>
      <c r="J11" s="15"/>
      <c r="K11" s="15"/>
      <c r="L11" s="15"/>
      <c r="M11" s="14"/>
      <c r="O11" s="21"/>
      <c r="P11" s="20"/>
      <c r="Q11" s="20"/>
      <c r="R11" s="20"/>
      <c r="S11" s="20"/>
      <c r="T11" s="19">
        <f t="shared" si="2"/>
        <v>0</v>
      </c>
      <c r="U11" s="21"/>
      <c r="V11" s="20"/>
      <c r="W11" s="20"/>
      <c r="X11" s="20"/>
      <c r="Y11" s="20"/>
      <c r="Z11" s="19">
        <f t="shared" si="3"/>
        <v>0</v>
      </c>
      <c r="AA11" s="21"/>
      <c r="AB11" s="20"/>
      <c r="AC11" s="20"/>
      <c r="AD11" s="20"/>
      <c r="AE11" s="20"/>
      <c r="AF11" s="19">
        <f t="shared" si="4"/>
        <v>0</v>
      </c>
      <c r="AG11" s="21"/>
      <c r="AH11" s="20"/>
      <c r="AI11" s="20"/>
      <c r="AJ11" s="20"/>
      <c r="AK11" s="20"/>
      <c r="AL11" s="19">
        <f t="shared" si="8"/>
        <v>0</v>
      </c>
      <c r="AM11" s="21" t="s">
        <v>13</v>
      </c>
      <c r="AN11" s="20" t="s">
        <v>31</v>
      </c>
      <c r="AO11" s="20">
        <v>15</v>
      </c>
      <c r="AP11" s="20">
        <v>0.5</v>
      </c>
      <c r="AQ11" s="20" t="s">
        <v>69</v>
      </c>
      <c r="AR11" s="19">
        <f t="shared" si="5"/>
        <v>14.5</v>
      </c>
      <c r="AS11" s="21" t="s">
        <v>18</v>
      </c>
      <c r="AT11" s="20" t="s">
        <v>30</v>
      </c>
      <c r="AU11" s="20">
        <v>23</v>
      </c>
      <c r="AV11" s="20">
        <v>1</v>
      </c>
      <c r="AW11" s="20" t="s">
        <v>68</v>
      </c>
      <c r="AX11" s="19">
        <f t="shared" si="6"/>
        <v>22</v>
      </c>
      <c r="AY11" s="21"/>
      <c r="AZ11" s="20"/>
      <c r="BA11" s="20"/>
      <c r="BB11" s="20"/>
      <c r="BC11" s="20"/>
      <c r="BD11" s="19">
        <f t="shared" si="7"/>
        <v>0</v>
      </c>
    </row>
    <row r="12" spans="1:56" s="28" customFormat="1" ht="17.25" customHeight="1" x14ac:dyDescent="0.25">
      <c r="B12" s="31" t="s">
        <v>17</v>
      </c>
      <c r="C12" s="17">
        <f t="shared" si="1"/>
        <v>0</v>
      </c>
      <c r="D12" s="16">
        <f t="shared" si="0"/>
        <v>0</v>
      </c>
      <c r="E12" s="22"/>
      <c r="F12" s="22"/>
      <c r="G12" s="22"/>
      <c r="H12" s="22"/>
      <c r="I12" s="22"/>
      <c r="J12" s="22"/>
      <c r="K12" s="22"/>
      <c r="L12" s="22"/>
      <c r="M12" s="14"/>
      <c r="O12" s="21"/>
      <c r="P12" s="20"/>
      <c r="Q12" s="20"/>
      <c r="R12" s="20"/>
      <c r="S12" s="20"/>
      <c r="T12" s="19">
        <f t="shared" si="2"/>
        <v>0</v>
      </c>
      <c r="U12" s="21"/>
      <c r="V12" s="20"/>
      <c r="W12" s="20"/>
      <c r="X12" s="20"/>
      <c r="Y12" s="20"/>
      <c r="Z12" s="19">
        <f t="shared" si="3"/>
        <v>0</v>
      </c>
      <c r="AA12" s="21"/>
      <c r="AB12" s="20"/>
      <c r="AC12" s="20"/>
      <c r="AD12" s="20"/>
      <c r="AE12" s="20"/>
      <c r="AF12" s="19">
        <f t="shared" si="4"/>
        <v>0</v>
      </c>
      <c r="AG12" s="21"/>
      <c r="AH12" s="20"/>
      <c r="AI12" s="20"/>
      <c r="AJ12" s="20"/>
      <c r="AK12" s="20"/>
      <c r="AL12" s="19">
        <f t="shared" si="8"/>
        <v>0</v>
      </c>
      <c r="AM12" s="21" t="s">
        <v>0</v>
      </c>
      <c r="AN12" s="20" t="s">
        <v>36</v>
      </c>
      <c r="AO12" s="20">
        <v>4</v>
      </c>
      <c r="AP12" s="20"/>
      <c r="AQ12" s="20"/>
      <c r="AR12" s="19">
        <f t="shared" si="5"/>
        <v>4</v>
      </c>
      <c r="AS12" s="21" t="s">
        <v>13</v>
      </c>
      <c r="AT12" s="20" t="s">
        <v>31</v>
      </c>
      <c r="AU12" s="20">
        <v>16</v>
      </c>
      <c r="AV12" s="20">
        <v>1</v>
      </c>
      <c r="AW12" s="20" t="s">
        <v>69</v>
      </c>
      <c r="AX12" s="19">
        <f t="shared" si="6"/>
        <v>15</v>
      </c>
      <c r="AY12" s="21"/>
      <c r="AZ12" s="20"/>
      <c r="BA12" s="20"/>
      <c r="BB12" s="20"/>
      <c r="BC12" s="20"/>
      <c r="BD12" s="19">
        <f t="shared" si="7"/>
        <v>0</v>
      </c>
    </row>
    <row r="13" spans="1:56" s="28" customFormat="1" ht="17.25" customHeight="1" x14ac:dyDescent="0.25">
      <c r="B13" s="18" t="s">
        <v>16</v>
      </c>
      <c r="C13" s="17">
        <f t="shared" si="1"/>
        <v>15</v>
      </c>
      <c r="D13" s="16">
        <f t="shared" si="0"/>
        <v>4.3859649122807015E-2</v>
      </c>
      <c r="E13" s="15"/>
      <c r="F13" s="15">
        <v>15</v>
      </c>
      <c r="G13" s="15"/>
      <c r="H13" s="15"/>
      <c r="I13" s="15"/>
      <c r="J13" s="15"/>
      <c r="K13" s="15"/>
      <c r="L13" s="15"/>
      <c r="M13" s="14"/>
      <c r="O13" s="21"/>
      <c r="P13" s="20"/>
      <c r="Q13" s="20"/>
      <c r="R13" s="20"/>
      <c r="S13" s="20"/>
      <c r="T13" s="19">
        <f t="shared" si="2"/>
        <v>0</v>
      </c>
      <c r="U13" s="21"/>
      <c r="V13" s="20"/>
      <c r="W13" s="20"/>
      <c r="X13" s="20"/>
      <c r="Y13" s="20"/>
      <c r="Z13" s="19">
        <f t="shared" si="3"/>
        <v>0</v>
      </c>
      <c r="AA13" s="21"/>
      <c r="AB13" s="20"/>
      <c r="AC13" s="20"/>
      <c r="AD13" s="20"/>
      <c r="AE13" s="20"/>
      <c r="AF13" s="19">
        <f t="shared" si="4"/>
        <v>0</v>
      </c>
      <c r="AG13" s="21"/>
      <c r="AH13" s="20"/>
      <c r="AI13" s="20"/>
      <c r="AJ13" s="20"/>
      <c r="AK13" s="20"/>
      <c r="AL13" s="19">
        <f t="shared" si="8"/>
        <v>0</v>
      </c>
      <c r="AM13" s="21"/>
      <c r="AN13" s="20"/>
      <c r="AO13" s="20"/>
      <c r="AP13" s="20"/>
      <c r="AQ13" s="20"/>
      <c r="AR13" s="19">
        <f t="shared" si="5"/>
        <v>0</v>
      </c>
      <c r="AS13" s="21" t="s">
        <v>52</v>
      </c>
      <c r="AT13" s="20" t="s">
        <v>25</v>
      </c>
      <c r="AU13" s="20">
        <v>5</v>
      </c>
      <c r="AV13" s="20">
        <v>0.6</v>
      </c>
      <c r="AW13" s="20"/>
      <c r="AX13" s="19">
        <f t="shared" si="6"/>
        <v>4.4000000000000004</v>
      </c>
      <c r="AY13" s="21"/>
      <c r="AZ13" s="20"/>
      <c r="BA13" s="20"/>
      <c r="BB13" s="20"/>
      <c r="BC13" s="20"/>
      <c r="BD13" s="19">
        <f t="shared" si="7"/>
        <v>0</v>
      </c>
    </row>
    <row r="14" spans="1:56" s="28" customFormat="1" ht="17.25" customHeight="1" x14ac:dyDescent="0.25">
      <c r="B14" s="18" t="s">
        <v>15</v>
      </c>
      <c r="C14" s="17">
        <f t="shared" si="1"/>
        <v>0</v>
      </c>
      <c r="D14" s="16">
        <f t="shared" si="0"/>
        <v>0</v>
      </c>
      <c r="E14" s="15"/>
      <c r="F14" s="15"/>
      <c r="G14" s="15"/>
      <c r="H14" s="15"/>
      <c r="I14" s="15"/>
      <c r="J14" s="15"/>
      <c r="K14" s="15"/>
      <c r="L14" s="15"/>
      <c r="M14" s="14"/>
      <c r="O14" s="21"/>
      <c r="P14" s="20"/>
      <c r="Q14" s="20"/>
      <c r="R14" s="20"/>
      <c r="S14" s="20"/>
      <c r="T14" s="19">
        <f t="shared" si="2"/>
        <v>0</v>
      </c>
      <c r="U14" s="21"/>
      <c r="V14" s="20"/>
      <c r="W14" s="20"/>
      <c r="X14" s="20"/>
      <c r="Y14" s="20"/>
      <c r="Z14" s="19">
        <f t="shared" si="3"/>
        <v>0</v>
      </c>
      <c r="AA14" s="21"/>
      <c r="AB14" s="20"/>
      <c r="AC14" s="20"/>
      <c r="AD14" s="20"/>
      <c r="AE14" s="20"/>
      <c r="AF14" s="19">
        <f t="shared" si="4"/>
        <v>0</v>
      </c>
      <c r="AG14" s="21"/>
      <c r="AH14" s="20"/>
      <c r="AI14" s="20"/>
      <c r="AJ14" s="20"/>
      <c r="AK14" s="20"/>
      <c r="AL14" s="19">
        <f t="shared" si="8"/>
        <v>0</v>
      </c>
      <c r="AM14" s="21"/>
      <c r="AN14" s="20"/>
      <c r="AO14" s="20"/>
      <c r="AP14" s="20"/>
      <c r="AQ14" s="20"/>
      <c r="AR14" s="19">
        <f t="shared" si="5"/>
        <v>0</v>
      </c>
      <c r="AS14" s="21" t="s">
        <v>0</v>
      </c>
      <c r="AT14" s="20" t="s">
        <v>36</v>
      </c>
      <c r="AU14" s="20">
        <v>4</v>
      </c>
      <c r="AV14" s="20"/>
      <c r="AW14" s="20"/>
      <c r="AX14" s="19">
        <f t="shared" si="6"/>
        <v>4</v>
      </c>
      <c r="AY14" s="21"/>
      <c r="AZ14" s="20"/>
      <c r="BA14" s="20"/>
      <c r="BB14" s="20"/>
      <c r="BC14" s="20"/>
      <c r="BD14" s="19">
        <f t="shared" si="7"/>
        <v>0</v>
      </c>
    </row>
    <row r="15" spans="1:56" s="28" customFormat="1" ht="17.25" customHeight="1" x14ac:dyDescent="0.25">
      <c r="B15" s="18" t="s">
        <v>49</v>
      </c>
      <c r="C15" s="17">
        <f t="shared" ref="C15" si="9">SUM(E15:M15)</f>
        <v>0</v>
      </c>
      <c r="D15" s="16">
        <f t="shared" ref="D15" si="10">C15/$C$35</f>
        <v>0</v>
      </c>
      <c r="E15" s="15"/>
      <c r="F15" s="15"/>
      <c r="G15" s="15"/>
      <c r="H15" s="15"/>
      <c r="I15" s="15"/>
      <c r="J15" s="15"/>
      <c r="K15" s="15"/>
      <c r="L15" s="15"/>
      <c r="M15" s="14"/>
      <c r="O15" s="21"/>
      <c r="P15" s="20"/>
      <c r="Q15" s="20"/>
      <c r="R15" s="20"/>
      <c r="S15" s="20"/>
      <c r="T15" s="19">
        <f t="shared" si="2"/>
        <v>0</v>
      </c>
      <c r="U15" s="21"/>
      <c r="V15" s="20"/>
      <c r="W15" s="20"/>
      <c r="X15" s="20"/>
      <c r="Y15" s="20"/>
      <c r="Z15" s="19">
        <f t="shared" si="3"/>
        <v>0</v>
      </c>
      <c r="AA15" s="21"/>
      <c r="AB15" s="20"/>
      <c r="AC15" s="20"/>
      <c r="AD15" s="20"/>
      <c r="AE15" s="20"/>
      <c r="AF15" s="19">
        <f t="shared" si="4"/>
        <v>0</v>
      </c>
      <c r="AG15" s="21"/>
      <c r="AH15" s="20"/>
      <c r="AI15" s="20"/>
      <c r="AJ15" s="20"/>
      <c r="AK15" s="20"/>
      <c r="AL15" s="19">
        <f t="shared" si="8"/>
        <v>0</v>
      </c>
      <c r="AM15" s="21"/>
      <c r="AN15" s="20"/>
      <c r="AO15" s="20"/>
      <c r="AP15" s="20"/>
      <c r="AQ15" s="20"/>
      <c r="AR15" s="19">
        <f t="shared" si="5"/>
        <v>0</v>
      </c>
      <c r="AS15" s="21"/>
      <c r="AT15" s="20"/>
      <c r="AU15" s="20"/>
      <c r="AV15" s="20"/>
      <c r="AW15" s="20"/>
      <c r="AX15" s="19">
        <f t="shared" si="6"/>
        <v>0</v>
      </c>
      <c r="AY15" s="21"/>
      <c r="AZ15" s="20"/>
      <c r="BA15" s="20"/>
      <c r="BB15" s="20"/>
      <c r="BC15" s="20"/>
      <c r="BD15" s="19">
        <f t="shared" si="7"/>
        <v>0</v>
      </c>
    </row>
    <row r="16" spans="1:56" s="28" customFormat="1" ht="17.25" customHeight="1" x14ac:dyDescent="0.25">
      <c r="B16" s="18" t="s">
        <v>14</v>
      </c>
      <c r="C16" s="17">
        <f t="shared" si="1"/>
        <v>4</v>
      </c>
      <c r="D16" s="16">
        <f t="shared" si="0"/>
        <v>1.1695906432748537E-2</v>
      </c>
      <c r="E16" s="15"/>
      <c r="F16" s="15"/>
      <c r="G16" s="15"/>
      <c r="H16" s="15"/>
      <c r="I16" s="15"/>
      <c r="J16" s="15">
        <v>4</v>
      </c>
      <c r="K16" s="15"/>
      <c r="L16" s="15"/>
      <c r="M16" s="14"/>
      <c r="O16" s="21"/>
      <c r="P16" s="20"/>
      <c r="Q16" s="20"/>
      <c r="R16" s="20"/>
      <c r="S16" s="20"/>
      <c r="T16" s="19">
        <f t="shared" si="2"/>
        <v>0</v>
      </c>
      <c r="U16" s="21"/>
      <c r="V16" s="20"/>
      <c r="W16" s="20"/>
      <c r="X16" s="20"/>
      <c r="Y16" s="20"/>
      <c r="Z16" s="19">
        <f t="shared" si="3"/>
        <v>0</v>
      </c>
      <c r="AA16" s="21"/>
      <c r="AB16" s="20"/>
      <c r="AC16" s="20"/>
      <c r="AD16" s="20"/>
      <c r="AE16" s="20"/>
      <c r="AF16" s="19">
        <f t="shared" si="4"/>
        <v>0</v>
      </c>
      <c r="AG16" s="21"/>
      <c r="AH16" s="20"/>
      <c r="AI16" s="20"/>
      <c r="AJ16" s="20"/>
      <c r="AK16" s="20"/>
      <c r="AL16" s="19">
        <f t="shared" si="8"/>
        <v>0</v>
      </c>
      <c r="AM16" s="21"/>
      <c r="AN16" s="20"/>
      <c r="AO16" s="20"/>
      <c r="AP16" s="20"/>
      <c r="AQ16" s="20"/>
      <c r="AR16" s="19">
        <f t="shared" si="5"/>
        <v>0</v>
      </c>
      <c r="AS16" s="21"/>
      <c r="AT16" s="20"/>
      <c r="AU16" s="20"/>
      <c r="AV16" s="20"/>
      <c r="AW16" s="20"/>
      <c r="AX16" s="19">
        <f t="shared" si="6"/>
        <v>0</v>
      </c>
      <c r="AY16" s="21"/>
      <c r="AZ16" s="20"/>
      <c r="BA16" s="20"/>
      <c r="BB16" s="20"/>
      <c r="BC16" s="20"/>
      <c r="BD16" s="19">
        <f t="shared" si="7"/>
        <v>0</v>
      </c>
    </row>
    <row r="17" spans="1:56" s="28" customFormat="1" ht="17.25" customHeight="1" x14ac:dyDescent="0.25">
      <c r="B17" s="18" t="s">
        <v>51</v>
      </c>
      <c r="C17" s="17">
        <f t="shared" si="1"/>
        <v>14</v>
      </c>
      <c r="D17" s="16">
        <f t="shared" si="0"/>
        <v>4.0935672514619881E-2</v>
      </c>
      <c r="E17" s="22"/>
      <c r="F17" s="22"/>
      <c r="G17" s="22"/>
      <c r="H17" s="22"/>
      <c r="I17" s="22"/>
      <c r="J17" s="22">
        <v>14</v>
      </c>
      <c r="K17" s="22"/>
      <c r="L17" s="22"/>
      <c r="M17" s="14"/>
      <c r="O17" s="21"/>
      <c r="P17" s="20"/>
      <c r="Q17" s="20"/>
      <c r="R17" s="20"/>
      <c r="S17" s="20"/>
      <c r="T17" s="19">
        <f t="shared" si="2"/>
        <v>0</v>
      </c>
      <c r="U17" s="21"/>
      <c r="V17" s="20"/>
      <c r="W17" s="20"/>
      <c r="X17" s="20"/>
      <c r="Y17" s="20"/>
      <c r="Z17" s="19">
        <f t="shared" si="3"/>
        <v>0</v>
      </c>
      <c r="AA17" s="21"/>
      <c r="AB17" s="20"/>
      <c r="AC17" s="20"/>
      <c r="AD17" s="20"/>
      <c r="AE17" s="20"/>
      <c r="AF17" s="19">
        <f t="shared" si="4"/>
        <v>0</v>
      </c>
      <c r="AG17" s="21"/>
      <c r="AH17" s="20"/>
      <c r="AI17" s="20"/>
      <c r="AJ17" s="20"/>
      <c r="AK17" s="20"/>
      <c r="AL17" s="19">
        <f t="shared" si="8"/>
        <v>0</v>
      </c>
      <c r="AM17" s="21"/>
      <c r="AN17" s="20"/>
      <c r="AO17" s="20"/>
      <c r="AP17" s="20"/>
      <c r="AQ17" s="20"/>
      <c r="AR17" s="19">
        <f t="shared" si="5"/>
        <v>0</v>
      </c>
      <c r="AS17" s="21"/>
      <c r="AT17" s="20"/>
      <c r="AU17" s="20"/>
      <c r="AV17" s="20"/>
      <c r="AW17" s="20"/>
      <c r="AX17" s="19">
        <f t="shared" si="6"/>
        <v>0</v>
      </c>
      <c r="AY17" s="21"/>
      <c r="AZ17" s="20"/>
      <c r="BA17" s="20"/>
      <c r="BB17" s="20"/>
      <c r="BC17" s="20"/>
      <c r="BD17" s="19">
        <f t="shared" si="7"/>
        <v>0</v>
      </c>
    </row>
    <row r="18" spans="1:56" s="28" customFormat="1" ht="17.25" customHeight="1" x14ac:dyDescent="0.25">
      <c r="B18" s="18" t="s">
        <v>50</v>
      </c>
      <c r="C18" s="17">
        <f t="shared" si="1"/>
        <v>17</v>
      </c>
      <c r="D18" s="16">
        <f t="shared" si="0"/>
        <v>4.9707602339181284E-2</v>
      </c>
      <c r="E18" s="15"/>
      <c r="F18" s="15">
        <v>17</v>
      </c>
      <c r="G18" s="15"/>
      <c r="H18" s="15"/>
      <c r="I18" s="15"/>
      <c r="J18" s="15"/>
      <c r="K18" s="15"/>
      <c r="L18" s="15"/>
      <c r="M18" s="14"/>
      <c r="O18" s="29"/>
      <c r="P18" s="29"/>
      <c r="Q18" s="39">
        <f>SUM(Q6:Q17)</f>
        <v>0</v>
      </c>
      <c r="R18" s="12" t="e">
        <f>(SUM(R6:R17))/Q18</f>
        <v>#DIV/0!</v>
      </c>
      <c r="S18" s="12"/>
      <c r="T18" s="12" t="e">
        <f>(SUM(T6:T17))/Q18</f>
        <v>#DIV/0!</v>
      </c>
      <c r="U18" s="29"/>
      <c r="V18" s="29"/>
      <c r="W18" s="39">
        <f>SUM(W6:W17)</f>
        <v>0</v>
      </c>
      <c r="X18" s="12" t="e">
        <f>(SUM(X6:X17))/W18</f>
        <v>#DIV/0!</v>
      </c>
      <c r="Y18" s="12"/>
      <c r="Z18" s="12" t="e">
        <f>(SUM(Z6:Z17))/W18</f>
        <v>#DIV/0!</v>
      </c>
      <c r="AA18" s="29"/>
      <c r="AB18" s="29"/>
      <c r="AC18" s="39">
        <f>SUM(AC6:AC17)</f>
        <v>0</v>
      </c>
      <c r="AD18" s="12" t="e">
        <f>(SUM(AD6:AD17))/AC18</f>
        <v>#DIV/0!</v>
      </c>
      <c r="AE18" s="12"/>
      <c r="AF18" s="12" t="e">
        <f>(SUM(AF6:AF17))/AC18</f>
        <v>#DIV/0!</v>
      </c>
      <c r="AG18" s="29"/>
      <c r="AH18" s="29"/>
      <c r="AI18" s="39">
        <f>SUM(AI6:AI17)</f>
        <v>50</v>
      </c>
      <c r="AJ18" s="12">
        <f>(SUM(AJ6:AJ17))/AI18</f>
        <v>0</v>
      </c>
      <c r="AK18" s="12"/>
      <c r="AL18" s="12">
        <f>(SUM(AL6:AL17))/AI18</f>
        <v>1</v>
      </c>
      <c r="AM18" s="29"/>
      <c r="AN18" s="29"/>
      <c r="AO18" s="39">
        <f>SUM(AO6:AO17)</f>
        <v>73</v>
      </c>
      <c r="AP18" s="12">
        <f>(SUM(AP6:AP17))/AO18</f>
        <v>0.14109589041095888</v>
      </c>
      <c r="AQ18" s="12"/>
      <c r="AR18" s="12">
        <f>(SUM(AR6:AR17))/AO18</f>
        <v>0.85890410958904106</v>
      </c>
      <c r="AS18" s="29"/>
      <c r="AT18" s="29"/>
      <c r="AU18" s="39">
        <f>SUM(AU6:AU17)</f>
        <v>96</v>
      </c>
      <c r="AV18" s="12">
        <f>(SUM(AV6:AV17))/AU18</f>
        <v>0.14687500000000001</v>
      </c>
      <c r="AW18" s="12"/>
      <c r="AX18" s="12">
        <f>(SUM(AX6:AX17))/AU18</f>
        <v>0.85312500000000002</v>
      </c>
      <c r="AY18" s="29"/>
      <c r="AZ18" s="29"/>
      <c r="BA18" s="39">
        <f>SUM(BA6:BA17)</f>
        <v>40</v>
      </c>
      <c r="BB18" s="12">
        <f>(SUM(BB6:BB17))/BA18</f>
        <v>0</v>
      </c>
      <c r="BC18" s="12"/>
      <c r="BD18" s="12">
        <f>(SUM(BD6:BD17))/BA18</f>
        <v>1</v>
      </c>
    </row>
    <row r="19" spans="1:56" s="28" customFormat="1" ht="17.25" customHeight="1" x14ac:dyDescent="0.25">
      <c r="B19" s="31" t="s">
        <v>13</v>
      </c>
      <c r="C19" s="17">
        <f t="shared" si="1"/>
        <v>102</v>
      </c>
      <c r="D19" s="16">
        <f t="shared" si="0"/>
        <v>0.2982456140350877</v>
      </c>
      <c r="E19" s="15"/>
      <c r="F19" s="15">
        <v>15</v>
      </c>
      <c r="G19" s="15">
        <v>87</v>
      </c>
      <c r="H19" s="15"/>
      <c r="I19" s="15"/>
      <c r="J19" s="15"/>
      <c r="K19" s="15"/>
      <c r="L19" s="22"/>
      <c r="M19" s="14"/>
      <c r="O19" s="29"/>
      <c r="P19" s="29"/>
      <c r="Q19" s="13"/>
      <c r="R19" s="40">
        <f>SUM(R6:R17)</f>
        <v>0</v>
      </c>
      <c r="S19" s="44"/>
      <c r="T19" s="11">
        <f>SUM(T6:T17)</f>
        <v>0</v>
      </c>
      <c r="U19" s="29"/>
      <c r="V19" s="29"/>
      <c r="W19" s="13"/>
      <c r="X19" s="40">
        <f>SUM(X6:X17)</f>
        <v>0</v>
      </c>
      <c r="Y19" s="44"/>
      <c r="Z19" s="11">
        <f>SUM(Z6:Z17)</f>
        <v>0</v>
      </c>
      <c r="AA19" s="29"/>
      <c r="AB19" s="29"/>
      <c r="AC19" s="13"/>
      <c r="AD19" s="40">
        <f>SUM(AD6:AD17)</f>
        <v>0</v>
      </c>
      <c r="AE19" s="44"/>
      <c r="AF19" s="11">
        <f>SUM(AF6:AF17)</f>
        <v>0</v>
      </c>
      <c r="AG19" s="29"/>
      <c r="AH19" s="29"/>
      <c r="AI19" s="13"/>
      <c r="AJ19" s="40">
        <f>SUM(AJ6:AJ17)</f>
        <v>0</v>
      </c>
      <c r="AK19" s="44"/>
      <c r="AL19" s="11">
        <f>SUM(AL6:AL17)</f>
        <v>50</v>
      </c>
      <c r="AM19" s="29"/>
      <c r="AN19" s="29"/>
      <c r="AO19" s="13"/>
      <c r="AP19" s="40">
        <f>SUM(AP6:AP17)</f>
        <v>10.299999999999999</v>
      </c>
      <c r="AQ19" s="44"/>
      <c r="AR19" s="11">
        <f>SUM(AR6:AR17)</f>
        <v>62.699999999999996</v>
      </c>
      <c r="AS19" s="29"/>
      <c r="AT19" s="29"/>
      <c r="AU19" s="13"/>
      <c r="AV19" s="40">
        <f>SUM(AV6:AV17)</f>
        <v>14.1</v>
      </c>
      <c r="AW19" s="44"/>
      <c r="AX19" s="11">
        <f>SUM(AX6:AX17)</f>
        <v>81.900000000000006</v>
      </c>
      <c r="AY19" s="29"/>
      <c r="AZ19" s="29"/>
      <c r="BA19" s="13"/>
      <c r="BB19" s="40">
        <f>SUM(BB6:BB17)</f>
        <v>0</v>
      </c>
      <c r="BC19" s="44"/>
      <c r="BD19" s="11">
        <f>SUM(BD6:BD17)</f>
        <v>40</v>
      </c>
    </row>
    <row r="20" spans="1:56" s="28" customFormat="1" ht="17.25" customHeight="1" x14ac:dyDescent="0.25">
      <c r="B20" s="18" t="s">
        <v>12</v>
      </c>
      <c r="C20" s="17">
        <f t="shared" si="1"/>
        <v>0</v>
      </c>
      <c r="D20" s="16">
        <f t="shared" si="0"/>
        <v>0</v>
      </c>
      <c r="E20" s="24"/>
      <c r="F20" s="24"/>
      <c r="G20" s="24"/>
      <c r="H20" s="24"/>
      <c r="I20" s="24"/>
      <c r="J20" s="24"/>
      <c r="K20" s="24"/>
      <c r="L20" s="15"/>
      <c r="M20" s="14"/>
      <c r="O20" s="29"/>
      <c r="P20" s="29"/>
      <c r="Q20" s="13"/>
      <c r="R20" s="13"/>
      <c r="S20" s="13"/>
      <c r="T20" s="13"/>
      <c r="Y20" s="1"/>
      <c r="Z20" s="29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</row>
    <row r="21" spans="1:56" s="28" customFormat="1" ht="15" x14ac:dyDescent="0.25">
      <c r="B21" s="18" t="s">
        <v>11</v>
      </c>
      <c r="C21" s="17">
        <f t="shared" si="1"/>
        <v>0</v>
      </c>
      <c r="D21" s="16">
        <f t="shared" si="0"/>
        <v>0</v>
      </c>
      <c r="E21" s="15"/>
      <c r="F21" s="15"/>
      <c r="G21" s="15"/>
      <c r="H21" s="15"/>
      <c r="I21" s="15"/>
      <c r="J21" s="15"/>
      <c r="K21" s="15"/>
      <c r="L21" s="15"/>
      <c r="M21" s="14"/>
      <c r="O21" s="21"/>
      <c r="P21" s="20"/>
      <c r="Q21" s="20"/>
      <c r="R21" s="20"/>
      <c r="S21" s="20"/>
      <c r="T21" s="19">
        <f>Q21-R21</f>
        <v>0</v>
      </c>
      <c r="U21" s="21"/>
      <c r="V21" s="20"/>
      <c r="W21" s="20"/>
      <c r="X21" s="20"/>
      <c r="Y21" s="20"/>
      <c r="Z21" s="19">
        <f>W21-X21</f>
        <v>0</v>
      </c>
      <c r="AA21" s="21"/>
      <c r="AB21" s="20"/>
      <c r="AC21" s="20"/>
      <c r="AD21" s="20"/>
      <c r="AE21" s="20"/>
      <c r="AF21" s="19">
        <f>AC21-AD21</f>
        <v>0</v>
      </c>
      <c r="AG21" s="21" t="s">
        <v>0</v>
      </c>
      <c r="AH21" s="20" t="s">
        <v>28</v>
      </c>
      <c r="AI21" s="20">
        <v>5</v>
      </c>
      <c r="AJ21" s="20">
        <v>0</v>
      </c>
      <c r="AK21" s="20"/>
      <c r="AL21" s="19">
        <f>AI21-AJ21</f>
        <v>5</v>
      </c>
      <c r="AM21" s="21"/>
      <c r="AN21" s="20"/>
      <c r="AO21" s="20"/>
      <c r="AP21" s="20"/>
      <c r="AQ21" s="20"/>
      <c r="AR21" s="19">
        <f>AO21-AP21</f>
        <v>0</v>
      </c>
      <c r="AS21" s="21"/>
      <c r="AT21" s="20"/>
      <c r="AU21" s="20"/>
      <c r="AV21" s="20"/>
      <c r="AW21" s="20"/>
      <c r="AX21" s="19">
        <f>AU21-AV21</f>
        <v>0</v>
      </c>
      <c r="AY21" s="21"/>
      <c r="AZ21" s="20"/>
      <c r="BA21" s="20"/>
      <c r="BB21" s="20"/>
      <c r="BC21" s="20"/>
      <c r="BD21" s="19">
        <f>BA21-BB21</f>
        <v>0</v>
      </c>
    </row>
    <row r="22" spans="1:56" s="23" customFormat="1" ht="14.25" customHeight="1" x14ac:dyDescent="0.25">
      <c r="A22" s="46"/>
      <c r="B22" s="30" t="s">
        <v>37</v>
      </c>
      <c r="C22" s="17">
        <f t="shared" si="1"/>
        <v>0</v>
      </c>
      <c r="D22" s="16">
        <f t="shared" si="0"/>
        <v>0</v>
      </c>
      <c r="E22" s="26"/>
      <c r="F22" s="26"/>
      <c r="G22" s="26"/>
      <c r="H22" s="26"/>
      <c r="I22" s="26"/>
      <c r="J22" s="26"/>
      <c r="K22" s="26"/>
      <c r="L22" s="26"/>
      <c r="M22" s="14"/>
      <c r="O22" s="21"/>
      <c r="P22" s="20"/>
      <c r="Q22" s="20"/>
      <c r="R22" s="20"/>
      <c r="S22" s="20"/>
      <c r="T22" s="19">
        <f t="shared" ref="T22:T32" si="11">Q22-R22</f>
        <v>0</v>
      </c>
      <c r="U22" s="21"/>
      <c r="V22" s="20"/>
      <c r="W22" s="20"/>
      <c r="X22" s="20"/>
      <c r="Y22" s="20"/>
      <c r="Z22" s="19">
        <f t="shared" ref="Z22:Z32" si="12">W22-X22</f>
        <v>0</v>
      </c>
      <c r="AA22" s="21"/>
      <c r="AB22" s="20"/>
      <c r="AC22" s="20"/>
      <c r="AD22" s="20"/>
      <c r="AE22" s="20"/>
      <c r="AF22" s="19">
        <f t="shared" ref="AF22:AF32" si="13">AC22-AD22</f>
        <v>0</v>
      </c>
      <c r="AG22" s="21" t="s">
        <v>51</v>
      </c>
      <c r="AH22" s="20" t="s">
        <v>28</v>
      </c>
      <c r="AI22" s="20">
        <v>14</v>
      </c>
      <c r="AJ22" s="20">
        <v>4</v>
      </c>
      <c r="AK22" s="20" t="s">
        <v>68</v>
      </c>
      <c r="AL22" s="19">
        <f t="shared" ref="AL22:AL32" si="14">AI22-AJ22</f>
        <v>10</v>
      </c>
      <c r="AM22" s="21"/>
      <c r="AN22" s="20"/>
      <c r="AO22" s="20"/>
      <c r="AP22" s="20"/>
      <c r="AQ22" s="20"/>
      <c r="AR22" s="19">
        <f t="shared" ref="AR22:AR32" si="15">AO22-AP22</f>
        <v>0</v>
      </c>
      <c r="AS22" s="21"/>
      <c r="AT22" s="20"/>
      <c r="AU22" s="20"/>
      <c r="AV22" s="20"/>
      <c r="AW22" s="20"/>
      <c r="AX22" s="19">
        <f t="shared" ref="AX22:AX32" si="16">AU22-AV22</f>
        <v>0</v>
      </c>
      <c r="AY22" s="21"/>
      <c r="AZ22" s="20"/>
      <c r="BA22" s="20"/>
      <c r="BB22" s="20"/>
      <c r="BC22" s="20"/>
      <c r="BD22" s="19">
        <f t="shared" ref="BD22:BD32" si="17">BA22-BB22</f>
        <v>0</v>
      </c>
    </row>
    <row r="23" spans="1:56" s="23" customFormat="1" ht="15" x14ac:dyDescent="0.25">
      <c r="A23" s="46"/>
      <c r="B23" s="18" t="s">
        <v>10</v>
      </c>
      <c r="C23" s="17">
        <f t="shared" si="1"/>
        <v>0</v>
      </c>
      <c r="D23" s="16">
        <f t="shared" si="0"/>
        <v>0</v>
      </c>
      <c r="E23" s="26"/>
      <c r="F23" s="26"/>
      <c r="G23" s="26"/>
      <c r="H23" s="26"/>
      <c r="I23" s="26"/>
      <c r="J23" s="26"/>
      <c r="K23" s="26"/>
      <c r="L23" s="26"/>
      <c r="M23" s="14"/>
      <c r="O23" s="21"/>
      <c r="P23" s="20"/>
      <c r="Q23" s="20"/>
      <c r="R23" s="20"/>
      <c r="S23" s="20"/>
      <c r="T23" s="19">
        <f t="shared" si="11"/>
        <v>0</v>
      </c>
      <c r="U23" s="21"/>
      <c r="V23" s="20"/>
      <c r="W23" s="20"/>
      <c r="X23" s="20"/>
      <c r="Y23" s="20"/>
      <c r="Z23" s="19">
        <f t="shared" si="12"/>
        <v>0</v>
      </c>
      <c r="AA23" s="21"/>
      <c r="AB23" s="20"/>
      <c r="AC23" s="20"/>
      <c r="AD23" s="20"/>
      <c r="AE23" s="20"/>
      <c r="AF23" s="19">
        <f t="shared" si="13"/>
        <v>0</v>
      </c>
      <c r="AG23" s="21" t="s">
        <v>13</v>
      </c>
      <c r="AH23" s="20" t="s">
        <v>31</v>
      </c>
      <c r="AI23" s="20">
        <v>11</v>
      </c>
      <c r="AJ23" s="20">
        <v>4</v>
      </c>
      <c r="AK23" s="20" t="s">
        <v>68</v>
      </c>
      <c r="AL23" s="19">
        <f t="shared" si="14"/>
        <v>7</v>
      </c>
      <c r="AM23" s="21"/>
      <c r="AN23" s="20"/>
      <c r="AO23" s="20"/>
      <c r="AP23" s="20"/>
      <c r="AQ23" s="20"/>
      <c r="AR23" s="19">
        <f t="shared" si="15"/>
        <v>0</v>
      </c>
      <c r="AS23" s="21"/>
      <c r="AT23" s="20"/>
      <c r="AU23" s="20"/>
      <c r="AV23" s="20"/>
      <c r="AW23" s="20"/>
      <c r="AX23" s="19">
        <f t="shared" si="16"/>
        <v>0</v>
      </c>
      <c r="AY23" s="21"/>
      <c r="AZ23" s="20"/>
      <c r="BA23" s="20"/>
      <c r="BB23" s="20"/>
      <c r="BC23" s="20"/>
      <c r="BD23" s="19">
        <f t="shared" si="17"/>
        <v>0</v>
      </c>
    </row>
    <row r="24" spans="1:56" s="23" customFormat="1" ht="15" x14ac:dyDescent="0.25">
      <c r="A24" s="46"/>
      <c r="B24" s="27" t="s">
        <v>9</v>
      </c>
      <c r="C24" s="17">
        <f t="shared" si="1"/>
        <v>6</v>
      </c>
      <c r="D24" s="16">
        <f t="shared" si="0"/>
        <v>1.7543859649122806E-2</v>
      </c>
      <c r="E24" s="24"/>
      <c r="F24" s="24"/>
      <c r="G24" s="24">
        <v>6</v>
      </c>
      <c r="H24" s="24"/>
      <c r="I24" s="24"/>
      <c r="J24" s="24"/>
      <c r="K24" s="24"/>
      <c r="L24" s="24"/>
      <c r="M24" s="14"/>
      <c r="O24" s="21"/>
      <c r="P24" s="20"/>
      <c r="Q24" s="20"/>
      <c r="R24" s="20"/>
      <c r="S24" s="20"/>
      <c r="T24" s="19">
        <f t="shared" si="11"/>
        <v>0</v>
      </c>
      <c r="U24" s="21"/>
      <c r="V24" s="20"/>
      <c r="W24" s="20"/>
      <c r="X24" s="20"/>
      <c r="Y24" s="20"/>
      <c r="Z24" s="19">
        <f t="shared" si="12"/>
        <v>0</v>
      </c>
      <c r="AA24" s="21"/>
      <c r="AB24" s="20"/>
      <c r="AC24" s="20"/>
      <c r="AD24" s="20"/>
      <c r="AE24" s="20"/>
      <c r="AF24" s="19">
        <f t="shared" si="13"/>
        <v>0</v>
      </c>
      <c r="AG24" s="21" t="s">
        <v>13</v>
      </c>
      <c r="AH24" s="20" t="s">
        <v>31</v>
      </c>
      <c r="AI24" s="20">
        <v>5</v>
      </c>
      <c r="AJ24" s="20">
        <v>1.5</v>
      </c>
      <c r="AK24" s="20" t="s">
        <v>68</v>
      </c>
      <c r="AL24" s="19">
        <f t="shared" si="14"/>
        <v>3.5</v>
      </c>
      <c r="AM24" s="21"/>
      <c r="AN24" s="20"/>
      <c r="AO24" s="20"/>
      <c r="AP24" s="20"/>
      <c r="AQ24" s="20"/>
      <c r="AR24" s="19">
        <f t="shared" si="15"/>
        <v>0</v>
      </c>
      <c r="AS24" s="21"/>
      <c r="AT24" s="20"/>
      <c r="AU24" s="20"/>
      <c r="AV24" s="20"/>
      <c r="AW24" s="20"/>
      <c r="AX24" s="19">
        <f t="shared" si="16"/>
        <v>0</v>
      </c>
      <c r="AY24" s="21"/>
      <c r="AZ24" s="20"/>
      <c r="BA24" s="20"/>
      <c r="BB24" s="20"/>
      <c r="BC24" s="20"/>
      <c r="BD24" s="19">
        <f t="shared" si="17"/>
        <v>0</v>
      </c>
    </row>
    <row r="25" spans="1:56" ht="13.5" customHeight="1" x14ac:dyDescent="0.25">
      <c r="B25" s="27" t="s">
        <v>48</v>
      </c>
      <c r="C25" s="17">
        <f t="shared" si="1"/>
        <v>0</v>
      </c>
      <c r="D25" s="16">
        <f t="shared" si="0"/>
        <v>0</v>
      </c>
      <c r="E25" s="15"/>
      <c r="F25" s="15"/>
      <c r="G25" s="15"/>
      <c r="H25" s="15"/>
      <c r="I25" s="15"/>
      <c r="J25" s="15"/>
      <c r="K25" s="15"/>
      <c r="L25" s="22"/>
      <c r="M25" s="14"/>
      <c r="O25" s="21"/>
      <c r="P25" s="20"/>
      <c r="Q25" s="20"/>
      <c r="R25" s="20"/>
      <c r="S25" s="20"/>
      <c r="T25" s="19">
        <f t="shared" si="11"/>
        <v>0</v>
      </c>
      <c r="U25" s="21"/>
      <c r="V25" s="20"/>
      <c r="W25" s="20"/>
      <c r="X25" s="20"/>
      <c r="Y25" s="20"/>
      <c r="Z25" s="19">
        <f t="shared" si="12"/>
        <v>0</v>
      </c>
      <c r="AA25" s="21"/>
      <c r="AB25" s="20"/>
      <c r="AC25" s="20"/>
      <c r="AD25" s="20"/>
      <c r="AE25" s="20"/>
      <c r="AF25" s="19">
        <f t="shared" si="13"/>
        <v>0</v>
      </c>
      <c r="AG25" s="21" t="s">
        <v>13</v>
      </c>
      <c r="AH25" s="20" t="s">
        <v>31</v>
      </c>
      <c r="AI25" s="20">
        <v>16</v>
      </c>
      <c r="AJ25" s="20">
        <v>3.5</v>
      </c>
      <c r="AK25" s="20" t="s">
        <v>68</v>
      </c>
      <c r="AL25" s="19">
        <f t="shared" si="14"/>
        <v>12.5</v>
      </c>
      <c r="AM25" s="21"/>
      <c r="AN25" s="20"/>
      <c r="AO25" s="20"/>
      <c r="AP25" s="20"/>
      <c r="AQ25" s="20"/>
      <c r="AR25" s="19">
        <f t="shared" si="15"/>
        <v>0</v>
      </c>
      <c r="AS25" s="21"/>
      <c r="AT25" s="20"/>
      <c r="AU25" s="20"/>
      <c r="AV25" s="20"/>
      <c r="AW25" s="20"/>
      <c r="AX25" s="19">
        <f t="shared" si="16"/>
        <v>0</v>
      </c>
      <c r="AY25" s="21"/>
      <c r="AZ25" s="20"/>
      <c r="BA25" s="20"/>
      <c r="BB25" s="20"/>
      <c r="BC25" s="20"/>
      <c r="BD25" s="19">
        <f t="shared" si="17"/>
        <v>0</v>
      </c>
    </row>
    <row r="26" spans="1:56" ht="13.5" customHeight="1" x14ac:dyDescent="0.25">
      <c r="B26" s="25" t="s">
        <v>8</v>
      </c>
      <c r="C26" s="17">
        <f t="shared" si="1"/>
        <v>10</v>
      </c>
      <c r="D26" s="16">
        <f t="shared" si="0"/>
        <v>2.9239766081871343E-2</v>
      </c>
      <c r="E26" s="15"/>
      <c r="F26" s="15"/>
      <c r="G26" s="15"/>
      <c r="H26" s="15"/>
      <c r="I26" s="15"/>
      <c r="J26" s="15"/>
      <c r="K26" s="15">
        <v>10</v>
      </c>
      <c r="L26" s="15"/>
      <c r="M26" s="14"/>
      <c r="O26" s="21"/>
      <c r="P26" s="20"/>
      <c r="Q26" s="20"/>
      <c r="R26" s="20"/>
      <c r="S26" s="20"/>
      <c r="T26" s="19">
        <f t="shared" si="11"/>
        <v>0</v>
      </c>
      <c r="U26" s="21"/>
      <c r="V26" s="20"/>
      <c r="W26" s="20"/>
      <c r="X26" s="20"/>
      <c r="Y26" s="20"/>
      <c r="Z26" s="19">
        <f t="shared" si="12"/>
        <v>0</v>
      </c>
      <c r="AA26" s="21"/>
      <c r="AB26" s="20"/>
      <c r="AC26" s="20"/>
      <c r="AD26" s="20"/>
      <c r="AE26" s="20"/>
      <c r="AF26" s="19">
        <f t="shared" si="13"/>
        <v>0</v>
      </c>
      <c r="AG26" s="21" t="s">
        <v>50</v>
      </c>
      <c r="AH26" s="20" t="s">
        <v>32</v>
      </c>
      <c r="AI26" s="20">
        <v>11</v>
      </c>
      <c r="AJ26" s="20">
        <v>3</v>
      </c>
      <c r="AK26" s="20" t="s">
        <v>69</v>
      </c>
      <c r="AL26" s="19">
        <f t="shared" si="14"/>
        <v>8</v>
      </c>
      <c r="AM26" s="21"/>
      <c r="AN26" s="20"/>
      <c r="AO26" s="20"/>
      <c r="AP26" s="20"/>
      <c r="AQ26" s="20"/>
      <c r="AR26" s="19">
        <f t="shared" si="15"/>
        <v>0</v>
      </c>
      <c r="AS26" s="21"/>
      <c r="AT26" s="20"/>
      <c r="AU26" s="20"/>
      <c r="AV26" s="20"/>
      <c r="AW26" s="20"/>
      <c r="AX26" s="19">
        <f t="shared" si="16"/>
        <v>0</v>
      </c>
      <c r="AY26" s="21"/>
      <c r="AZ26" s="20"/>
      <c r="BA26" s="20"/>
      <c r="BB26" s="20"/>
      <c r="BC26" s="20"/>
      <c r="BD26" s="19">
        <f t="shared" si="17"/>
        <v>0</v>
      </c>
    </row>
    <row r="27" spans="1:56" ht="13.5" customHeight="1" x14ac:dyDescent="0.25">
      <c r="B27" s="18" t="s">
        <v>7</v>
      </c>
      <c r="C27" s="17">
        <f t="shared" si="1"/>
        <v>0</v>
      </c>
      <c r="D27" s="16">
        <f t="shared" si="0"/>
        <v>0</v>
      </c>
      <c r="E27" s="15"/>
      <c r="F27" s="15"/>
      <c r="G27" s="15"/>
      <c r="H27" s="15"/>
      <c r="I27" s="15"/>
      <c r="J27" s="15"/>
      <c r="K27" s="15"/>
      <c r="L27" s="15"/>
      <c r="M27" s="14"/>
      <c r="O27" s="21"/>
      <c r="P27" s="20"/>
      <c r="Q27" s="20"/>
      <c r="R27" s="20"/>
      <c r="S27" s="20"/>
      <c r="T27" s="19">
        <f t="shared" si="11"/>
        <v>0</v>
      </c>
      <c r="U27" s="21"/>
      <c r="V27" s="20"/>
      <c r="W27" s="20"/>
      <c r="X27" s="20"/>
      <c r="Y27" s="20"/>
      <c r="Z27" s="19">
        <f t="shared" si="12"/>
        <v>0</v>
      </c>
      <c r="AA27" s="21"/>
      <c r="AB27" s="20"/>
      <c r="AC27" s="20"/>
      <c r="AD27" s="20"/>
      <c r="AE27" s="20"/>
      <c r="AF27" s="19">
        <f t="shared" si="13"/>
        <v>0</v>
      </c>
      <c r="AG27" s="21" t="s">
        <v>50</v>
      </c>
      <c r="AH27" s="20" t="s">
        <v>32</v>
      </c>
      <c r="AI27" s="20">
        <v>6</v>
      </c>
      <c r="AJ27" s="20">
        <v>1</v>
      </c>
      <c r="AK27" s="20" t="s">
        <v>69</v>
      </c>
      <c r="AL27" s="19">
        <f t="shared" si="14"/>
        <v>5</v>
      </c>
      <c r="AM27" s="21"/>
      <c r="AN27" s="20"/>
      <c r="AO27" s="20"/>
      <c r="AP27" s="20"/>
      <c r="AQ27" s="20"/>
      <c r="AR27" s="19">
        <f t="shared" si="15"/>
        <v>0</v>
      </c>
      <c r="AS27" s="21"/>
      <c r="AT27" s="20"/>
      <c r="AU27" s="20"/>
      <c r="AV27" s="20"/>
      <c r="AW27" s="20"/>
      <c r="AX27" s="19">
        <f t="shared" si="16"/>
        <v>0</v>
      </c>
      <c r="AY27" s="21"/>
      <c r="AZ27" s="20"/>
      <c r="BA27" s="20"/>
      <c r="BB27" s="20"/>
      <c r="BC27" s="20"/>
      <c r="BD27" s="19">
        <f t="shared" si="17"/>
        <v>0</v>
      </c>
    </row>
    <row r="28" spans="1:56" ht="13.5" customHeight="1" x14ac:dyDescent="0.25">
      <c r="B28" s="18" t="s">
        <v>6</v>
      </c>
      <c r="C28" s="17">
        <f t="shared" si="1"/>
        <v>0</v>
      </c>
      <c r="D28" s="16">
        <f t="shared" si="0"/>
        <v>0</v>
      </c>
      <c r="E28" s="15"/>
      <c r="F28" s="15"/>
      <c r="G28" s="15"/>
      <c r="H28" s="15"/>
      <c r="I28" s="15"/>
      <c r="J28" s="15"/>
      <c r="K28" s="15"/>
      <c r="L28" s="15"/>
      <c r="M28" s="14"/>
      <c r="O28" s="21"/>
      <c r="P28" s="20"/>
      <c r="Q28" s="20"/>
      <c r="R28" s="20"/>
      <c r="S28" s="20"/>
      <c r="T28" s="19">
        <f t="shared" si="11"/>
        <v>0</v>
      </c>
      <c r="U28" s="21"/>
      <c r="V28" s="20"/>
      <c r="W28" s="20"/>
      <c r="X28" s="20"/>
      <c r="Y28" s="20"/>
      <c r="Z28" s="19">
        <f t="shared" si="12"/>
        <v>0</v>
      </c>
      <c r="AA28" s="21"/>
      <c r="AB28" s="20"/>
      <c r="AC28" s="20"/>
      <c r="AD28" s="20"/>
      <c r="AE28" s="20"/>
      <c r="AF28" s="19">
        <f t="shared" si="13"/>
        <v>0</v>
      </c>
      <c r="AG28" s="21" t="s">
        <v>13</v>
      </c>
      <c r="AH28" s="20" t="s">
        <v>31</v>
      </c>
      <c r="AI28" s="20">
        <v>6</v>
      </c>
      <c r="AJ28" s="20">
        <v>2</v>
      </c>
      <c r="AK28" s="20" t="s">
        <v>69</v>
      </c>
      <c r="AL28" s="19">
        <f t="shared" si="14"/>
        <v>4</v>
      </c>
      <c r="AM28" s="21"/>
      <c r="AN28" s="20"/>
      <c r="AO28" s="20"/>
      <c r="AP28" s="20"/>
      <c r="AQ28" s="20"/>
      <c r="AR28" s="19">
        <f t="shared" si="15"/>
        <v>0</v>
      </c>
      <c r="AS28" s="21"/>
      <c r="AT28" s="20"/>
      <c r="AU28" s="20"/>
      <c r="AV28" s="20"/>
      <c r="AW28" s="20"/>
      <c r="AX28" s="19">
        <f t="shared" si="16"/>
        <v>0</v>
      </c>
      <c r="AY28" s="21"/>
      <c r="AZ28" s="20"/>
      <c r="BA28" s="20"/>
      <c r="BB28" s="20"/>
      <c r="BC28" s="20"/>
      <c r="BD28" s="19">
        <f t="shared" si="17"/>
        <v>0</v>
      </c>
    </row>
    <row r="29" spans="1:56" ht="13.5" customHeight="1" x14ac:dyDescent="0.25">
      <c r="B29" s="18" t="s">
        <v>5</v>
      </c>
      <c r="C29" s="17">
        <f t="shared" si="1"/>
        <v>0</v>
      </c>
      <c r="D29" s="16">
        <f t="shared" si="0"/>
        <v>0</v>
      </c>
      <c r="E29" s="15"/>
      <c r="F29" s="15"/>
      <c r="G29" s="15"/>
      <c r="H29" s="15"/>
      <c r="I29" s="15"/>
      <c r="J29" s="15"/>
      <c r="K29" s="15"/>
      <c r="L29" s="15"/>
      <c r="M29" s="14"/>
      <c r="O29" s="21"/>
      <c r="P29" s="20"/>
      <c r="Q29" s="20"/>
      <c r="R29" s="20"/>
      <c r="S29" s="20"/>
      <c r="T29" s="19">
        <f t="shared" si="11"/>
        <v>0</v>
      </c>
      <c r="U29" s="21"/>
      <c r="V29" s="20"/>
      <c r="W29" s="20"/>
      <c r="X29" s="20"/>
      <c r="Y29" s="20"/>
      <c r="Z29" s="19">
        <f t="shared" si="12"/>
        <v>0</v>
      </c>
      <c r="AA29" s="21"/>
      <c r="AB29" s="20"/>
      <c r="AC29" s="20"/>
      <c r="AD29" s="20"/>
      <c r="AE29" s="20"/>
      <c r="AF29" s="19">
        <f t="shared" si="13"/>
        <v>0</v>
      </c>
      <c r="AG29" s="21" t="s">
        <v>52</v>
      </c>
      <c r="AH29" s="20" t="s">
        <v>25</v>
      </c>
      <c r="AI29" s="20">
        <v>5</v>
      </c>
      <c r="AJ29" s="20">
        <v>2</v>
      </c>
      <c r="AK29" s="20" t="s">
        <v>71</v>
      </c>
      <c r="AL29" s="19">
        <f t="shared" si="14"/>
        <v>3</v>
      </c>
      <c r="AM29" s="21"/>
      <c r="AN29" s="20"/>
      <c r="AO29" s="20"/>
      <c r="AP29" s="20"/>
      <c r="AQ29" s="20"/>
      <c r="AR29" s="19">
        <f t="shared" si="15"/>
        <v>0</v>
      </c>
      <c r="AS29" s="21"/>
      <c r="AT29" s="20"/>
      <c r="AU29" s="20"/>
      <c r="AV29" s="20"/>
      <c r="AW29" s="20"/>
      <c r="AX29" s="19">
        <f t="shared" si="16"/>
        <v>0</v>
      </c>
      <c r="AY29" s="21"/>
      <c r="AZ29" s="20"/>
      <c r="BA29" s="20"/>
      <c r="BB29" s="20"/>
      <c r="BC29" s="20"/>
      <c r="BD29" s="19">
        <f t="shared" si="17"/>
        <v>0</v>
      </c>
    </row>
    <row r="30" spans="1:56" ht="13.5" customHeight="1" x14ac:dyDescent="0.25">
      <c r="B30" s="18" t="s">
        <v>4</v>
      </c>
      <c r="C30" s="17">
        <f t="shared" si="1"/>
        <v>0</v>
      </c>
      <c r="D30" s="16">
        <f t="shared" si="0"/>
        <v>0</v>
      </c>
      <c r="E30" s="15"/>
      <c r="F30" s="15"/>
      <c r="G30" s="15"/>
      <c r="H30" s="15"/>
      <c r="I30" s="15"/>
      <c r="J30" s="15"/>
      <c r="K30" s="15"/>
      <c r="L30" s="15"/>
      <c r="M30" s="14"/>
      <c r="O30" s="21"/>
      <c r="P30" s="20"/>
      <c r="Q30" s="20"/>
      <c r="R30" s="20"/>
      <c r="S30" s="20"/>
      <c r="T30" s="19">
        <f t="shared" si="11"/>
        <v>0</v>
      </c>
      <c r="U30" s="21"/>
      <c r="V30" s="20"/>
      <c r="W30" s="20"/>
      <c r="X30" s="20"/>
      <c r="Y30" s="20"/>
      <c r="Z30" s="19">
        <f t="shared" si="12"/>
        <v>0</v>
      </c>
      <c r="AA30" s="21"/>
      <c r="AB30" s="20"/>
      <c r="AC30" s="20"/>
      <c r="AD30" s="20"/>
      <c r="AE30" s="20"/>
      <c r="AF30" s="19">
        <f t="shared" si="13"/>
        <v>0</v>
      </c>
      <c r="AG30" s="21" t="s">
        <v>0</v>
      </c>
      <c r="AH30" s="20" t="s">
        <v>36</v>
      </c>
      <c r="AI30" s="20">
        <v>4</v>
      </c>
      <c r="AJ30" s="20"/>
      <c r="AK30" s="20"/>
      <c r="AL30" s="19">
        <f t="shared" si="14"/>
        <v>4</v>
      </c>
      <c r="AM30" s="21"/>
      <c r="AN30" s="20"/>
      <c r="AO30" s="20"/>
      <c r="AP30" s="20"/>
      <c r="AQ30" s="20"/>
      <c r="AR30" s="19">
        <f t="shared" si="15"/>
        <v>0</v>
      </c>
      <c r="AS30" s="21"/>
      <c r="AT30" s="20"/>
      <c r="AU30" s="20"/>
      <c r="AV30" s="20"/>
      <c r="AW30" s="20"/>
      <c r="AX30" s="19">
        <f t="shared" si="16"/>
        <v>0</v>
      </c>
      <c r="AY30" s="21"/>
      <c r="AZ30" s="20"/>
      <c r="BA30" s="20"/>
      <c r="BB30" s="20"/>
      <c r="BC30" s="20"/>
      <c r="BD30" s="19">
        <f t="shared" si="17"/>
        <v>0</v>
      </c>
    </row>
    <row r="31" spans="1:56" ht="13.5" customHeight="1" x14ac:dyDescent="0.25">
      <c r="B31" s="18" t="s">
        <v>3</v>
      </c>
      <c r="C31" s="17">
        <f t="shared" si="1"/>
        <v>0</v>
      </c>
      <c r="D31" s="16">
        <f t="shared" si="0"/>
        <v>0</v>
      </c>
      <c r="E31" s="15"/>
      <c r="F31" s="15"/>
      <c r="G31" s="15"/>
      <c r="H31" s="15"/>
      <c r="I31" s="15"/>
      <c r="J31" s="15"/>
      <c r="K31" s="15"/>
      <c r="L31" s="15"/>
      <c r="M31" s="14"/>
      <c r="O31" s="21"/>
      <c r="P31" s="20"/>
      <c r="Q31" s="20"/>
      <c r="R31" s="20"/>
      <c r="S31" s="20"/>
      <c r="T31" s="19">
        <f t="shared" si="11"/>
        <v>0</v>
      </c>
      <c r="U31" s="21"/>
      <c r="V31" s="20"/>
      <c r="W31" s="20"/>
      <c r="X31" s="20"/>
      <c r="Y31" s="20"/>
      <c r="Z31" s="19">
        <f t="shared" si="12"/>
        <v>0</v>
      </c>
      <c r="AA31" s="21"/>
      <c r="AB31" s="20"/>
      <c r="AC31" s="20"/>
      <c r="AD31" s="20"/>
      <c r="AE31" s="20"/>
      <c r="AF31" s="19">
        <f t="shared" si="13"/>
        <v>0</v>
      </c>
      <c r="AG31" s="21"/>
      <c r="AH31" s="20"/>
      <c r="AI31" s="20"/>
      <c r="AJ31" s="20"/>
      <c r="AK31" s="20"/>
      <c r="AL31" s="19">
        <f t="shared" si="14"/>
        <v>0</v>
      </c>
      <c r="AM31" s="21"/>
      <c r="AN31" s="20"/>
      <c r="AO31" s="20"/>
      <c r="AP31" s="20"/>
      <c r="AQ31" s="20"/>
      <c r="AR31" s="19">
        <f t="shared" si="15"/>
        <v>0</v>
      </c>
      <c r="AS31" s="21"/>
      <c r="AT31" s="20"/>
      <c r="AU31" s="20"/>
      <c r="AV31" s="20"/>
      <c r="AW31" s="20"/>
      <c r="AX31" s="19">
        <f t="shared" si="16"/>
        <v>0</v>
      </c>
      <c r="AY31" s="21"/>
      <c r="AZ31" s="20"/>
      <c r="BA31" s="20"/>
      <c r="BB31" s="20"/>
      <c r="BC31" s="20"/>
      <c r="BD31" s="19">
        <f t="shared" si="17"/>
        <v>0</v>
      </c>
    </row>
    <row r="32" spans="1:56" ht="13.5" customHeight="1" x14ac:dyDescent="0.25">
      <c r="B32" s="18" t="s">
        <v>2</v>
      </c>
      <c r="C32" s="17">
        <f t="shared" si="1"/>
        <v>0</v>
      </c>
      <c r="D32" s="16">
        <f t="shared" si="0"/>
        <v>0</v>
      </c>
      <c r="E32" s="15"/>
      <c r="F32" s="15"/>
      <c r="G32" s="15"/>
      <c r="H32" s="15"/>
      <c r="I32" s="15"/>
      <c r="J32" s="15"/>
      <c r="K32" s="15"/>
      <c r="L32" s="15"/>
      <c r="M32" s="14"/>
      <c r="O32" s="21"/>
      <c r="P32" s="20"/>
      <c r="Q32" s="20"/>
      <c r="R32" s="20"/>
      <c r="S32" s="20"/>
      <c r="T32" s="19">
        <f t="shared" si="11"/>
        <v>0</v>
      </c>
      <c r="U32" s="21"/>
      <c r="V32" s="20"/>
      <c r="W32" s="20"/>
      <c r="X32" s="20"/>
      <c r="Y32" s="20"/>
      <c r="Z32" s="19">
        <f t="shared" si="12"/>
        <v>0</v>
      </c>
      <c r="AA32" s="21"/>
      <c r="AB32" s="20"/>
      <c r="AC32" s="20"/>
      <c r="AD32" s="20"/>
      <c r="AE32" s="20"/>
      <c r="AF32" s="19">
        <f t="shared" si="13"/>
        <v>0</v>
      </c>
      <c r="AG32" s="21"/>
      <c r="AH32" s="20"/>
      <c r="AI32" s="20"/>
      <c r="AJ32" s="20"/>
      <c r="AK32" s="20"/>
      <c r="AL32" s="19">
        <f t="shared" si="14"/>
        <v>0</v>
      </c>
      <c r="AM32" s="21"/>
      <c r="AN32" s="20"/>
      <c r="AO32" s="20"/>
      <c r="AP32" s="20"/>
      <c r="AQ32" s="20"/>
      <c r="AR32" s="19">
        <f t="shared" si="15"/>
        <v>0</v>
      </c>
      <c r="AS32" s="21"/>
      <c r="AT32" s="20"/>
      <c r="AU32" s="20"/>
      <c r="AV32" s="20"/>
      <c r="AW32" s="20"/>
      <c r="AX32" s="19">
        <f t="shared" si="16"/>
        <v>0</v>
      </c>
      <c r="AY32" s="21"/>
      <c r="AZ32" s="20"/>
      <c r="BA32" s="20"/>
      <c r="BB32" s="20"/>
      <c r="BC32" s="20"/>
      <c r="BD32" s="19">
        <f t="shared" si="17"/>
        <v>0</v>
      </c>
    </row>
    <row r="33" spans="2:56" ht="13.5" customHeight="1" x14ac:dyDescent="0.25">
      <c r="B33" s="18" t="s">
        <v>52</v>
      </c>
      <c r="C33" s="17">
        <f t="shared" si="1"/>
        <v>10</v>
      </c>
      <c r="D33" s="16">
        <f t="shared" ref="D33" si="18">C33/$C$35</f>
        <v>2.9239766081871343E-2</v>
      </c>
      <c r="E33" s="15"/>
      <c r="F33" s="15"/>
      <c r="G33" s="15"/>
      <c r="H33" s="15"/>
      <c r="I33" s="15"/>
      <c r="J33" s="15"/>
      <c r="K33" s="15"/>
      <c r="L33" s="15"/>
      <c r="M33" s="14">
        <v>10</v>
      </c>
      <c r="O33" s="29"/>
      <c r="P33" s="29"/>
      <c r="Q33" s="39">
        <f>SUM(Q21:Q32)</f>
        <v>0</v>
      </c>
      <c r="R33" s="12" t="e">
        <f>(SUM(R21:R32))/Q33</f>
        <v>#DIV/0!</v>
      </c>
      <c r="S33" s="12"/>
      <c r="T33" s="12" t="e">
        <f>(SUM(T21:T32))/Q33</f>
        <v>#DIV/0!</v>
      </c>
      <c r="U33" s="29"/>
      <c r="V33" s="29"/>
      <c r="W33" s="39">
        <f>SUM(W21:W32)</f>
        <v>0</v>
      </c>
      <c r="X33" s="12" t="e">
        <f>(SUM(X21:X32))/W33</f>
        <v>#DIV/0!</v>
      </c>
      <c r="Y33" s="12"/>
      <c r="Z33" s="12" t="e">
        <f>(SUM(Z21:Z32))/W33</f>
        <v>#DIV/0!</v>
      </c>
      <c r="AA33" s="29"/>
      <c r="AB33" s="29"/>
      <c r="AC33" s="39">
        <f>SUM(AC21:AC32)</f>
        <v>0</v>
      </c>
      <c r="AD33" s="12" t="e">
        <f>(SUM(AD21:AD32))/AC33</f>
        <v>#DIV/0!</v>
      </c>
      <c r="AE33" s="12"/>
      <c r="AF33" s="12" t="e">
        <f>(SUM(AF21:AF32))/AC33</f>
        <v>#DIV/0!</v>
      </c>
      <c r="AG33" s="29"/>
      <c r="AH33" s="29"/>
      <c r="AI33" s="39">
        <f>SUM(AI21:AI32)</f>
        <v>83</v>
      </c>
      <c r="AJ33" s="12">
        <f>(SUM(AJ21:AJ32))/AI33</f>
        <v>0.25301204819277107</v>
      </c>
      <c r="AK33" s="12"/>
      <c r="AL33" s="12">
        <f>(SUM(AL21:AL32))/AI33</f>
        <v>0.74698795180722888</v>
      </c>
      <c r="AM33" s="29"/>
      <c r="AN33" s="29"/>
      <c r="AO33" s="39">
        <f>SUM(AO21:AO32)</f>
        <v>0</v>
      </c>
      <c r="AP33" s="12" t="e">
        <f>(SUM(AP21:AP32))/AO33</f>
        <v>#DIV/0!</v>
      </c>
      <c r="AQ33" s="12"/>
      <c r="AR33" s="12" t="e">
        <f>(SUM(AR21:AR32))/AO33</f>
        <v>#DIV/0!</v>
      </c>
      <c r="AS33" s="29"/>
      <c r="AT33" s="29"/>
      <c r="AU33" s="39">
        <f>SUM(AU21:AU32)</f>
        <v>0</v>
      </c>
      <c r="AV33" s="12" t="e">
        <f>(SUM(AV21:AV32))/AU33</f>
        <v>#DIV/0!</v>
      </c>
      <c r="AW33" s="12"/>
      <c r="AX33" s="12" t="e">
        <f>(SUM(AX21:AX32))/AU33</f>
        <v>#DIV/0!</v>
      </c>
      <c r="AY33" s="29"/>
      <c r="AZ33" s="29"/>
      <c r="BA33" s="39">
        <f>SUM(BA21:BA32)</f>
        <v>0</v>
      </c>
      <c r="BB33" s="12" t="e">
        <f>(SUM(BB21:BB32))/BA33</f>
        <v>#DIV/0!</v>
      </c>
      <c r="BC33" s="12"/>
      <c r="BD33" s="12" t="e">
        <f>(SUM(BD21:BD32))/BA33</f>
        <v>#DIV/0!</v>
      </c>
    </row>
    <row r="34" spans="2:56" ht="13.5" customHeight="1" x14ac:dyDescent="0.25">
      <c r="B34" s="18" t="s">
        <v>38</v>
      </c>
      <c r="C34" s="17"/>
      <c r="D34" s="16">
        <f t="shared" si="0"/>
        <v>0</v>
      </c>
      <c r="E34" s="15"/>
      <c r="F34" s="15"/>
      <c r="G34" s="15"/>
      <c r="H34" s="15"/>
      <c r="I34" s="15"/>
      <c r="J34" s="15"/>
      <c r="K34" s="15"/>
      <c r="L34" s="15"/>
      <c r="M34" s="14"/>
      <c r="O34" s="29"/>
      <c r="P34" s="29"/>
      <c r="Q34" s="13"/>
      <c r="R34" s="40">
        <f>SUM(R21:R32)</f>
        <v>0</v>
      </c>
      <c r="S34" s="44"/>
      <c r="T34" s="11">
        <f>SUM(T21:T32)</f>
        <v>0</v>
      </c>
      <c r="U34" s="29"/>
      <c r="V34" s="29"/>
      <c r="W34" s="13"/>
      <c r="X34" s="40">
        <f>SUM(X21:X32)</f>
        <v>0</v>
      </c>
      <c r="Y34" s="44"/>
      <c r="Z34" s="11">
        <f>SUM(Z21:Z32)</f>
        <v>0</v>
      </c>
      <c r="AA34" s="29"/>
      <c r="AB34" s="29"/>
      <c r="AC34" s="13"/>
      <c r="AD34" s="40">
        <f>SUM(AD21:AD32)</f>
        <v>0</v>
      </c>
      <c r="AE34" s="44"/>
      <c r="AF34" s="11">
        <f>SUM(AF21:AF32)</f>
        <v>0</v>
      </c>
      <c r="AG34" s="29"/>
      <c r="AH34" s="29"/>
      <c r="AI34" s="13"/>
      <c r="AJ34" s="40">
        <f>SUM(AJ21:AJ32)</f>
        <v>21</v>
      </c>
      <c r="AK34" s="44"/>
      <c r="AL34" s="11">
        <f>SUM(AL21:AL32)</f>
        <v>62</v>
      </c>
      <c r="AM34" s="29"/>
      <c r="AN34" s="29"/>
      <c r="AO34" s="13"/>
      <c r="AP34" s="40">
        <f>SUM(AP21:AP32)</f>
        <v>0</v>
      </c>
      <c r="AQ34" s="44"/>
      <c r="AR34" s="11">
        <f>SUM(AR21:AR32)</f>
        <v>0</v>
      </c>
      <c r="AS34" s="29"/>
      <c r="AT34" s="29"/>
      <c r="AU34" s="13"/>
      <c r="AV34" s="40">
        <f>SUM(AV21:AV32)</f>
        <v>0</v>
      </c>
      <c r="AW34" s="44"/>
      <c r="AX34" s="11">
        <f>SUM(AX21:AX32)</f>
        <v>0</v>
      </c>
      <c r="AY34" s="29"/>
      <c r="AZ34" s="29"/>
      <c r="BA34" s="13"/>
      <c r="BB34" s="40">
        <f>SUM(BB21:BB32)</f>
        <v>0</v>
      </c>
      <c r="BC34" s="44"/>
      <c r="BD34" s="11">
        <f>SUM(BD21:BD32)</f>
        <v>0</v>
      </c>
    </row>
    <row r="35" spans="2:56" ht="13.5" customHeight="1" x14ac:dyDescent="0.25">
      <c r="B35" s="52" t="s">
        <v>1</v>
      </c>
      <c r="C35" s="10">
        <f>SUM(C6:C34)</f>
        <v>342</v>
      </c>
      <c r="D35" s="9"/>
      <c r="E35" s="8">
        <f>(SUM(E6:E34)/C35)</f>
        <v>3.5087719298245612E-2</v>
      </c>
      <c r="F35" s="8">
        <f>(SUM(F7:F30)/C35)</f>
        <v>0.32748538011695905</v>
      </c>
      <c r="G35" s="8">
        <f>(SUM(G7:G30)/C35)</f>
        <v>0.27192982456140352</v>
      </c>
      <c r="H35" s="8">
        <f>(SUM(H7:H30)/C35)</f>
        <v>6.725146198830409E-2</v>
      </c>
      <c r="I35" s="8">
        <f>(SUM(I7:I30)/C35)</f>
        <v>0</v>
      </c>
      <c r="J35" s="8">
        <f>(SUM(J7:J30)/C35)</f>
        <v>8.4795321637426896E-2</v>
      </c>
      <c r="K35" s="8">
        <f>(SUM(K7:K30)/C35)</f>
        <v>4.3859649122807015E-2</v>
      </c>
      <c r="L35" s="8">
        <f>(SUM(L7:L30)/C35)</f>
        <v>0</v>
      </c>
      <c r="M35" s="7">
        <f>(SUM(M7:M30)/C35)</f>
        <v>0</v>
      </c>
    </row>
    <row r="36" spans="2:56" ht="13.5" customHeight="1" x14ac:dyDescent="0.25">
      <c r="B36" s="53"/>
      <c r="C36" s="6">
        <f>SUM(Q18,Q33,W18,W33,AC18,AC33,AI18,AO18,BA18,AU18,AU33,BA33,AO33,AI33)</f>
        <v>342</v>
      </c>
    </row>
    <row r="42" spans="2:56" ht="13.5" customHeight="1" x14ac:dyDescent="0.25">
      <c r="B42" s="5"/>
      <c r="C42" s="4" t="s">
        <v>60</v>
      </c>
    </row>
    <row r="43" spans="2:56" ht="13.5" customHeight="1" x14ac:dyDescent="0.25">
      <c r="B43" s="1" t="s">
        <v>54</v>
      </c>
      <c r="C43" s="1">
        <f>SUM(C21:C27,J8:M9,J7:M7,J12,C20,J13:K13,J11,J10:K10)</f>
        <v>32</v>
      </c>
    </row>
    <row r="44" spans="2:56" ht="13.5" customHeight="1" x14ac:dyDescent="0.25">
      <c r="B44" s="1" t="s">
        <v>55</v>
      </c>
      <c r="C44" s="1" cm="1">
        <f t="array" ref="C44">SUM(F12:F14+C15,C17,C18)</f>
        <v>46</v>
      </c>
    </row>
    <row r="45" spans="2:56" ht="13.5" customHeight="1" x14ac:dyDescent="0.25">
      <c r="B45" s="1" t="s">
        <v>61</v>
      </c>
      <c r="C45" s="1">
        <f>SUM(C33,H19:I19,L19:M19)</f>
        <v>10</v>
      </c>
    </row>
    <row r="46" spans="2:56" ht="13.5" customHeight="1" x14ac:dyDescent="0.25">
      <c r="B46" s="1" t="s">
        <v>59</v>
      </c>
      <c r="C46" s="1">
        <f>C7</f>
        <v>50</v>
      </c>
    </row>
    <row r="47" spans="2:56" ht="13.5" customHeight="1" x14ac:dyDescent="0.25">
      <c r="S47" s="48" t="s">
        <v>72</v>
      </c>
    </row>
    <row r="48" spans="2:56" ht="13.5" customHeight="1" x14ac:dyDescent="0.25">
      <c r="B48" s="3"/>
      <c r="C48" s="2" t="s">
        <v>62</v>
      </c>
    </row>
    <row r="49" spans="1:21" ht="13.5" customHeight="1" x14ac:dyDescent="0.25">
      <c r="B49" s="1" t="s">
        <v>63</v>
      </c>
      <c r="C49" s="1">
        <f>SUM(C7:C11,C29:C32)</f>
        <v>104</v>
      </c>
    </row>
    <row r="50" spans="1:21" ht="13.5" customHeight="1" x14ac:dyDescent="0.25">
      <c r="B50" s="1" t="s">
        <v>64</v>
      </c>
      <c r="C50" s="1">
        <f>SUM(C12:C33)</f>
        <v>178</v>
      </c>
    </row>
    <row r="51" spans="1:21" ht="13.5" customHeight="1" x14ac:dyDescent="0.25">
      <c r="B51" s="1" t="s">
        <v>58</v>
      </c>
      <c r="C51" s="1">
        <f>SUM(C6)</f>
        <v>60</v>
      </c>
    </row>
    <row r="53" spans="1:21" ht="13.5" customHeight="1" x14ac:dyDescent="0.25">
      <c r="B53" s="51" t="s">
        <v>65</v>
      </c>
      <c r="C53" s="51"/>
    </row>
    <row r="54" spans="1:21" ht="13.5" customHeight="1" x14ac:dyDescent="0.25">
      <c r="A54" s="47" t="s">
        <v>68</v>
      </c>
      <c r="B54" s="1" t="s">
        <v>57</v>
      </c>
      <c r="C54" s="1">
        <f>SUM(C10:C11,F19,C31,C32,C30,C29)</f>
        <v>64</v>
      </c>
    </row>
    <row r="55" spans="1:21" ht="13.5" customHeight="1" x14ac:dyDescent="0.25">
      <c r="A55" s="47" t="s">
        <v>69</v>
      </c>
      <c r="B55" s="1" t="s">
        <v>66</v>
      </c>
      <c r="C55" s="1">
        <f>SUM(G19:I19,J19:L19)</f>
        <v>87</v>
      </c>
    </row>
    <row r="56" spans="1:21" ht="13.5" customHeight="1" x14ac:dyDescent="0.25">
      <c r="A56" s="47" t="s">
        <v>71</v>
      </c>
      <c r="B56" s="1" t="s">
        <v>56</v>
      </c>
      <c r="C56" s="1">
        <f>SUM(C33:C34)</f>
        <v>10</v>
      </c>
    </row>
    <row r="58" spans="1:21" ht="13.5" customHeight="1" x14ac:dyDescent="0.25">
      <c r="Q58" s="49" t="s">
        <v>72</v>
      </c>
      <c r="R58" s="49"/>
      <c r="S58" s="49"/>
      <c r="T58" s="49"/>
      <c r="U58" s="49"/>
    </row>
    <row r="59" spans="1:21" ht="13.5" customHeight="1" x14ac:dyDescent="0.25">
      <c r="Q59" s="49"/>
      <c r="R59" s="49"/>
      <c r="S59" s="49"/>
      <c r="T59" s="49"/>
      <c r="U59" s="49"/>
    </row>
  </sheetData>
  <mergeCells count="12">
    <mergeCell ref="B2:G2"/>
    <mergeCell ref="O5:Q5"/>
    <mergeCell ref="N2:T2"/>
    <mergeCell ref="U5:W5"/>
    <mergeCell ref="AA5:AC5"/>
    <mergeCell ref="Q58:U59"/>
    <mergeCell ref="AS5:AU5"/>
    <mergeCell ref="AY5:BA5"/>
    <mergeCell ref="B53:C53"/>
    <mergeCell ref="B35:B36"/>
    <mergeCell ref="AG5:AI5"/>
    <mergeCell ref="AM5:AO5"/>
  </mergeCells>
  <phoneticPr fontId="7" type="noConversion"/>
  <conditionalFormatting sqref="D6:D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{48D40ACD-F087-4E69-B2F5-2BE0FC5B8840}</x14:id>
        </ext>
      </extLst>
    </cfRule>
  </conditionalFormatting>
  <conditionalFormatting sqref="E35:M35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dataValidations count="3">
    <dataValidation type="list" allowBlank="1" showInputMessage="1" showErrorMessage="1" sqref="AM6:AM17 AS6:AS17 O6:O17 AY6:AY17 U6:U17 AA6:AA17 AG6:AG17 AM21:AM32 AS21:AS32 O21:O32 AY21:AY32 U21:U32 AA21:AA32 AG21:AG32" xr:uid="{AB0F6BF7-2901-4D09-AC20-BCB18775357C}">
      <formula1>$B$6:$B$34</formula1>
    </dataValidation>
    <dataValidation type="list" allowBlank="1" showInputMessage="1" showErrorMessage="1" sqref="V6:V17 P6:P17 AB6:AB17 AH6:AH17 AN6:AN17 AT6:AT17 AZ6:AZ17 V21:V32 P21:P32 AB21:AB32 AZ21:AZ32 AN21:AN32 AT21:AT32 AH21:AH32" xr:uid="{326AD4FD-4EE7-4ED1-86D2-65016DEEA488}">
      <formula1>$E$5:$M$5</formula1>
    </dataValidation>
    <dataValidation type="list" allowBlank="1" showInputMessage="1" showErrorMessage="1" sqref="S6:S17 Y6:Y17 AE6:AE17 AK6:AK17 AQ6:AQ17 AW6:AW17 BC6:BC17 S21:S32 Y21:Y32 AE21:AE32 BC21:BC32 AQ21:AQ32 AW21:AW32 AK21:AK32" xr:uid="{10D44C98-B6B0-40FC-8AF4-29C1AAAB2BA5}">
      <formula1>$A$54:$A$56</formula1>
    </dataValidation>
  </dataValidation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D40ACD-F087-4E69-B2F5-2BE0FC5B88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D6:D34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24bfbdfcaa02b866975c564c0dbca769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dee7e68b513a26d78ff20ead668828c3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0C405B-1DF6-4B1F-ACD7-FD866D4E68F7}">
  <ds:schemaRefs>
    <ds:schemaRef ds:uri="http://schemas.microsoft.com/office/2006/metadata/properties"/>
    <ds:schemaRef ds:uri="http://schemas.microsoft.com/office/infopath/2007/PartnerControls"/>
    <ds:schemaRef ds:uri="26ab607b-a528-4bcb-bb4a-45e7ba308c8a"/>
    <ds:schemaRef ds:uri="5769ba05-1a9b-4800-9ee1-d903f1e6ec25"/>
  </ds:schemaRefs>
</ds:datastoreItem>
</file>

<file path=customXml/itemProps2.xml><?xml version="1.0" encoding="utf-8"?>
<ds:datastoreItem xmlns:ds="http://schemas.openxmlformats.org/officeDocument/2006/customXml" ds:itemID="{7C30789A-183A-4451-BA7F-5D28524510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8DD0F-551B-4C81-9E0C-116C0C84F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9ba05-1a9b-4800-9ee1-d903f1e6ec25"/>
    <ds:schemaRef ds:uri="26ab607b-a528-4bcb-bb4a-45e7ba308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Contenidos de la semana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2025-11-17T14:25:57Z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  <property fmtid="{D5CDD505-2E9C-101B-9397-08002B2CF9AE}" pid="3" name="MediaServiceImageTags">
    <vt:lpwstr/>
  </property>
</Properties>
</file>
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2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edro\Desktop\TODO\BALONCESTO\2024-2025 - Basketball Löwen BBL\BBL\CONTROL CARGA\"/>
    </mc:Choice>
  </mc:AlternateContent>
  <xr:revisionPtr revIDLastSave="0" documentId="13_ncr:1_{24EB4B21-6817-4B09-8FFB-9F644355D1F9}" xr6:coauthVersionLast="47" xr6:coauthVersionMax="47" xr10:uidLastSave="{00000000-0000-0000-0000-000000000000}"/>
  <bookViews>
    <workbookView xWindow="-120" yWindow="-120" windowWidth="19560" windowHeight="11760" tabRatio="788" xr2:uid="{DC82E151-D840-4AFE-9B7D-4EB58BF5A76D}"/>
  </bookViews>
  <sheets>
    <sheet name="BASE DE DATOS" sheetId="1" r:id="rId1"/>
    <sheet name="RESULTADOS" sheetId="7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D198" i="1" l="1"/>
  <c r="BG198" i="1"/>
  <c r="O196" i="1"/>
  <c r="G196" i="1"/>
  <c r="R192" i="1"/>
  <c r="AQ195" i="1"/>
  <c r="BH195" i="1"/>
  <c r="BY195" i="1"/>
  <c r="CP195" i="1"/>
  <c r="DG195" i="1"/>
  <c r="DX195" i="1"/>
  <c r="EO195" i="1"/>
  <c r="FF195" i="1"/>
  <c r="FW195" i="1"/>
  <c r="GN195" i="1"/>
  <c r="O195" i="1"/>
  <c r="O197" i="1"/>
  <c r="O198" i="1"/>
  <c r="O199" i="1"/>
  <c r="O194" i="1"/>
  <c r="O167" i="1"/>
  <c r="CP167" i="1"/>
  <c r="O176" i="1"/>
  <c r="O175" i="1"/>
  <c r="O174" i="1"/>
  <c r="O173" i="1"/>
  <c r="O172" i="1"/>
  <c r="G188" i="1"/>
  <c r="H188" i="1"/>
  <c r="L188" i="1"/>
  <c r="M188" i="1"/>
  <c r="N188" i="1"/>
  <c r="BX171" i="1"/>
  <c r="BG171" i="1"/>
  <c r="HD191" i="1"/>
  <c r="BG192" i="1"/>
  <c r="BG191" i="1"/>
  <c r="O186" i="1"/>
  <c r="O189" i="1"/>
  <c r="O190" i="1"/>
  <c r="O191" i="1"/>
  <c r="O188" i="1"/>
  <c r="O187" i="1"/>
  <c r="L167" i="1"/>
  <c r="FV188" i="1"/>
  <c r="FV187" i="1"/>
  <c r="DG187" i="1"/>
  <c r="EN187" i="1"/>
  <c r="EO187" i="1"/>
  <c r="Z181" i="1"/>
  <c r="U167" i="1"/>
  <c r="T167" i="1"/>
  <c r="S167" i="1"/>
  <c r="R167" i="1"/>
  <c r="Q167" i="1"/>
  <c r="U180" i="1"/>
  <c r="T180" i="1"/>
  <c r="S180" i="1"/>
  <c r="R180" i="1"/>
  <c r="Q180" i="1"/>
  <c r="Q170" i="1"/>
  <c r="R170" i="1"/>
  <c r="S170" i="1"/>
  <c r="T170" i="1"/>
  <c r="U170" i="1"/>
  <c r="Q175" i="1"/>
  <c r="R175" i="1"/>
  <c r="S175" i="1"/>
  <c r="T175" i="1"/>
  <c r="U175" i="1"/>
  <c r="U158" i="1"/>
  <c r="T158" i="1"/>
  <c r="S158" i="1"/>
  <c r="R158" i="1"/>
  <c r="Q158" i="1"/>
  <c r="U181" i="1"/>
  <c r="T181" i="1"/>
  <c r="S181" i="1"/>
  <c r="R181" i="1"/>
  <c r="Q181" i="1"/>
  <c r="U157" i="1"/>
  <c r="T157" i="1"/>
  <c r="S157" i="1"/>
  <c r="R157" i="1"/>
  <c r="Q157" i="1"/>
  <c r="U159" i="1"/>
  <c r="T159" i="1"/>
  <c r="S159" i="1"/>
  <c r="R159" i="1"/>
  <c r="Q159" i="1"/>
  <c r="Q138" i="1"/>
  <c r="R138" i="1"/>
  <c r="S138" i="1"/>
  <c r="T138" i="1"/>
  <c r="U138" i="1"/>
  <c r="U137" i="1"/>
  <c r="T137" i="1"/>
  <c r="S137" i="1"/>
  <c r="R137" i="1"/>
  <c r="Q137" i="1"/>
  <c r="Q132" i="1"/>
  <c r="R132" i="1"/>
  <c r="S132" i="1"/>
  <c r="T132" i="1"/>
  <c r="U132" i="1"/>
  <c r="Q133" i="1"/>
  <c r="R133" i="1"/>
  <c r="S133" i="1"/>
  <c r="T133" i="1"/>
  <c r="U133" i="1"/>
  <c r="Q134" i="1"/>
  <c r="R134" i="1"/>
  <c r="S134" i="1"/>
  <c r="T134" i="1"/>
  <c r="U134" i="1"/>
  <c r="Q135" i="1"/>
  <c r="R135" i="1"/>
  <c r="S135" i="1"/>
  <c r="T135" i="1"/>
  <c r="U135" i="1"/>
  <c r="Q136" i="1"/>
  <c r="R136" i="1"/>
  <c r="S136" i="1"/>
  <c r="T136" i="1"/>
  <c r="U136" i="1"/>
  <c r="U131" i="1"/>
  <c r="T131" i="1"/>
  <c r="S131" i="1"/>
  <c r="R131" i="1"/>
  <c r="Q131" i="1"/>
  <c r="Q130" i="1"/>
  <c r="R130" i="1"/>
  <c r="S130" i="1"/>
  <c r="T130" i="1"/>
  <c r="U130" i="1"/>
  <c r="Q139" i="1"/>
  <c r="S139" i="1"/>
  <c r="T139" i="1"/>
  <c r="U139" i="1"/>
  <c r="Q140" i="1"/>
  <c r="R140" i="1"/>
  <c r="S140" i="1"/>
  <c r="T140" i="1"/>
  <c r="U140" i="1"/>
  <c r="Q141" i="1"/>
  <c r="R141" i="1"/>
  <c r="S141" i="1"/>
  <c r="T141" i="1"/>
  <c r="U141" i="1"/>
  <c r="Q142" i="1"/>
  <c r="R142" i="1"/>
  <c r="S142" i="1"/>
  <c r="T142" i="1"/>
  <c r="U142" i="1"/>
  <c r="Q143" i="1"/>
  <c r="R143" i="1"/>
  <c r="S143" i="1"/>
  <c r="T143" i="1"/>
  <c r="U143" i="1"/>
  <c r="Q144" i="1"/>
  <c r="R144" i="1"/>
  <c r="S144" i="1"/>
  <c r="T144" i="1"/>
  <c r="U144" i="1"/>
  <c r="Q145" i="1"/>
  <c r="R145" i="1"/>
  <c r="S145" i="1"/>
  <c r="T145" i="1"/>
  <c r="U145" i="1"/>
  <c r="Q146" i="1"/>
  <c r="R146" i="1"/>
  <c r="S146" i="1"/>
  <c r="T146" i="1"/>
  <c r="U146" i="1"/>
  <c r="Q147" i="1"/>
  <c r="R147" i="1"/>
  <c r="S147" i="1"/>
  <c r="T147" i="1"/>
  <c r="U147" i="1"/>
  <c r="Q148" i="1"/>
  <c r="R148" i="1"/>
  <c r="S148" i="1"/>
  <c r="T148" i="1"/>
  <c r="U148" i="1"/>
  <c r="Q149" i="1"/>
  <c r="R149" i="1"/>
  <c r="S149" i="1"/>
  <c r="T149" i="1"/>
  <c r="U149" i="1"/>
  <c r="Q150" i="1"/>
  <c r="R150" i="1"/>
  <c r="S150" i="1"/>
  <c r="T150" i="1"/>
  <c r="U150" i="1"/>
  <c r="Q151" i="1"/>
  <c r="R151" i="1"/>
  <c r="S151" i="1"/>
  <c r="T151" i="1"/>
  <c r="U151" i="1"/>
  <c r="Q152" i="1"/>
  <c r="R152" i="1"/>
  <c r="S152" i="1"/>
  <c r="T152" i="1"/>
  <c r="U152" i="1"/>
  <c r="Q153" i="1"/>
  <c r="R153" i="1"/>
  <c r="S153" i="1"/>
  <c r="T153" i="1"/>
  <c r="U153" i="1"/>
  <c r="Q154" i="1"/>
  <c r="R154" i="1"/>
  <c r="S154" i="1"/>
  <c r="T154" i="1"/>
  <c r="U154" i="1"/>
  <c r="Q155" i="1"/>
  <c r="R155" i="1"/>
  <c r="S155" i="1"/>
  <c r="T155" i="1"/>
  <c r="U155" i="1"/>
  <c r="Q156" i="1"/>
  <c r="R156" i="1"/>
  <c r="S156" i="1"/>
  <c r="T156" i="1"/>
  <c r="U156" i="1"/>
  <c r="Q160" i="1"/>
  <c r="R160" i="1"/>
  <c r="S160" i="1"/>
  <c r="T160" i="1"/>
  <c r="U160" i="1"/>
  <c r="Q161" i="1"/>
  <c r="R161" i="1"/>
  <c r="S161" i="1"/>
  <c r="T161" i="1"/>
  <c r="U161" i="1"/>
  <c r="Q162" i="1"/>
  <c r="R162" i="1"/>
  <c r="S162" i="1"/>
  <c r="T162" i="1"/>
  <c r="U162" i="1"/>
  <c r="Q163" i="1"/>
  <c r="R163" i="1"/>
  <c r="S163" i="1"/>
  <c r="T163" i="1"/>
  <c r="U163" i="1"/>
  <c r="Q164" i="1"/>
  <c r="R164" i="1"/>
  <c r="S164" i="1"/>
  <c r="T164" i="1"/>
  <c r="U164" i="1"/>
  <c r="Q165" i="1"/>
  <c r="R165" i="1"/>
  <c r="S165" i="1"/>
  <c r="T165" i="1"/>
  <c r="U165" i="1"/>
  <c r="Q166" i="1"/>
  <c r="R166" i="1"/>
  <c r="S166" i="1"/>
  <c r="T166" i="1"/>
  <c r="U166" i="1"/>
  <c r="Q168" i="1"/>
  <c r="R168" i="1"/>
  <c r="S168" i="1"/>
  <c r="T168" i="1"/>
  <c r="U168" i="1"/>
  <c r="Q169" i="1"/>
  <c r="R169" i="1"/>
  <c r="S169" i="1"/>
  <c r="T169" i="1"/>
  <c r="U169" i="1"/>
  <c r="Q171" i="1"/>
  <c r="R171" i="1"/>
  <c r="S171" i="1"/>
  <c r="T171" i="1"/>
  <c r="U171" i="1"/>
  <c r="BG65" i="1"/>
  <c r="U172" i="1"/>
  <c r="T172" i="1"/>
  <c r="S172" i="1"/>
  <c r="R172" i="1"/>
  <c r="Q172" i="1"/>
  <c r="U173" i="1"/>
  <c r="U174" i="1"/>
  <c r="T173" i="1"/>
  <c r="T174" i="1"/>
  <c r="S173" i="1"/>
  <c r="S174" i="1"/>
  <c r="R173" i="1"/>
  <c r="R174" i="1"/>
  <c r="Q173" i="1"/>
  <c r="Q174" i="1"/>
  <c r="U176" i="1"/>
  <c r="T176" i="1"/>
  <c r="S176" i="1"/>
  <c r="R176" i="1"/>
  <c r="Q176" i="1"/>
  <c r="Q177" i="1"/>
  <c r="R177" i="1"/>
  <c r="S177" i="1"/>
  <c r="T177" i="1"/>
  <c r="U177" i="1"/>
  <c r="Q178" i="1"/>
  <c r="R178" i="1"/>
  <c r="S178" i="1"/>
  <c r="T178" i="1"/>
  <c r="U178" i="1"/>
  <c r="Q179" i="1"/>
  <c r="R179" i="1"/>
  <c r="S179" i="1"/>
  <c r="T179" i="1"/>
  <c r="U179" i="1"/>
  <c r="Q182" i="1"/>
  <c r="R182" i="1"/>
  <c r="S182" i="1"/>
  <c r="T182" i="1"/>
  <c r="U182" i="1"/>
  <c r="Q183" i="1"/>
  <c r="R183" i="1"/>
  <c r="S183" i="1"/>
  <c r="T183" i="1"/>
  <c r="U183" i="1"/>
  <c r="Q184" i="1"/>
  <c r="R184" i="1"/>
  <c r="S184" i="1"/>
  <c r="T184" i="1"/>
  <c r="U184" i="1"/>
  <c r="Q185" i="1"/>
  <c r="R185" i="1"/>
  <c r="S185" i="1"/>
  <c r="T185" i="1"/>
  <c r="U185" i="1"/>
  <c r="Q186" i="1"/>
  <c r="R186" i="1"/>
  <c r="S186" i="1"/>
  <c r="T186" i="1"/>
  <c r="U186" i="1"/>
  <c r="Q187" i="1"/>
  <c r="R187" i="1"/>
  <c r="S187" i="1"/>
  <c r="T187" i="1"/>
  <c r="U187" i="1"/>
  <c r="Q188" i="1"/>
  <c r="R188" i="1"/>
  <c r="S188" i="1"/>
  <c r="T188" i="1"/>
  <c r="U188" i="1"/>
  <c r="Q189" i="1"/>
  <c r="R189" i="1"/>
  <c r="S189" i="1"/>
  <c r="T189" i="1"/>
  <c r="U189" i="1"/>
  <c r="Q190" i="1"/>
  <c r="R190" i="1"/>
  <c r="S190" i="1"/>
  <c r="T190" i="1"/>
  <c r="U190" i="1"/>
  <c r="Q191" i="1"/>
  <c r="R191" i="1"/>
  <c r="S191" i="1"/>
  <c r="T191" i="1"/>
  <c r="U191" i="1"/>
  <c r="Q192" i="1"/>
  <c r="S192" i="1"/>
  <c r="T192" i="1"/>
  <c r="U192" i="1"/>
  <c r="Q193" i="1"/>
  <c r="R193" i="1"/>
  <c r="S193" i="1"/>
  <c r="T193" i="1"/>
  <c r="U193" i="1"/>
  <c r="Q194" i="1"/>
  <c r="R194" i="1"/>
  <c r="S194" i="1"/>
  <c r="T194" i="1"/>
  <c r="U194" i="1"/>
  <c r="Q195" i="1"/>
  <c r="R195" i="1"/>
  <c r="S195" i="1"/>
  <c r="T195" i="1"/>
  <c r="U195" i="1"/>
  <c r="Q196" i="1"/>
  <c r="R196" i="1"/>
  <c r="S196" i="1"/>
  <c r="T196" i="1"/>
  <c r="U196" i="1"/>
  <c r="Q197" i="1"/>
  <c r="R197" i="1"/>
  <c r="S197" i="1"/>
  <c r="T197" i="1"/>
  <c r="U197" i="1"/>
  <c r="Q198" i="1"/>
  <c r="R198" i="1"/>
  <c r="S198" i="1"/>
  <c r="T198" i="1"/>
  <c r="U198" i="1"/>
  <c r="Q199" i="1"/>
  <c r="R199" i="1"/>
  <c r="S199" i="1"/>
  <c r="T199" i="1"/>
  <c r="U199" i="1"/>
  <c r="Q200" i="1"/>
  <c r="R200" i="1"/>
  <c r="S200" i="1"/>
  <c r="T200" i="1"/>
  <c r="U200" i="1"/>
  <c r="Q201" i="1"/>
  <c r="R201" i="1"/>
  <c r="S201" i="1"/>
  <c r="T201" i="1"/>
  <c r="U201" i="1"/>
  <c r="Q202" i="1"/>
  <c r="R202" i="1"/>
  <c r="S202" i="1"/>
  <c r="T202" i="1"/>
  <c r="U202" i="1"/>
  <c r="Q203" i="1"/>
  <c r="R203" i="1"/>
  <c r="S203" i="1"/>
  <c r="T203" i="1"/>
  <c r="U203" i="1"/>
  <c r="Q204" i="1"/>
  <c r="R204" i="1"/>
  <c r="S204" i="1"/>
  <c r="T204" i="1"/>
  <c r="U204" i="1"/>
  <c r="Q205" i="1"/>
  <c r="R205" i="1"/>
  <c r="S205" i="1"/>
  <c r="T205" i="1"/>
  <c r="U205" i="1"/>
  <c r="Q206" i="1"/>
  <c r="R206" i="1"/>
  <c r="S206" i="1"/>
  <c r="T206" i="1"/>
  <c r="U206" i="1"/>
  <c r="Q207" i="1"/>
  <c r="R207" i="1"/>
  <c r="S207" i="1"/>
  <c r="T207" i="1"/>
  <c r="U207" i="1"/>
  <c r="Q208" i="1"/>
  <c r="R208" i="1"/>
  <c r="S208" i="1"/>
  <c r="T208" i="1"/>
  <c r="U208" i="1"/>
  <c r="Q209" i="1"/>
  <c r="R209" i="1"/>
  <c r="S209" i="1"/>
  <c r="T209" i="1"/>
  <c r="U209" i="1"/>
  <c r="Q210" i="1"/>
  <c r="R210" i="1"/>
  <c r="S210" i="1"/>
  <c r="T210" i="1"/>
  <c r="U210" i="1"/>
  <c r="Q211" i="1"/>
  <c r="R211" i="1"/>
  <c r="S211" i="1"/>
  <c r="T211" i="1"/>
  <c r="U211" i="1"/>
  <c r="Q212" i="1"/>
  <c r="R212" i="1"/>
  <c r="S212" i="1"/>
  <c r="T212" i="1"/>
  <c r="U212" i="1"/>
  <c r="Q213" i="1"/>
  <c r="R213" i="1"/>
  <c r="S213" i="1"/>
  <c r="T213" i="1"/>
  <c r="U213" i="1"/>
  <c r="Q214" i="1"/>
  <c r="R214" i="1"/>
  <c r="S214" i="1"/>
  <c r="T214" i="1"/>
  <c r="U214" i="1"/>
  <c r="Q215" i="1"/>
  <c r="R215" i="1"/>
  <c r="S215" i="1"/>
  <c r="T215" i="1"/>
  <c r="U215" i="1"/>
  <c r="Q216" i="1"/>
  <c r="R216" i="1"/>
  <c r="S216" i="1"/>
  <c r="T216" i="1"/>
  <c r="U216" i="1"/>
  <c r="Q217" i="1"/>
  <c r="R217" i="1"/>
  <c r="S217" i="1"/>
  <c r="T217" i="1"/>
  <c r="U217" i="1"/>
  <c r="Q218" i="1"/>
  <c r="R218" i="1"/>
  <c r="S218" i="1"/>
  <c r="T218" i="1"/>
  <c r="U218" i="1"/>
  <c r="Q219" i="1"/>
  <c r="R219" i="1"/>
  <c r="S219" i="1"/>
  <c r="T219" i="1"/>
  <c r="U219" i="1"/>
  <c r="Q220" i="1"/>
  <c r="R220" i="1"/>
  <c r="S220" i="1"/>
  <c r="T220" i="1"/>
  <c r="U220" i="1"/>
  <c r="Q221" i="1"/>
  <c r="R221" i="1"/>
  <c r="S221" i="1"/>
  <c r="T221" i="1"/>
  <c r="U221" i="1"/>
  <c r="Q222" i="1"/>
  <c r="R222" i="1"/>
  <c r="S222" i="1"/>
  <c r="T222" i="1"/>
  <c r="U222" i="1"/>
  <c r="Q223" i="1"/>
  <c r="R223" i="1"/>
  <c r="S223" i="1"/>
  <c r="T223" i="1"/>
  <c r="U223" i="1"/>
  <c r="Q224" i="1"/>
  <c r="R224" i="1"/>
  <c r="S224" i="1"/>
  <c r="T224" i="1"/>
  <c r="U224" i="1"/>
  <c r="Q225" i="1"/>
  <c r="R225" i="1"/>
  <c r="S225" i="1"/>
  <c r="T225" i="1"/>
  <c r="U225" i="1"/>
  <c r="Q226" i="1"/>
  <c r="R226" i="1"/>
  <c r="S226" i="1"/>
  <c r="T226" i="1"/>
  <c r="U226" i="1"/>
  <c r="Q227" i="1"/>
  <c r="R227" i="1"/>
  <c r="S227" i="1"/>
  <c r="T227" i="1"/>
  <c r="U227" i="1"/>
  <c r="Q228" i="1"/>
  <c r="R228" i="1"/>
  <c r="S228" i="1"/>
  <c r="T228" i="1"/>
  <c r="U228" i="1"/>
  <c r="Q229" i="1"/>
  <c r="R229" i="1"/>
  <c r="S229" i="1"/>
  <c r="T229" i="1"/>
  <c r="U229" i="1"/>
  <c r="Q230" i="1"/>
  <c r="R230" i="1"/>
  <c r="S230" i="1"/>
  <c r="T230" i="1"/>
  <c r="U230" i="1"/>
  <c r="Q231" i="1"/>
  <c r="R231" i="1"/>
  <c r="S231" i="1"/>
  <c r="T231" i="1"/>
  <c r="U231" i="1"/>
  <c r="Q232" i="1"/>
  <c r="R232" i="1"/>
  <c r="S232" i="1"/>
  <c r="T232" i="1"/>
  <c r="U232" i="1"/>
  <c r="Q233" i="1"/>
  <c r="R233" i="1"/>
  <c r="S233" i="1"/>
  <c r="T233" i="1"/>
  <c r="U233" i="1"/>
  <c r="Q234" i="1"/>
  <c r="R234" i="1"/>
  <c r="S234" i="1"/>
  <c r="T234" i="1"/>
  <c r="U234" i="1"/>
  <c r="Q235" i="1"/>
  <c r="R235" i="1"/>
  <c r="S235" i="1"/>
  <c r="T235" i="1"/>
  <c r="U235" i="1"/>
  <c r="Q236" i="1"/>
  <c r="R236" i="1"/>
  <c r="S236" i="1"/>
  <c r="T236" i="1"/>
  <c r="U236" i="1"/>
  <c r="Q237" i="1"/>
  <c r="R237" i="1"/>
  <c r="S237" i="1"/>
  <c r="T237" i="1"/>
  <c r="U237" i="1"/>
  <c r="Q238" i="1"/>
  <c r="R238" i="1"/>
  <c r="S238" i="1"/>
  <c r="T238" i="1"/>
  <c r="U238" i="1"/>
  <c r="Q239" i="1"/>
  <c r="R239" i="1"/>
  <c r="S239" i="1"/>
  <c r="T239" i="1"/>
  <c r="U239" i="1"/>
  <c r="Q240" i="1"/>
  <c r="R240" i="1"/>
  <c r="S240" i="1"/>
  <c r="T240" i="1"/>
  <c r="U240" i="1"/>
  <c r="Q241" i="1"/>
  <c r="R241" i="1"/>
  <c r="S241" i="1"/>
  <c r="T241" i="1"/>
  <c r="U241" i="1"/>
  <c r="Q242" i="1"/>
  <c r="R242" i="1"/>
  <c r="S242" i="1"/>
  <c r="T242" i="1"/>
  <c r="U242" i="1"/>
  <c r="Q243" i="1"/>
  <c r="R243" i="1"/>
  <c r="S243" i="1"/>
  <c r="T243" i="1"/>
  <c r="U243" i="1"/>
  <c r="Q244" i="1"/>
  <c r="R244" i="1"/>
  <c r="S244" i="1"/>
  <c r="T244" i="1"/>
  <c r="U244" i="1"/>
  <c r="Q245" i="1"/>
  <c r="R245" i="1"/>
  <c r="S245" i="1"/>
  <c r="T245" i="1"/>
  <c r="U245" i="1"/>
  <c r="Q246" i="1"/>
  <c r="R246" i="1"/>
  <c r="S246" i="1"/>
  <c r="T246" i="1"/>
  <c r="U246" i="1"/>
  <c r="Q247" i="1"/>
  <c r="R247" i="1"/>
  <c r="S247" i="1"/>
  <c r="T247" i="1"/>
  <c r="U247" i="1"/>
  <c r="Q248" i="1"/>
  <c r="R248" i="1"/>
  <c r="S248" i="1"/>
  <c r="T248" i="1"/>
  <c r="U248" i="1"/>
  <c r="Q249" i="1"/>
  <c r="R249" i="1"/>
  <c r="S249" i="1"/>
  <c r="T249" i="1"/>
  <c r="U249" i="1"/>
  <c r="Q250" i="1"/>
  <c r="R250" i="1"/>
  <c r="S250" i="1"/>
  <c r="T250" i="1"/>
  <c r="U250" i="1"/>
  <c r="Q251" i="1"/>
  <c r="R251" i="1"/>
  <c r="S251" i="1"/>
  <c r="T251" i="1"/>
  <c r="U251" i="1"/>
  <c r="Q252" i="1"/>
  <c r="R252" i="1"/>
  <c r="S252" i="1"/>
  <c r="T252" i="1"/>
  <c r="U252" i="1"/>
  <c r="Q253" i="1"/>
  <c r="R253" i="1"/>
  <c r="S253" i="1"/>
  <c r="T253" i="1"/>
  <c r="U253" i="1"/>
  <c r="Q254" i="1"/>
  <c r="R254" i="1"/>
  <c r="S254" i="1"/>
  <c r="T254" i="1"/>
  <c r="U254" i="1"/>
  <c r="Q255" i="1"/>
  <c r="R255" i="1"/>
  <c r="S255" i="1"/>
  <c r="T255" i="1"/>
  <c r="U255" i="1"/>
  <c r="Q256" i="1"/>
  <c r="R256" i="1"/>
  <c r="S256" i="1"/>
  <c r="T256" i="1"/>
  <c r="U256" i="1"/>
  <c r="Q257" i="1"/>
  <c r="R257" i="1"/>
  <c r="S257" i="1"/>
  <c r="T257" i="1"/>
  <c r="U257" i="1"/>
  <c r="Q258" i="1"/>
  <c r="R258" i="1"/>
  <c r="S258" i="1"/>
  <c r="T258" i="1"/>
  <c r="U258" i="1"/>
  <c r="Q259" i="1"/>
  <c r="R259" i="1"/>
  <c r="S259" i="1"/>
  <c r="T259" i="1"/>
  <c r="U259" i="1"/>
  <c r="Q260" i="1"/>
  <c r="R260" i="1"/>
  <c r="S260" i="1"/>
  <c r="T260" i="1"/>
  <c r="U260" i="1"/>
  <c r="Q261" i="1"/>
  <c r="R261" i="1"/>
  <c r="S261" i="1"/>
  <c r="T261" i="1"/>
  <c r="U261" i="1"/>
  <c r="Q262" i="1"/>
  <c r="R262" i="1"/>
  <c r="S262" i="1"/>
  <c r="T262" i="1"/>
  <c r="U262" i="1"/>
  <c r="Q263" i="1"/>
  <c r="R263" i="1"/>
  <c r="S263" i="1"/>
  <c r="T263" i="1"/>
  <c r="U263" i="1"/>
  <c r="Q264" i="1"/>
  <c r="R264" i="1"/>
  <c r="S264" i="1"/>
  <c r="T264" i="1"/>
  <c r="U264" i="1"/>
  <c r="Q265" i="1"/>
  <c r="R265" i="1"/>
  <c r="S265" i="1"/>
  <c r="T265" i="1"/>
  <c r="U265" i="1"/>
  <c r="Q266" i="1"/>
  <c r="R266" i="1"/>
  <c r="S266" i="1"/>
  <c r="T266" i="1"/>
  <c r="U266" i="1"/>
  <c r="Q267" i="1"/>
  <c r="R267" i="1"/>
  <c r="S267" i="1"/>
  <c r="T267" i="1"/>
  <c r="U267" i="1"/>
  <c r="Q268" i="1"/>
  <c r="R268" i="1"/>
  <c r="S268" i="1"/>
  <c r="T268" i="1"/>
  <c r="U268" i="1"/>
  <c r="Q269" i="1"/>
  <c r="R269" i="1"/>
  <c r="S269" i="1"/>
  <c r="T269" i="1"/>
  <c r="U269" i="1"/>
  <c r="Q270" i="1"/>
  <c r="R270" i="1"/>
  <c r="S270" i="1"/>
  <c r="T270" i="1"/>
  <c r="U270" i="1"/>
  <c r="Q271" i="1"/>
  <c r="R271" i="1"/>
  <c r="S271" i="1"/>
  <c r="T271" i="1"/>
  <c r="U271" i="1"/>
  <c r="Q272" i="1"/>
  <c r="R272" i="1"/>
  <c r="S272" i="1"/>
  <c r="T272" i="1"/>
  <c r="U272" i="1"/>
  <c r="Q273" i="1"/>
  <c r="R273" i="1"/>
  <c r="S273" i="1"/>
  <c r="T273" i="1"/>
  <c r="U273" i="1"/>
  <c r="Q274" i="1"/>
  <c r="R274" i="1"/>
  <c r="S274" i="1"/>
  <c r="T274" i="1"/>
  <c r="U274" i="1"/>
  <c r="Q275" i="1"/>
  <c r="R275" i="1"/>
  <c r="S275" i="1"/>
  <c r="T275" i="1"/>
  <c r="U275" i="1"/>
  <c r="Q276" i="1"/>
  <c r="R276" i="1"/>
  <c r="S276" i="1"/>
  <c r="T276" i="1"/>
  <c r="U276" i="1"/>
  <c r="Q277" i="1"/>
  <c r="R277" i="1"/>
  <c r="S277" i="1"/>
  <c r="T277" i="1"/>
  <c r="U277" i="1"/>
  <c r="Q278" i="1"/>
  <c r="R278" i="1"/>
  <c r="S278" i="1"/>
  <c r="T278" i="1"/>
  <c r="U278" i="1"/>
  <c r="Q279" i="1"/>
  <c r="R279" i="1"/>
  <c r="S279" i="1"/>
  <c r="T279" i="1"/>
  <c r="U279" i="1"/>
  <c r="Q280" i="1"/>
  <c r="R280" i="1"/>
  <c r="S280" i="1"/>
  <c r="T280" i="1"/>
  <c r="U280" i="1"/>
  <c r="Q281" i="1"/>
  <c r="R281" i="1"/>
  <c r="S281" i="1"/>
  <c r="T281" i="1"/>
  <c r="U281" i="1"/>
  <c r="Q282" i="1"/>
  <c r="R282" i="1"/>
  <c r="S282" i="1"/>
  <c r="T282" i="1"/>
  <c r="U282" i="1"/>
  <c r="Q283" i="1"/>
  <c r="R283" i="1"/>
  <c r="S283" i="1"/>
  <c r="T283" i="1"/>
  <c r="U283" i="1"/>
  <c r="Q284" i="1"/>
  <c r="R284" i="1"/>
  <c r="S284" i="1"/>
  <c r="T284" i="1"/>
  <c r="U284" i="1"/>
  <c r="Q285" i="1"/>
  <c r="R285" i="1"/>
  <c r="S285" i="1"/>
  <c r="T285" i="1"/>
  <c r="U285" i="1"/>
  <c r="Q286" i="1"/>
  <c r="R286" i="1"/>
  <c r="S286" i="1"/>
  <c r="T286" i="1"/>
  <c r="U286" i="1"/>
  <c r="Q287" i="1"/>
  <c r="R287" i="1"/>
  <c r="S287" i="1"/>
  <c r="T287" i="1"/>
  <c r="U287" i="1"/>
  <c r="Q288" i="1"/>
  <c r="R288" i="1"/>
  <c r="S288" i="1"/>
  <c r="T288" i="1"/>
  <c r="U288" i="1"/>
  <c r="Q289" i="1"/>
  <c r="R289" i="1"/>
  <c r="S289" i="1"/>
  <c r="T289" i="1"/>
  <c r="U289" i="1"/>
  <c r="Q290" i="1"/>
  <c r="R290" i="1"/>
  <c r="S290" i="1"/>
  <c r="T290" i="1"/>
  <c r="U290" i="1"/>
  <c r="Q291" i="1"/>
  <c r="R291" i="1"/>
  <c r="S291" i="1"/>
  <c r="T291" i="1"/>
  <c r="U291" i="1"/>
  <c r="Q292" i="1"/>
  <c r="R292" i="1"/>
  <c r="S292" i="1"/>
  <c r="T292" i="1"/>
  <c r="U292" i="1"/>
  <c r="Q293" i="1"/>
  <c r="R293" i="1"/>
  <c r="S293" i="1"/>
  <c r="T293" i="1"/>
  <c r="U293" i="1"/>
  <c r="Q294" i="1"/>
  <c r="R294" i="1"/>
  <c r="S294" i="1"/>
  <c r="T294" i="1"/>
  <c r="U294" i="1"/>
  <c r="Q295" i="1"/>
  <c r="R295" i="1"/>
  <c r="S295" i="1"/>
  <c r="T295" i="1"/>
  <c r="U295" i="1"/>
  <c r="Q296" i="1"/>
  <c r="R296" i="1"/>
  <c r="S296" i="1"/>
  <c r="T296" i="1"/>
  <c r="U296" i="1"/>
  <c r="Q297" i="1"/>
  <c r="R297" i="1"/>
  <c r="S297" i="1"/>
  <c r="T297" i="1"/>
  <c r="U297" i="1"/>
  <c r="Q298" i="1"/>
  <c r="R298" i="1"/>
  <c r="S298" i="1"/>
  <c r="T298" i="1"/>
  <c r="U298" i="1"/>
  <c r="Q299" i="1"/>
  <c r="R299" i="1"/>
  <c r="S299" i="1"/>
  <c r="T299" i="1"/>
  <c r="U299" i="1"/>
  <c r="Q300" i="1"/>
  <c r="R300" i="1"/>
  <c r="S300" i="1"/>
  <c r="T300" i="1"/>
  <c r="U300" i="1"/>
  <c r="Q301" i="1"/>
  <c r="R301" i="1"/>
  <c r="S301" i="1"/>
  <c r="T301" i="1"/>
  <c r="U301" i="1"/>
  <c r="Q302" i="1"/>
  <c r="R302" i="1"/>
  <c r="S302" i="1"/>
  <c r="T302" i="1"/>
  <c r="U302" i="1"/>
  <c r="Q303" i="1"/>
  <c r="R303" i="1"/>
  <c r="S303" i="1"/>
  <c r="T303" i="1"/>
  <c r="U303" i="1"/>
  <c r="Q304" i="1"/>
  <c r="R304" i="1"/>
  <c r="S304" i="1"/>
  <c r="T304" i="1"/>
  <c r="U304" i="1"/>
  <c r="Q305" i="1"/>
  <c r="R305" i="1"/>
  <c r="S305" i="1"/>
  <c r="T305" i="1"/>
  <c r="U305" i="1"/>
  <c r="Q306" i="1"/>
  <c r="R306" i="1"/>
  <c r="S306" i="1"/>
  <c r="T306" i="1"/>
  <c r="U306" i="1"/>
  <c r="Q307" i="1"/>
  <c r="R307" i="1"/>
  <c r="S307" i="1"/>
  <c r="T307" i="1"/>
  <c r="U307" i="1"/>
  <c r="Q308" i="1"/>
  <c r="R308" i="1"/>
  <c r="S308" i="1"/>
  <c r="T308" i="1"/>
  <c r="U308" i="1"/>
  <c r="Q309" i="1"/>
  <c r="R309" i="1"/>
  <c r="S309" i="1"/>
  <c r="T309" i="1"/>
  <c r="U309" i="1"/>
  <c r="Q310" i="1"/>
  <c r="R310" i="1"/>
  <c r="S310" i="1"/>
  <c r="T310" i="1"/>
  <c r="U310" i="1"/>
  <c r="Q311" i="1"/>
  <c r="R311" i="1"/>
  <c r="S311" i="1"/>
  <c r="T311" i="1"/>
  <c r="U311" i="1"/>
  <c r="Q312" i="1"/>
  <c r="R312" i="1"/>
  <c r="S312" i="1"/>
  <c r="T312" i="1"/>
  <c r="U312" i="1"/>
  <c r="Q313" i="1"/>
  <c r="R313" i="1"/>
  <c r="S313" i="1"/>
  <c r="T313" i="1"/>
  <c r="U313" i="1"/>
  <c r="Q314" i="1"/>
  <c r="R314" i="1"/>
  <c r="S314" i="1"/>
  <c r="T314" i="1"/>
  <c r="U314" i="1"/>
  <c r="Q315" i="1"/>
  <c r="R315" i="1"/>
  <c r="S315" i="1"/>
  <c r="T315" i="1"/>
  <c r="U315" i="1"/>
  <c r="Q316" i="1"/>
  <c r="R316" i="1"/>
  <c r="S316" i="1"/>
  <c r="T316" i="1"/>
  <c r="U316" i="1"/>
  <c r="Q317" i="1"/>
  <c r="R317" i="1"/>
  <c r="S317" i="1"/>
  <c r="T317" i="1"/>
  <c r="U317" i="1"/>
  <c r="Q318" i="1"/>
  <c r="R318" i="1"/>
  <c r="S318" i="1"/>
  <c r="T318" i="1"/>
  <c r="U318" i="1"/>
  <c r="Q319" i="1" a="1"/>
  <c r="Q319" i="1"/>
  <c r="GM179" i="1"/>
  <c r="L121" i="1"/>
  <c r="M121" i="1"/>
  <c r="BG160" i="1"/>
  <c r="BG178" i="1"/>
  <c r="Y175" i="1"/>
  <c r="JC318" i="1"/>
  <c r="JC317" i="1"/>
  <c r="JC316" i="1"/>
  <c r="JC315" i="1"/>
  <c r="JC314" i="1"/>
  <c r="JC313" i="1"/>
  <c r="JC312" i="1"/>
  <c r="JC311" i="1"/>
  <c r="JC310" i="1"/>
  <c r="JC309" i="1"/>
  <c r="JC308" i="1"/>
  <c r="JC307" i="1"/>
  <c r="JC306" i="1"/>
  <c r="JC305" i="1"/>
  <c r="JC304" i="1"/>
  <c r="JC303" i="1"/>
  <c r="JC302" i="1"/>
  <c r="JC301" i="1"/>
  <c r="JC300" i="1"/>
  <c r="JC299" i="1"/>
  <c r="JC298" i="1"/>
  <c r="JC297" i="1"/>
  <c r="JC296" i="1"/>
  <c r="JC295" i="1"/>
  <c r="JC294" i="1"/>
  <c r="JC293" i="1"/>
  <c r="JC292" i="1"/>
  <c r="JC291" i="1"/>
  <c r="JC290" i="1"/>
  <c r="JC289" i="1"/>
  <c r="JC288" i="1"/>
  <c r="JC287" i="1"/>
  <c r="JC286" i="1"/>
  <c r="JC285" i="1"/>
  <c r="JC284" i="1"/>
  <c r="JC283" i="1"/>
  <c r="JC282" i="1"/>
  <c r="JC281" i="1"/>
  <c r="JC280" i="1"/>
  <c r="JC279" i="1"/>
  <c r="JC278" i="1"/>
  <c r="JC277" i="1"/>
  <c r="JC276" i="1"/>
  <c r="JC275" i="1"/>
  <c r="JC274" i="1"/>
  <c r="JC273" i="1"/>
  <c r="JC272" i="1"/>
  <c r="JC271" i="1"/>
  <c r="JC270" i="1"/>
  <c r="JC269" i="1"/>
  <c r="JC268" i="1"/>
  <c r="JC267" i="1"/>
  <c r="JC266" i="1"/>
  <c r="JC265" i="1"/>
  <c r="JC264" i="1"/>
  <c r="JC263" i="1"/>
  <c r="JC262" i="1"/>
  <c r="JC261" i="1"/>
  <c r="JC260" i="1"/>
  <c r="JC259" i="1"/>
  <c r="JC258" i="1"/>
  <c r="JC257" i="1"/>
  <c r="JC256" i="1"/>
  <c r="JC255" i="1"/>
  <c r="JC254" i="1"/>
  <c r="JC253" i="1"/>
  <c r="JC252" i="1"/>
  <c r="JC251" i="1"/>
  <c r="JC250" i="1"/>
  <c r="JC249" i="1"/>
  <c r="JC248" i="1"/>
  <c r="JC247" i="1"/>
  <c r="JC246" i="1"/>
  <c r="JC245" i="1"/>
  <c r="JC244" i="1"/>
  <c r="JC243" i="1"/>
  <c r="JC242" i="1"/>
  <c r="JC241" i="1"/>
  <c r="JC240" i="1"/>
  <c r="JC239" i="1"/>
  <c r="JC238" i="1"/>
  <c r="JC237" i="1"/>
  <c r="JC236" i="1"/>
  <c r="JC235" i="1"/>
  <c r="JC234" i="1"/>
  <c r="JC233" i="1"/>
  <c r="JC232" i="1"/>
  <c r="JC231" i="1"/>
  <c r="JC230" i="1"/>
  <c r="JC229" i="1"/>
  <c r="JC228" i="1"/>
  <c r="JC227" i="1"/>
  <c r="JC226" i="1"/>
  <c r="JC225" i="1"/>
  <c r="JC224" i="1"/>
  <c r="JC223" i="1"/>
  <c r="JC222" i="1"/>
  <c r="JC221" i="1"/>
  <c r="JC220" i="1"/>
  <c r="JC219" i="1"/>
  <c r="JC218" i="1"/>
  <c r="JC217" i="1"/>
  <c r="JC216" i="1"/>
  <c r="JC215" i="1"/>
  <c r="JC214" i="1"/>
  <c r="JC213" i="1"/>
  <c r="JC212" i="1"/>
  <c r="JC211" i="1"/>
  <c r="JC210" i="1"/>
  <c r="JC209" i="1"/>
  <c r="JC208" i="1"/>
  <c r="JC207" i="1"/>
  <c r="JC206" i="1"/>
  <c r="JC205" i="1"/>
  <c r="JC204" i="1"/>
  <c r="JC203" i="1"/>
  <c r="JC202" i="1"/>
  <c r="JC201" i="1"/>
  <c r="JC200" i="1"/>
  <c r="JC199" i="1"/>
  <c r="JC198" i="1"/>
  <c r="JC197" i="1"/>
  <c r="JC196" i="1"/>
  <c r="JC195" i="1"/>
  <c r="JC194" i="1"/>
  <c r="JC193" i="1"/>
  <c r="JC192" i="1"/>
  <c r="JC191" i="1"/>
  <c r="JC190" i="1"/>
  <c r="JC189" i="1"/>
  <c r="JC188" i="1"/>
  <c r="JC187" i="1"/>
  <c r="JC186" i="1"/>
  <c r="JC185" i="1"/>
  <c r="JC184" i="1"/>
  <c r="JC183" i="1"/>
  <c r="JC182" i="1"/>
  <c r="JC181" i="1"/>
  <c r="JC180" i="1"/>
  <c r="JC179" i="1"/>
  <c r="JC178" i="1"/>
  <c r="JC177" i="1"/>
  <c r="JC176" i="1"/>
  <c r="JC175" i="1"/>
  <c r="JC174" i="1"/>
  <c r="JC173" i="1"/>
  <c r="JC172" i="1"/>
  <c r="JC171" i="1"/>
  <c r="JC170" i="1"/>
  <c r="JC169" i="1"/>
  <c r="JC168" i="1"/>
  <c r="JC167" i="1"/>
  <c r="JC166" i="1"/>
  <c r="JC165" i="1"/>
  <c r="JC164" i="1"/>
  <c r="JC163" i="1"/>
  <c r="JC162" i="1"/>
  <c r="JC161" i="1"/>
  <c r="JC160" i="1"/>
  <c r="JC159" i="1"/>
  <c r="JC158" i="1"/>
  <c r="JC157" i="1"/>
  <c r="JC156" i="1"/>
  <c r="JC155" i="1"/>
  <c r="JC154" i="1"/>
  <c r="JC153" i="1"/>
  <c r="JC152" i="1"/>
  <c r="JC151" i="1"/>
  <c r="JC150" i="1"/>
  <c r="JC149" i="1"/>
  <c r="JC148" i="1"/>
  <c r="JC147" i="1"/>
  <c r="JC146" i="1"/>
  <c r="JC145" i="1"/>
  <c r="JC144" i="1"/>
  <c r="JC143" i="1"/>
  <c r="JC142" i="1"/>
  <c r="JC141" i="1"/>
  <c r="JC140" i="1"/>
  <c r="JC139" i="1"/>
  <c r="JC138" i="1"/>
  <c r="JC137" i="1"/>
  <c r="JC136" i="1"/>
  <c r="JC135" i="1"/>
  <c r="JC134" i="1"/>
  <c r="JC133" i="1"/>
  <c r="JC132" i="1"/>
  <c r="JC131" i="1"/>
  <c r="JC130" i="1"/>
  <c r="JC129" i="1"/>
  <c r="JC128" i="1"/>
  <c r="JC127" i="1"/>
  <c r="JC126" i="1"/>
  <c r="JC125" i="1"/>
  <c r="JC124" i="1"/>
  <c r="JC123" i="1"/>
  <c r="JC122" i="1"/>
  <c r="JC121" i="1"/>
  <c r="JC120" i="1"/>
  <c r="JC119" i="1"/>
  <c r="JC118" i="1"/>
  <c r="JC117" i="1"/>
  <c r="JC116" i="1"/>
  <c r="JC115" i="1"/>
  <c r="JC114" i="1"/>
  <c r="JC113" i="1"/>
  <c r="JC112" i="1"/>
  <c r="JC111" i="1"/>
  <c r="JC110" i="1"/>
  <c r="JC109" i="1"/>
  <c r="JC108" i="1"/>
  <c r="JC107" i="1"/>
  <c r="JC106" i="1"/>
  <c r="JC105" i="1"/>
  <c r="JC104" i="1"/>
  <c r="JC103" i="1"/>
  <c r="JC102" i="1"/>
  <c r="JC101" i="1"/>
  <c r="JC100" i="1"/>
  <c r="JC99" i="1"/>
  <c r="JC98" i="1"/>
  <c r="JC97" i="1"/>
  <c r="JC96" i="1"/>
  <c r="JC95" i="1"/>
  <c r="JC94" i="1"/>
  <c r="JC93" i="1"/>
  <c r="JC92" i="1"/>
  <c r="JC91" i="1"/>
  <c r="JC90" i="1"/>
  <c r="JC89" i="1"/>
  <c r="JC88" i="1"/>
  <c r="JC87" i="1"/>
  <c r="JC86" i="1"/>
  <c r="JC85" i="1"/>
  <c r="JC84" i="1"/>
  <c r="JC83" i="1"/>
  <c r="JC82" i="1"/>
  <c r="JC81" i="1"/>
  <c r="JC80" i="1"/>
  <c r="JC79" i="1"/>
  <c r="JC78" i="1"/>
  <c r="JC77" i="1"/>
  <c r="JC76" i="1"/>
  <c r="JC75" i="1"/>
  <c r="JC74" i="1"/>
  <c r="JC73" i="1"/>
  <c r="JC72" i="1"/>
  <c r="JC71" i="1"/>
  <c r="JC70" i="1"/>
  <c r="JC69" i="1"/>
  <c r="JC68" i="1"/>
  <c r="JC67" i="1"/>
  <c r="JC66" i="1"/>
  <c r="JC65" i="1"/>
  <c r="JC64" i="1"/>
  <c r="JC63" i="1"/>
  <c r="JC62" i="1"/>
  <c r="JC61" i="1"/>
  <c r="JC60" i="1"/>
  <c r="JC59" i="1"/>
  <c r="JC58" i="1"/>
  <c r="JC57" i="1"/>
  <c r="JC56" i="1"/>
  <c r="JC55" i="1"/>
  <c r="JC54" i="1"/>
  <c r="JC53" i="1"/>
  <c r="JC52" i="1"/>
  <c r="JC51" i="1"/>
  <c r="JC50" i="1"/>
  <c r="JC49" i="1"/>
  <c r="JC48" i="1"/>
  <c r="JC47" i="1"/>
  <c r="JC46" i="1"/>
  <c r="JC45" i="1"/>
  <c r="JC44" i="1"/>
  <c r="JC43" i="1"/>
  <c r="JC42" i="1"/>
  <c r="JC41" i="1"/>
  <c r="JC40" i="1"/>
  <c r="JC39" i="1"/>
  <c r="JC38" i="1"/>
  <c r="JC37" i="1"/>
  <c r="JC36" i="1"/>
  <c r="JC35" i="1"/>
  <c r="JC34" i="1"/>
  <c r="JC33" i="1"/>
  <c r="JC32" i="1"/>
  <c r="JC31" i="1"/>
  <c r="JC30" i="1"/>
  <c r="JC29" i="1"/>
  <c r="JC28" i="1"/>
  <c r="JC27" i="1"/>
  <c r="JC26" i="1"/>
  <c r="JC25" i="1"/>
  <c r="JC24" i="1"/>
  <c r="JC23" i="1"/>
  <c r="JC22" i="1"/>
  <c r="JC21" i="1"/>
  <c r="JC20" i="1"/>
  <c r="JC19" i="1"/>
  <c r="JC18" i="1"/>
  <c r="JC17" i="1"/>
  <c r="JC16" i="1"/>
  <c r="JC15" i="1"/>
  <c r="JC14" i="1"/>
  <c r="JC13" i="1"/>
  <c r="JC12" i="1"/>
  <c r="JC11" i="1"/>
  <c r="JG11" i="1"/>
  <c r="BY132" i="1"/>
  <c r="Z131" i="1"/>
  <c r="BY134" i="1"/>
  <c r="Y123" i="1"/>
  <c r="GM95" i="1"/>
  <c r="L60" i="1"/>
  <c r="M60" i="1"/>
  <c r="FV64" i="1"/>
  <c r="L64" i="1"/>
  <c r="M64" i="1"/>
  <c r="L66" i="1"/>
  <c r="M66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9" i="1"/>
  <c r="G190" i="1"/>
  <c r="G191" i="1"/>
  <c r="G192" i="1"/>
  <c r="G193" i="1"/>
  <c r="G194" i="1"/>
  <c r="G195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1" i="1"/>
  <c r="M61" i="1"/>
  <c r="L62" i="1"/>
  <c r="M62" i="1"/>
  <c r="L63" i="1"/>
  <c r="M63" i="1"/>
  <c r="L65" i="1"/>
  <c r="M65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11" i="1"/>
  <c r="L12" i="1"/>
  <c r="M12" i="1"/>
  <c r="L13" i="1"/>
  <c r="M13" i="1"/>
  <c r="L14" i="1"/>
  <c r="M14" i="1"/>
  <c r="L15" i="1"/>
  <c r="M15" i="1"/>
  <c r="L16" i="1"/>
  <c r="M16" i="1"/>
  <c r="L17" i="1"/>
  <c r="M17" i="1"/>
  <c r="G312" i="1"/>
  <c r="G313" i="1"/>
  <c r="G314" i="1"/>
  <c r="G315" i="1"/>
  <c r="G316" i="1"/>
  <c r="G317" i="1"/>
  <c r="G318" i="1"/>
  <c r="HV318" i="1"/>
  <c r="HU318" i="1"/>
  <c r="HV317" i="1"/>
  <c r="HU317" i="1"/>
  <c r="HV316" i="1"/>
  <c r="HU316" i="1"/>
  <c r="HV315" i="1"/>
  <c r="HU315" i="1"/>
  <c r="HV314" i="1"/>
  <c r="HU314" i="1"/>
  <c r="HV313" i="1"/>
  <c r="HU313" i="1"/>
  <c r="HV312" i="1"/>
  <c r="HU312" i="1"/>
  <c r="HV311" i="1"/>
  <c r="HU311" i="1"/>
  <c r="HV310" i="1"/>
  <c r="HU310" i="1"/>
  <c r="HV309" i="1"/>
  <c r="HU309" i="1"/>
  <c r="HV308" i="1"/>
  <c r="HU308" i="1"/>
  <c r="HV307" i="1"/>
  <c r="HU307" i="1"/>
  <c r="HV306" i="1"/>
  <c r="HU306" i="1"/>
  <c r="HV305" i="1"/>
  <c r="HU305" i="1"/>
  <c r="HV304" i="1"/>
  <c r="HU304" i="1"/>
  <c r="HV303" i="1"/>
  <c r="HU303" i="1"/>
  <c r="HV302" i="1"/>
  <c r="HU302" i="1"/>
  <c r="HV301" i="1"/>
  <c r="HU301" i="1"/>
  <c r="HV300" i="1"/>
  <c r="HU300" i="1"/>
  <c r="HV299" i="1"/>
  <c r="HU299" i="1"/>
  <c r="HV298" i="1"/>
  <c r="HU298" i="1"/>
  <c r="HV297" i="1"/>
  <c r="HU297" i="1"/>
  <c r="HV296" i="1"/>
  <c r="HU296" i="1"/>
  <c r="HV295" i="1"/>
  <c r="HU295" i="1"/>
  <c r="HV294" i="1"/>
  <c r="HU294" i="1"/>
  <c r="HV293" i="1"/>
  <c r="HU293" i="1"/>
  <c r="HV292" i="1"/>
  <c r="HU292" i="1"/>
  <c r="HV291" i="1"/>
  <c r="HU291" i="1"/>
  <c r="HV290" i="1"/>
  <c r="HU290" i="1"/>
  <c r="HV289" i="1"/>
  <c r="HU289" i="1"/>
  <c r="HV288" i="1"/>
  <c r="HU288" i="1"/>
  <c r="HV287" i="1"/>
  <c r="HU287" i="1"/>
  <c r="HV286" i="1"/>
  <c r="HU286" i="1"/>
  <c r="HV285" i="1"/>
  <c r="HU285" i="1"/>
  <c r="HV284" i="1"/>
  <c r="HU284" i="1"/>
  <c r="HV283" i="1"/>
  <c r="HU283" i="1"/>
  <c r="HV282" i="1"/>
  <c r="HU282" i="1"/>
  <c r="HV281" i="1"/>
  <c r="HU281" i="1"/>
  <c r="HV280" i="1"/>
  <c r="HU280" i="1"/>
  <c r="HV279" i="1"/>
  <c r="HU279" i="1"/>
  <c r="HV278" i="1"/>
  <c r="HU278" i="1"/>
  <c r="HV277" i="1"/>
  <c r="HU277" i="1"/>
  <c r="HV276" i="1"/>
  <c r="HU276" i="1"/>
  <c r="HV275" i="1"/>
  <c r="HU275" i="1"/>
  <c r="HV274" i="1"/>
  <c r="HU274" i="1"/>
  <c r="HV273" i="1"/>
  <c r="HU273" i="1"/>
  <c r="HV272" i="1"/>
  <c r="HU272" i="1"/>
  <c r="HV271" i="1"/>
  <c r="HU271" i="1"/>
  <c r="HV270" i="1"/>
  <c r="HU270" i="1"/>
  <c r="HV269" i="1"/>
  <c r="HU269" i="1"/>
  <c r="HV268" i="1"/>
  <c r="HU268" i="1"/>
  <c r="HV267" i="1"/>
  <c r="HU267" i="1"/>
  <c r="HV266" i="1"/>
  <c r="HU266" i="1"/>
  <c r="HV265" i="1"/>
  <c r="HU265" i="1"/>
  <c r="HV264" i="1"/>
  <c r="HU264" i="1"/>
  <c r="HV263" i="1"/>
  <c r="HU263" i="1"/>
  <c r="HV262" i="1"/>
  <c r="HU262" i="1"/>
  <c r="HV261" i="1"/>
  <c r="HU261" i="1"/>
  <c r="HV260" i="1"/>
  <c r="HU260" i="1"/>
  <c r="HV259" i="1"/>
  <c r="HU259" i="1"/>
  <c r="HV258" i="1"/>
  <c r="HU258" i="1"/>
  <c r="HV257" i="1"/>
  <c r="HU257" i="1"/>
  <c r="HV256" i="1"/>
  <c r="HU256" i="1"/>
  <c r="HV255" i="1"/>
  <c r="HU255" i="1"/>
  <c r="HV254" i="1"/>
  <c r="HU254" i="1"/>
  <c r="HV253" i="1"/>
  <c r="HU253" i="1"/>
  <c r="HV252" i="1"/>
  <c r="HU252" i="1"/>
  <c r="HV251" i="1"/>
  <c r="HU251" i="1"/>
  <c r="HV250" i="1"/>
  <c r="HU250" i="1"/>
  <c r="HV249" i="1"/>
  <c r="HU249" i="1"/>
  <c r="HV248" i="1"/>
  <c r="HU248" i="1"/>
  <c r="HV247" i="1"/>
  <c r="HU247" i="1"/>
  <c r="HV246" i="1"/>
  <c r="HU246" i="1"/>
  <c r="HV245" i="1"/>
  <c r="HU245" i="1"/>
  <c r="HV244" i="1"/>
  <c r="HU244" i="1"/>
  <c r="HV243" i="1"/>
  <c r="HU243" i="1"/>
  <c r="HV242" i="1"/>
  <c r="HU242" i="1"/>
  <c r="HV241" i="1"/>
  <c r="HU241" i="1"/>
  <c r="HV240" i="1"/>
  <c r="HU240" i="1"/>
  <c r="HV239" i="1"/>
  <c r="HU239" i="1"/>
  <c r="HV238" i="1"/>
  <c r="HU238" i="1"/>
  <c r="HV237" i="1"/>
  <c r="HU237" i="1"/>
  <c r="HV236" i="1"/>
  <c r="HU236" i="1"/>
  <c r="HV235" i="1"/>
  <c r="HU235" i="1"/>
  <c r="HV234" i="1"/>
  <c r="HU234" i="1"/>
  <c r="HV233" i="1"/>
  <c r="HU233" i="1"/>
  <c r="HV232" i="1"/>
  <c r="HU232" i="1"/>
  <c r="HV231" i="1"/>
  <c r="HU231" i="1"/>
  <c r="HV230" i="1"/>
  <c r="HU230" i="1"/>
  <c r="HV229" i="1"/>
  <c r="HU229" i="1"/>
  <c r="HV228" i="1"/>
  <c r="HU228" i="1"/>
  <c r="HV227" i="1"/>
  <c r="HU227" i="1"/>
  <c r="HV226" i="1"/>
  <c r="HU226" i="1"/>
  <c r="HV225" i="1"/>
  <c r="HU225" i="1"/>
  <c r="HV224" i="1"/>
  <c r="HU224" i="1"/>
  <c r="HV223" i="1"/>
  <c r="HU223" i="1"/>
  <c r="HV222" i="1"/>
  <c r="HU222" i="1"/>
  <c r="HV221" i="1"/>
  <c r="HU221" i="1"/>
  <c r="HV220" i="1"/>
  <c r="HU220" i="1"/>
  <c r="HV219" i="1"/>
  <c r="HU219" i="1"/>
  <c r="HV218" i="1"/>
  <c r="HU218" i="1"/>
  <c r="HV217" i="1"/>
  <c r="HU217" i="1"/>
  <c r="HV216" i="1"/>
  <c r="HU216" i="1"/>
  <c r="HV215" i="1"/>
  <c r="HU215" i="1"/>
  <c r="HV214" i="1"/>
  <c r="HU214" i="1"/>
  <c r="HV213" i="1"/>
  <c r="HU213" i="1"/>
  <c r="HV212" i="1"/>
  <c r="HU212" i="1"/>
  <c r="HV211" i="1"/>
  <c r="HU211" i="1"/>
  <c r="HV210" i="1"/>
  <c r="HU210" i="1"/>
  <c r="HV209" i="1"/>
  <c r="HU209" i="1"/>
  <c r="HV208" i="1"/>
  <c r="HU208" i="1"/>
  <c r="HV207" i="1"/>
  <c r="HU207" i="1"/>
  <c r="HV206" i="1"/>
  <c r="HU206" i="1"/>
  <c r="HV205" i="1"/>
  <c r="HU205" i="1"/>
  <c r="HV204" i="1"/>
  <c r="HU204" i="1"/>
  <c r="HV203" i="1"/>
  <c r="HU203" i="1"/>
  <c r="HV202" i="1"/>
  <c r="HU202" i="1"/>
  <c r="HV201" i="1"/>
  <c r="HU201" i="1"/>
  <c r="HV200" i="1"/>
  <c r="HU200" i="1"/>
  <c r="HV199" i="1"/>
  <c r="HU199" i="1"/>
  <c r="HV198" i="1"/>
  <c r="HU198" i="1"/>
  <c r="HV197" i="1"/>
  <c r="HU197" i="1"/>
  <c r="HV196" i="1"/>
  <c r="HU196" i="1"/>
  <c r="HV195" i="1"/>
  <c r="HU195" i="1"/>
  <c r="HV194" i="1"/>
  <c r="HU194" i="1"/>
  <c r="HV193" i="1"/>
  <c r="HU193" i="1"/>
  <c r="HV192" i="1"/>
  <c r="HU192" i="1"/>
  <c r="HV191" i="1"/>
  <c r="HU191" i="1"/>
  <c r="HV190" i="1"/>
  <c r="HU190" i="1"/>
  <c r="HV189" i="1"/>
  <c r="HU189" i="1"/>
  <c r="HV188" i="1"/>
  <c r="HU188" i="1"/>
  <c r="HV187" i="1"/>
  <c r="HU187" i="1"/>
  <c r="HV186" i="1"/>
  <c r="HU186" i="1"/>
  <c r="HV185" i="1"/>
  <c r="HU185" i="1"/>
  <c r="HV184" i="1"/>
  <c r="HU184" i="1"/>
  <c r="HV183" i="1"/>
  <c r="HU183" i="1"/>
  <c r="HV182" i="1"/>
  <c r="HU182" i="1"/>
  <c r="HV181" i="1"/>
  <c r="HU181" i="1"/>
  <c r="HV180" i="1"/>
  <c r="HU180" i="1"/>
  <c r="HV179" i="1"/>
  <c r="HU179" i="1"/>
  <c r="HV178" i="1"/>
  <c r="HU178" i="1"/>
  <c r="HV177" i="1"/>
  <c r="HU177" i="1"/>
  <c r="HV176" i="1"/>
  <c r="HU176" i="1"/>
  <c r="HV175" i="1"/>
  <c r="HU175" i="1"/>
  <c r="HV174" i="1"/>
  <c r="HU174" i="1"/>
  <c r="HV173" i="1"/>
  <c r="HU173" i="1"/>
  <c r="HV172" i="1"/>
  <c r="HU172" i="1"/>
  <c r="HV171" i="1"/>
  <c r="HU171" i="1"/>
  <c r="HV170" i="1"/>
  <c r="HU170" i="1"/>
  <c r="HV169" i="1"/>
  <c r="HU169" i="1"/>
  <c r="HV168" i="1"/>
  <c r="HU168" i="1"/>
  <c r="HV167" i="1"/>
  <c r="HU167" i="1"/>
  <c r="HV166" i="1"/>
  <c r="HU166" i="1"/>
  <c r="HV165" i="1"/>
  <c r="HU165" i="1"/>
  <c r="HV164" i="1"/>
  <c r="HU164" i="1"/>
  <c r="HV163" i="1"/>
  <c r="HU163" i="1"/>
  <c r="HV162" i="1"/>
  <c r="HU162" i="1"/>
  <c r="HV161" i="1"/>
  <c r="HU161" i="1"/>
  <c r="HV160" i="1"/>
  <c r="HU160" i="1"/>
  <c r="HV159" i="1"/>
  <c r="HU159" i="1"/>
  <c r="HV158" i="1"/>
  <c r="HU158" i="1"/>
  <c r="HV157" i="1"/>
  <c r="HU157" i="1"/>
  <c r="HV156" i="1"/>
  <c r="HU156" i="1"/>
  <c r="HV155" i="1"/>
  <c r="HU155" i="1"/>
  <c r="HV154" i="1"/>
  <c r="HU154" i="1"/>
  <c r="HV153" i="1"/>
  <c r="HU153" i="1"/>
  <c r="HV152" i="1"/>
  <c r="HU152" i="1"/>
  <c r="HV151" i="1"/>
  <c r="HU151" i="1"/>
  <c r="HV150" i="1"/>
  <c r="HU150" i="1"/>
  <c r="HV149" i="1"/>
  <c r="HU149" i="1"/>
  <c r="HV148" i="1"/>
  <c r="HU148" i="1"/>
  <c r="HV147" i="1"/>
  <c r="HU147" i="1"/>
  <c r="HV146" i="1"/>
  <c r="HU146" i="1"/>
  <c r="HV145" i="1"/>
  <c r="HU145" i="1"/>
  <c r="HV144" i="1"/>
  <c r="HU144" i="1"/>
  <c r="HV143" i="1"/>
  <c r="HU143" i="1"/>
  <c r="HV142" i="1"/>
  <c r="HU142" i="1"/>
  <c r="HV141" i="1"/>
  <c r="HU141" i="1"/>
  <c r="HV140" i="1"/>
  <c r="HU140" i="1"/>
  <c r="HV139" i="1"/>
  <c r="HU139" i="1"/>
  <c r="HV138" i="1"/>
  <c r="HU138" i="1"/>
  <c r="HV137" i="1"/>
  <c r="HU137" i="1"/>
  <c r="HV136" i="1"/>
  <c r="HU136" i="1"/>
  <c r="HV135" i="1"/>
  <c r="HU135" i="1"/>
  <c r="HV134" i="1"/>
  <c r="HU134" i="1"/>
  <c r="HV133" i="1"/>
  <c r="HU133" i="1"/>
  <c r="HV132" i="1"/>
  <c r="HU132" i="1"/>
  <c r="HV131" i="1"/>
  <c r="HU131" i="1"/>
  <c r="HV130" i="1"/>
  <c r="HU130" i="1"/>
  <c r="HV129" i="1"/>
  <c r="HU129" i="1"/>
  <c r="HV128" i="1"/>
  <c r="HU128" i="1"/>
  <c r="HV127" i="1"/>
  <c r="HU127" i="1"/>
  <c r="HV126" i="1"/>
  <c r="HU126" i="1"/>
  <c r="HV125" i="1"/>
  <c r="HU125" i="1"/>
  <c r="HV124" i="1"/>
  <c r="HU124" i="1"/>
  <c r="HV123" i="1"/>
  <c r="HU123" i="1"/>
  <c r="HV122" i="1"/>
  <c r="HU122" i="1"/>
  <c r="HV121" i="1"/>
  <c r="HU121" i="1"/>
  <c r="HV120" i="1"/>
  <c r="HU120" i="1"/>
  <c r="HV119" i="1"/>
  <c r="HU119" i="1"/>
  <c r="HV118" i="1"/>
  <c r="HU118" i="1"/>
  <c r="HV117" i="1"/>
  <c r="HU117" i="1"/>
  <c r="HV116" i="1"/>
  <c r="HU116" i="1"/>
  <c r="HV115" i="1"/>
  <c r="HU115" i="1"/>
  <c r="HV114" i="1"/>
  <c r="HU114" i="1"/>
  <c r="HV113" i="1"/>
  <c r="HU113" i="1"/>
  <c r="HV112" i="1"/>
  <c r="HU112" i="1"/>
  <c r="HV111" i="1"/>
  <c r="HU111" i="1"/>
  <c r="HV110" i="1"/>
  <c r="HU110" i="1"/>
  <c r="HV109" i="1"/>
  <c r="HU109" i="1"/>
  <c r="HV108" i="1"/>
  <c r="HU108" i="1"/>
  <c r="HV107" i="1"/>
  <c r="HU107" i="1"/>
  <c r="HV106" i="1"/>
  <c r="HU106" i="1"/>
  <c r="HV105" i="1"/>
  <c r="HU105" i="1"/>
  <c r="HV104" i="1"/>
  <c r="HU104" i="1"/>
  <c r="HV103" i="1"/>
  <c r="HU103" i="1"/>
  <c r="HV102" i="1"/>
  <c r="HU102" i="1"/>
  <c r="HV101" i="1"/>
  <c r="HU101" i="1"/>
  <c r="HV100" i="1"/>
  <c r="HU100" i="1"/>
  <c r="HV99" i="1"/>
  <c r="HU99" i="1"/>
  <c r="HV98" i="1"/>
  <c r="HU98" i="1"/>
  <c r="HV97" i="1"/>
  <c r="HU97" i="1"/>
  <c r="HV96" i="1"/>
  <c r="HU96" i="1"/>
  <c r="HV95" i="1"/>
  <c r="HU95" i="1"/>
  <c r="HV94" i="1"/>
  <c r="HU94" i="1"/>
  <c r="HV93" i="1"/>
  <c r="HU93" i="1"/>
  <c r="HV92" i="1"/>
  <c r="HU92" i="1"/>
  <c r="HV91" i="1"/>
  <c r="HU91" i="1"/>
  <c r="HV90" i="1"/>
  <c r="HU90" i="1"/>
  <c r="HV89" i="1"/>
  <c r="HU89" i="1"/>
  <c r="HV88" i="1"/>
  <c r="HU88" i="1"/>
  <c r="HV87" i="1"/>
  <c r="HU87" i="1"/>
  <c r="HV86" i="1"/>
  <c r="HU86" i="1"/>
  <c r="HV85" i="1"/>
  <c r="HU85" i="1"/>
  <c r="HV84" i="1"/>
  <c r="HU84" i="1"/>
  <c r="HV83" i="1"/>
  <c r="HU83" i="1"/>
  <c r="HV82" i="1"/>
  <c r="HU82" i="1"/>
  <c r="HV81" i="1"/>
  <c r="HU81" i="1"/>
  <c r="HV80" i="1"/>
  <c r="HU80" i="1"/>
  <c r="HV79" i="1"/>
  <c r="HU79" i="1"/>
  <c r="HV78" i="1"/>
  <c r="HU78" i="1"/>
  <c r="HV77" i="1"/>
  <c r="HU77" i="1"/>
  <c r="HV76" i="1"/>
  <c r="HU76" i="1"/>
  <c r="HV75" i="1"/>
  <c r="HU75" i="1"/>
  <c r="HV74" i="1"/>
  <c r="HU74" i="1"/>
  <c r="HV73" i="1"/>
  <c r="HU73" i="1"/>
  <c r="HV72" i="1"/>
  <c r="HU72" i="1"/>
  <c r="HV71" i="1"/>
  <c r="HU71" i="1"/>
  <c r="HV70" i="1"/>
  <c r="HU70" i="1"/>
  <c r="HV69" i="1"/>
  <c r="HU69" i="1"/>
  <c r="HV68" i="1"/>
  <c r="HU68" i="1"/>
  <c r="HV67" i="1"/>
  <c r="HU67" i="1"/>
  <c r="HV66" i="1"/>
  <c r="HU66" i="1"/>
  <c r="HV65" i="1"/>
  <c r="HU65" i="1"/>
  <c r="HV64" i="1"/>
  <c r="HU64" i="1"/>
  <c r="HV63" i="1"/>
  <c r="HU63" i="1"/>
  <c r="HV62" i="1"/>
  <c r="HU62" i="1"/>
  <c r="HV61" i="1"/>
  <c r="HU61" i="1"/>
  <c r="HV60" i="1"/>
  <c r="HU60" i="1"/>
  <c r="HV59" i="1"/>
  <c r="HU59" i="1"/>
  <c r="HV58" i="1"/>
  <c r="HU58" i="1"/>
  <c r="HV57" i="1"/>
  <c r="HU57" i="1"/>
  <c r="HV56" i="1"/>
  <c r="HU56" i="1"/>
  <c r="HV55" i="1"/>
  <c r="HU55" i="1"/>
  <c r="HV54" i="1"/>
  <c r="HU54" i="1"/>
  <c r="HV53" i="1"/>
  <c r="HU53" i="1"/>
  <c r="HV52" i="1"/>
  <c r="HU52" i="1"/>
  <c r="HV51" i="1"/>
  <c r="HU51" i="1"/>
  <c r="HV50" i="1"/>
  <c r="HU50" i="1"/>
  <c r="HV49" i="1"/>
  <c r="HU49" i="1"/>
  <c r="HV48" i="1"/>
  <c r="HU48" i="1"/>
  <c r="HV47" i="1"/>
  <c r="HU47" i="1"/>
  <c r="HV46" i="1"/>
  <c r="HU46" i="1"/>
  <c r="HV45" i="1"/>
  <c r="HU45" i="1"/>
  <c r="HV44" i="1"/>
  <c r="HU44" i="1"/>
  <c r="HV43" i="1"/>
  <c r="HU43" i="1"/>
  <c r="HV42" i="1"/>
  <c r="HU42" i="1"/>
  <c r="HV41" i="1"/>
  <c r="HU41" i="1"/>
  <c r="HV40" i="1"/>
  <c r="HU40" i="1"/>
  <c r="HV39" i="1"/>
  <c r="HU39" i="1"/>
  <c r="HV38" i="1"/>
  <c r="HU38" i="1"/>
  <c r="HV37" i="1"/>
  <c r="HU37" i="1"/>
  <c r="HV36" i="1"/>
  <c r="HU36" i="1"/>
  <c r="HV35" i="1"/>
  <c r="HU35" i="1"/>
  <c r="HV34" i="1"/>
  <c r="HU34" i="1"/>
  <c r="HV33" i="1"/>
  <c r="HU33" i="1"/>
  <c r="HV32" i="1"/>
  <c r="HU32" i="1"/>
  <c r="HV31" i="1"/>
  <c r="HU31" i="1"/>
  <c r="HV30" i="1"/>
  <c r="HU30" i="1"/>
  <c r="HV29" i="1"/>
  <c r="HU29" i="1"/>
  <c r="HV28" i="1"/>
  <c r="HU28" i="1"/>
  <c r="HV27" i="1"/>
  <c r="HU27" i="1"/>
  <c r="HV26" i="1"/>
  <c r="HU26" i="1"/>
  <c r="HV25" i="1"/>
  <c r="HU25" i="1"/>
  <c r="HV24" i="1"/>
  <c r="HU24" i="1"/>
  <c r="HV23" i="1"/>
  <c r="HU23" i="1"/>
  <c r="HV22" i="1"/>
  <c r="HU22" i="1"/>
  <c r="HV21" i="1"/>
  <c r="HU21" i="1"/>
  <c r="HV20" i="1"/>
  <c r="HU20" i="1"/>
  <c r="HV19" i="1"/>
  <c r="HU19" i="1"/>
  <c r="HV18" i="1"/>
  <c r="HU18" i="1"/>
  <c r="HV17" i="1"/>
  <c r="HU17" i="1"/>
  <c r="HV16" i="1"/>
  <c r="HU16" i="1"/>
  <c r="HV15" i="1"/>
  <c r="HU15" i="1"/>
  <c r="HV14" i="1"/>
  <c r="HU14" i="1"/>
  <c r="HV13" i="1"/>
  <c r="HU13" i="1"/>
  <c r="HV12" i="1"/>
  <c r="HU12" i="1"/>
  <c r="HV11" i="1"/>
  <c r="HU11" i="1"/>
  <c r="HY11" i="1"/>
  <c r="HE318" i="1"/>
  <c r="HD318" i="1"/>
  <c r="HE317" i="1"/>
  <c r="HD317" i="1"/>
  <c r="HE316" i="1"/>
  <c r="HD316" i="1"/>
  <c r="HE315" i="1"/>
  <c r="HD315" i="1"/>
  <c r="HE314" i="1"/>
  <c r="HD314" i="1"/>
  <c r="HE313" i="1"/>
  <c r="HD313" i="1"/>
  <c r="HE312" i="1"/>
  <c r="HD312" i="1"/>
  <c r="HE311" i="1"/>
  <c r="HD311" i="1"/>
  <c r="HE310" i="1"/>
  <c r="HD310" i="1"/>
  <c r="HE309" i="1"/>
  <c r="HD309" i="1"/>
  <c r="HE308" i="1"/>
  <c r="HD308" i="1"/>
  <c r="HE307" i="1"/>
  <c r="HD307" i="1"/>
  <c r="HE306" i="1"/>
  <c r="HD306" i="1"/>
  <c r="HE305" i="1"/>
  <c r="HD305" i="1"/>
  <c r="HE304" i="1"/>
  <c r="HD304" i="1"/>
  <c r="HE303" i="1"/>
  <c r="HD303" i="1"/>
  <c r="HE302" i="1"/>
  <c r="HD302" i="1"/>
  <c r="HE301" i="1"/>
  <c r="HD301" i="1"/>
  <c r="HE300" i="1"/>
  <c r="HD300" i="1"/>
  <c r="HE299" i="1"/>
  <c r="HD299" i="1"/>
  <c r="HE298" i="1"/>
  <c r="HD298" i="1"/>
  <c r="HE297" i="1"/>
  <c r="HD297" i="1"/>
  <c r="HE296" i="1"/>
  <c r="HD296" i="1"/>
  <c r="HE295" i="1"/>
  <c r="HD295" i="1"/>
  <c r="HE294" i="1"/>
  <c r="HD294" i="1"/>
  <c r="HE293" i="1"/>
  <c r="HD293" i="1"/>
  <c r="HE292" i="1"/>
  <c r="HD292" i="1"/>
  <c r="HE291" i="1"/>
  <c r="HD291" i="1"/>
  <c r="HE290" i="1"/>
  <c r="HD290" i="1"/>
  <c r="HE289" i="1"/>
  <c r="HD289" i="1"/>
  <c r="HE288" i="1"/>
  <c r="HD288" i="1"/>
  <c r="HE287" i="1"/>
  <c r="HD287" i="1"/>
  <c r="HE286" i="1"/>
  <c r="HD286" i="1"/>
  <c r="HE285" i="1"/>
  <c r="HD285" i="1"/>
  <c r="HE284" i="1"/>
  <c r="HD284" i="1"/>
  <c r="HE283" i="1"/>
  <c r="HD283" i="1"/>
  <c r="HE282" i="1"/>
  <c r="HD282" i="1"/>
  <c r="HE281" i="1"/>
  <c r="HD281" i="1"/>
  <c r="HE280" i="1"/>
  <c r="HD280" i="1"/>
  <c r="HE279" i="1"/>
  <c r="HD279" i="1"/>
  <c r="HE278" i="1"/>
  <c r="HD278" i="1"/>
  <c r="HE277" i="1"/>
  <c r="HD277" i="1"/>
  <c r="HE276" i="1"/>
  <c r="HD276" i="1"/>
  <c r="HE275" i="1"/>
  <c r="HD275" i="1"/>
  <c r="HE274" i="1"/>
  <c r="HD274" i="1"/>
  <c r="HE273" i="1"/>
  <c r="HD273" i="1"/>
  <c r="HE272" i="1"/>
  <c r="HD272" i="1"/>
  <c r="HE271" i="1"/>
  <c r="HD271" i="1"/>
  <c r="HE270" i="1"/>
  <c r="HD270" i="1"/>
  <c r="HE269" i="1"/>
  <c r="HD269" i="1"/>
  <c r="HE268" i="1"/>
  <c r="HD268" i="1"/>
  <c r="HE267" i="1"/>
  <c r="HD267" i="1"/>
  <c r="HE266" i="1"/>
  <c r="HD266" i="1"/>
  <c r="HE265" i="1"/>
  <c r="HD265" i="1"/>
  <c r="HE264" i="1"/>
  <c r="HD264" i="1"/>
  <c r="HE263" i="1"/>
  <c r="HD263" i="1"/>
  <c r="HE262" i="1"/>
  <c r="HD262" i="1"/>
  <c r="HE261" i="1"/>
  <c r="HD261" i="1"/>
  <c r="HE260" i="1"/>
  <c r="HD260" i="1"/>
  <c r="HE259" i="1"/>
  <c r="HD259" i="1"/>
  <c r="HE258" i="1"/>
  <c r="HD258" i="1"/>
  <c r="HE257" i="1"/>
  <c r="HD257" i="1"/>
  <c r="HE256" i="1"/>
  <c r="HD256" i="1"/>
  <c r="HE255" i="1"/>
  <c r="HD255" i="1"/>
  <c r="HE254" i="1"/>
  <c r="HD254" i="1"/>
  <c r="HE253" i="1"/>
  <c r="HD253" i="1"/>
  <c r="HE252" i="1"/>
  <c r="HD252" i="1"/>
  <c r="HE251" i="1"/>
  <c r="HD251" i="1"/>
  <c r="HE250" i="1"/>
  <c r="HD250" i="1"/>
  <c r="HE249" i="1"/>
  <c r="HD249" i="1"/>
  <c r="HE248" i="1"/>
  <c r="HD248" i="1"/>
  <c r="HE247" i="1"/>
  <c r="HD247" i="1"/>
  <c r="HE246" i="1"/>
  <c r="HD246" i="1"/>
  <c r="HE245" i="1"/>
  <c r="HD245" i="1"/>
  <c r="HE244" i="1"/>
  <c r="HD244" i="1"/>
  <c r="HE243" i="1"/>
  <c r="HD243" i="1"/>
  <c r="HE242" i="1"/>
  <c r="HD242" i="1"/>
  <c r="HE241" i="1"/>
  <c r="HD241" i="1"/>
  <c r="HE240" i="1"/>
  <c r="HD240" i="1"/>
  <c r="HE239" i="1"/>
  <c r="HD239" i="1"/>
  <c r="HE238" i="1"/>
  <c r="HD238" i="1"/>
  <c r="HE237" i="1"/>
  <c r="HD237" i="1"/>
  <c r="HE236" i="1"/>
  <c r="HD236" i="1"/>
  <c r="HE235" i="1"/>
  <c r="HD235" i="1"/>
  <c r="HE234" i="1"/>
  <c r="HD234" i="1"/>
  <c r="HE233" i="1"/>
  <c r="HD233" i="1"/>
  <c r="HE232" i="1"/>
  <c r="HD232" i="1"/>
  <c r="HE231" i="1"/>
  <c r="HD231" i="1"/>
  <c r="HE230" i="1"/>
  <c r="HD230" i="1"/>
  <c r="HE229" i="1"/>
  <c r="HD229" i="1"/>
  <c r="HE228" i="1"/>
  <c r="HD228" i="1"/>
  <c r="HE227" i="1"/>
  <c r="HD227" i="1"/>
  <c r="HE226" i="1"/>
  <c r="HD226" i="1"/>
  <c r="HE225" i="1"/>
  <c r="HD225" i="1"/>
  <c r="HE224" i="1"/>
  <c r="HD224" i="1"/>
  <c r="HE223" i="1"/>
  <c r="HD223" i="1"/>
  <c r="HE222" i="1"/>
  <c r="HD222" i="1"/>
  <c r="HE221" i="1"/>
  <c r="HD221" i="1"/>
  <c r="HE220" i="1"/>
  <c r="HD220" i="1"/>
  <c r="HE219" i="1"/>
  <c r="HD219" i="1"/>
  <c r="HE218" i="1"/>
  <c r="HD218" i="1"/>
  <c r="HE217" i="1"/>
  <c r="HD217" i="1"/>
  <c r="HE216" i="1"/>
  <c r="HD216" i="1"/>
  <c r="HE215" i="1"/>
  <c r="HD215" i="1"/>
  <c r="HE214" i="1"/>
  <c r="HD214" i="1"/>
  <c r="HE213" i="1"/>
  <c r="HD213" i="1"/>
  <c r="HE212" i="1"/>
  <c r="HD212" i="1"/>
  <c r="HE211" i="1"/>
  <c r="HD211" i="1"/>
  <c r="HE210" i="1"/>
  <c r="HD210" i="1"/>
  <c r="HE209" i="1"/>
  <c r="HD209" i="1"/>
  <c r="HE208" i="1"/>
  <c r="HD208" i="1"/>
  <c r="HE207" i="1"/>
  <c r="HD207" i="1"/>
  <c r="HE206" i="1"/>
  <c r="HD206" i="1"/>
  <c r="HE205" i="1"/>
  <c r="HD205" i="1"/>
  <c r="HE204" i="1"/>
  <c r="HD204" i="1"/>
  <c r="HE203" i="1"/>
  <c r="HD203" i="1"/>
  <c r="HE202" i="1"/>
  <c r="HD202" i="1"/>
  <c r="HE201" i="1"/>
  <c r="HD201" i="1"/>
  <c r="HE200" i="1"/>
  <c r="HD200" i="1"/>
  <c r="HE199" i="1"/>
  <c r="HD199" i="1"/>
  <c r="HE198" i="1"/>
  <c r="HE197" i="1"/>
  <c r="HD197" i="1"/>
  <c r="HE196" i="1"/>
  <c r="HD196" i="1"/>
  <c r="HE195" i="1"/>
  <c r="HD195" i="1"/>
  <c r="HE194" i="1"/>
  <c r="HD194" i="1"/>
  <c r="HE193" i="1"/>
  <c r="HD193" i="1"/>
  <c r="HE192" i="1"/>
  <c r="HD192" i="1"/>
  <c r="HE191" i="1"/>
  <c r="HE190" i="1"/>
  <c r="HD190" i="1"/>
  <c r="HE189" i="1"/>
  <c r="HD189" i="1"/>
  <c r="HE188" i="1"/>
  <c r="HD188" i="1"/>
  <c r="HE187" i="1"/>
  <c r="HD187" i="1"/>
  <c r="HE186" i="1"/>
  <c r="HD186" i="1"/>
  <c r="HE185" i="1"/>
  <c r="HD185" i="1"/>
  <c r="HE184" i="1"/>
  <c r="HD184" i="1"/>
  <c r="HE183" i="1"/>
  <c r="HD183" i="1"/>
  <c r="HE182" i="1"/>
  <c r="HD182" i="1"/>
  <c r="HE181" i="1"/>
  <c r="HD181" i="1"/>
  <c r="HE180" i="1"/>
  <c r="HD180" i="1"/>
  <c r="HE179" i="1"/>
  <c r="HD179" i="1"/>
  <c r="HE178" i="1"/>
  <c r="HD178" i="1"/>
  <c r="HE177" i="1"/>
  <c r="HD177" i="1"/>
  <c r="HE176" i="1"/>
  <c r="HD176" i="1"/>
  <c r="HE175" i="1"/>
  <c r="HD175" i="1"/>
  <c r="HE174" i="1"/>
  <c r="HD174" i="1"/>
  <c r="HE173" i="1"/>
  <c r="HD173" i="1"/>
  <c r="HE172" i="1"/>
  <c r="HD172" i="1"/>
  <c r="HE171" i="1"/>
  <c r="HD171" i="1"/>
  <c r="HE170" i="1"/>
  <c r="HD170" i="1"/>
  <c r="HE169" i="1"/>
  <c r="HD169" i="1"/>
  <c r="HE168" i="1"/>
  <c r="HD168" i="1"/>
  <c r="HE167" i="1"/>
  <c r="HD167" i="1"/>
  <c r="HE166" i="1"/>
  <c r="HD166" i="1"/>
  <c r="HE165" i="1"/>
  <c r="HD165" i="1"/>
  <c r="HE164" i="1"/>
  <c r="HD164" i="1"/>
  <c r="HE163" i="1"/>
  <c r="HD163" i="1"/>
  <c r="HE162" i="1"/>
  <c r="HD162" i="1"/>
  <c r="HE161" i="1"/>
  <c r="HD161" i="1"/>
  <c r="HE160" i="1"/>
  <c r="HD160" i="1"/>
  <c r="HE159" i="1"/>
  <c r="HD159" i="1"/>
  <c r="HE158" i="1"/>
  <c r="HD158" i="1"/>
  <c r="HE157" i="1"/>
  <c r="HD157" i="1"/>
  <c r="HE156" i="1"/>
  <c r="HD156" i="1"/>
  <c r="HE155" i="1"/>
  <c r="HD155" i="1"/>
  <c r="HE154" i="1"/>
  <c r="HD154" i="1"/>
  <c r="HE153" i="1"/>
  <c r="HD153" i="1"/>
  <c r="HE152" i="1"/>
  <c r="HD152" i="1"/>
  <c r="HE151" i="1"/>
  <c r="HD151" i="1"/>
  <c r="HE150" i="1"/>
  <c r="HD150" i="1"/>
  <c r="HE149" i="1"/>
  <c r="HD149" i="1"/>
  <c r="HE148" i="1"/>
  <c r="HD148" i="1"/>
  <c r="HE147" i="1"/>
  <c r="HD147" i="1"/>
  <c r="HE146" i="1"/>
  <c r="HD146" i="1"/>
  <c r="HE145" i="1"/>
  <c r="HD145" i="1"/>
  <c r="HE144" i="1"/>
  <c r="HD144" i="1"/>
  <c r="HE143" i="1"/>
  <c r="HD143" i="1"/>
  <c r="HE142" i="1"/>
  <c r="HD142" i="1"/>
  <c r="HE141" i="1"/>
  <c r="HD141" i="1"/>
  <c r="HE140" i="1"/>
  <c r="HD140" i="1"/>
  <c r="HE139" i="1"/>
  <c r="HD139" i="1"/>
  <c r="HE138" i="1"/>
  <c r="HD138" i="1"/>
  <c r="HE137" i="1"/>
  <c r="HD137" i="1"/>
  <c r="HE136" i="1"/>
  <c r="HD136" i="1"/>
  <c r="HE135" i="1"/>
  <c r="HD135" i="1"/>
  <c r="HE134" i="1"/>
  <c r="HD134" i="1"/>
  <c r="HE133" i="1"/>
  <c r="HD133" i="1"/>
  <c r="HE132" i="1"/>
  <c r="HD132" i="1"/>
  <c r="HE131" i="1"/>
  <c r="HD131" i="1"/>
  <c r="HE130" i="1"/>
  <c r="HD130" i="1"/>
  <c r="HE129" i="1"/>
  <c r="HD129" i="1"/>
  <c r="HE128" i="1"/>
  <c r="HD128" i="1"/>
  <c r="HE127" i="1"/>
  <c r="HD127" i="1"/>
  <c r="HE126" i="1"/>
  <c r="HD126" i="1"/>
  <c r="HE125" i="1"/>
  <c r="HD125" i="1"/>
  <c r="HE124" i="1"/>
  <c r="HD124" i="1"/>
  <c r="HE123" i="1"/>
  <c r="HD123" i="1"/>
  <c r="HE122" i="1"/>
  <c r="HD122" i="1"/>
  <c r="HE121" i="1"/>
  <c r="HD121" i="1"/>
  <c r="HE120" i="1"/>
  <c r="HD120" i="1"/>
  <c r="HE119" i="1"/>
  <c r="HD119" i="1"/>
  <c r="HE118" i="1"/>
  <c r="HD118" i="1"/>
  <c r="HE117" i="1"/>
  <c r="HD117" i="1"/>
  <c r="HE116" i="1"/>
  <c r="HD116" i="1"/>
  <c r="HE115" i="1"/>
  <c r="HD115" i="1"/>
  <c r="HE114" i="1"/>
  <c r="HD114" i="1"/>
  <c r="HE113" i="1"/>
  <c r="HD113" i="1"/>
  <c r="HE112" i="1"/>
  <c r="HD112" i="1"/>
  <c r="HE111" i="1"/>
  <c r="HD111" i="1"/>
  <c r="HE110" i="1"/>
  <c r="HD110" i="1"/>
  <c r="HE109" i="1"/>
  <c r="HD109" i="1"/>
  <c r="HE108" i="1"/>
  <c r="HD108" i="1"/>
  <c r="HE107" i="1"/>
  <c r="HD107" i="1"/>
  <c r="HE106" i="1"/>
  <c r="HD106" i="1"/>
  <c r="HE105" i="1"/>
  <c r="HD105" i="1"/>
  <c r="HE104" i="1"/>
  <c r="HD104" i="1"/>
  <c r="HE103" i="1"/>
  <c r="HD103" i="1"/>
  <c r="HE102" i="1"/>
  <c r="HD102" i="1"/>
  <c r="HE101" i="1"/>
  <c r="HD101" i="1"/>
  <c r="HE100" i="1"/>
  <c r="HD100" i="1"/>
  <c r="HE99" i="1"/>
  <c r="HD99" i="1"/>
  <c r="HE98" i="1"/>
  <c r="HD98" i="1"/>
  <c r="HE97" i="1"/>
  <c r="HD97" i="1"/>
  <c r="HE96" i="1"/>
  <c r="HD96" i="1"/>
  <c r="HE95" i="1"/>
  <c r="HD95" i="1"/>
  <c r="HE94" i="1"/>
  <c r="HD94" i="1"/>
  <c r="HE93" i="1"/>
  <c r="HD93" i="1"/>
  <c r="HE92" i="1"/>
  <c r="HD92" i="1"/>
  <c r="HE91" i="1"/>
  <c r="HD91" i="1"/>
  <c r="HE90" i="1"/>
  <c r="HD90" i="1"/>
  <c r="HE89" i="1"/>
  <c r="HD89" i="1"/>
  <c r="HE88" i="1"/>
  <c r="HD88" i="1"/>
  <c r="HE87" i="1"/>
  <c r="HD87" i="1"/>
  <c r="HE86" i="1"/>
  <c r="HD86" i="1"/>
  <c r="HE85" i="1"/>
  <c r="HD85" i="1"/>
  <c r="HE84" i="1"/>
  <c r="HD84" i="1"/>
  <c r="HE83" i="1"/>
  <c r="HD83" i="1"/>
  <c r="HE82" i="1"/>
  <c r="HD82" i="1"/>
  <c r="HE81" i="1"/>
  <c r="HD81" i="1"/>
  <c r="HE80" i="1"/>
  <c r="HD80" i="1"/>
  <c r="HE79" i="1"/>
  <c r="HD79" i="1"/>
  <c r="HE78" i="1"/>
  <c r="HD78" i="1"/>
  <c r="HE77" i="1"/>
  <c r="HD77" i="1"/>
  <c r="HE76" i="1"/>
  <c r="HD76" i="1"/>
  <c r="HE75" i="1"/>
  <c r="HD75" i="1"/>
  <c r="HE74" i="1"/>
  <c r="HD74" i="1"/>
  <c r="HE73" i="1"/>
  <c r="HD73" i="1"/>
  <c r="HE72" i="1"/>
  <c r="HD72" i="1"/>
  <c r="HE71" i="1"/>
  <c r="HD71" i="1"/>
  <c r="HE70" i="1"/>
  <c r="HD70" i="1"/>
  <c r="HE69" i="1"/>
  <c r="HD69" i="1"/>
  <c r="HE68" i="1"/>
  <c r="HD68" i="1"/>
  <c r="HE67" i="1"/>
  <c r="HD67" i="1"/>
  <c r="HE66" i="1"/>
  <c r="HD66" i="1"/>
  <c r="HE65" i="1"/>
  <c r="HD65" i="1"/>
  <c r="HE64" i="1"/>
  <c r="HD64" i="1"/>
  <c r="HE63" i="1"/>
  <c r="HD63" i="1"/>
  <c r="HE62" i="1"/>
  <c r="HD62" i="1"/>
  <c r="HE61" i="1"/>
  <c r="HD61" i="1"/>
  <c r="HE60" i="1"/>
  <c r="HD60" i="1"/>
  <c r="HE59" i="1"/>
  <c r="HD59" i="1"/>
  <c r="HE58" i="1"/>
  <c r="HD58" i="1"/>
  <c r="HE57" i="1"/>
  <c r="HD57" i="1"/>
  <c r="HE56" i="1"/>
  <c r="HD56" i="1"/>
  <c r="HE55" i="1"/>
  <c r="HD55" i="1"/>
  <c r="HE54" i="1"/>
  <c r="HD54" i="1"/>
  <c r="HE53" i="1"/>
  <c r="HD53" i="1"/>
  <c r="HE52" i="1"/>
  <c r="HD52" i="1"/>
  <c r="HE51" i="1"/>
  <c r="HD51" i="1"/>
  <c r="HE50" i="1"/>
  <c r="HD50" i="1"/>
  <c r="HE49" i="1"/>
  <c r="HD49" i="1"/>
  <c r="HE48" i="1"/>
  <c r="HD48" i="1"/>
  <c r="HE47" i="1"/>
  <c r="HD47" i="1"/>
  <c r="HE46" i="1"/>
  <c r="HD46" i="1"/>
  <c r="HE45" i="1"/>
  <c r="HD45" i="1"/>
  <c r="HE44" i="1"/>
  <c r="HD44" i="1"/>
  <c r="HE43" i="1"/>
  <c r="HD43" i="1"/>
  <c r="HE42" i="1"/>
  <c r="HD42" i="1"/>
  <c r="HE41" i="1"/>
  <c r="HD41" i="1"/>
  <c r="HE40" i="1"/>
  <c r="HD40" i="1"/>
  <c r="HE39" i="1"/>
  <c r="HD39" i="1"/>
  <c r="HE38" i="1"/>
  <c r="HD38" i="1"/>
  <c r="HE37" i="1"/>
  <c r="HD37" i="1"/>
  <c r="HE36" i="1"/>
  <c r="HD36" i="1"/>
  <c r="HE35" i="1"/>
  <c r="HD35" i="1"/>
  <c r="HE34" i="1"/>
  <c r="HD34" i="1"/>
  <c r="HE33" i="1"/>
  <c r="HD33" i="1"/>
  <c r="HE32" i="1"/>
  <c r="HD32" i="1"/>
  <c r="HE31" i="1"/>
  <c r="HD31" i="1"/>
  <c r="HE30" i="1"/>
  <c r="HD30" i="1"/>
  <c r="HE29" i="1"/>
  <c r="HD29" i="1"/>
  <c r="HE28" i="1"/>
  <c r="HD28" i="1"/>
  <c r="HE27" i="1"/>
  <c r="HD27" i="1"/>
  <c r="HE26" i="1"/>
  <c r="HD26" i="1"/>
  <c r="HE25" i="1"/>
  <c r="HD25" i="1"/>
  <c r="HE24" i="1"/>
  <c r="HD24" i="1"/>
  <c r="HE23" i="1"/>
  <c r="HD23" i="1"/>
  <c r="HE22" i="1"/>
  <c r="HD22" i="1"/>
  <c r="HE21" i="1"/>
  <c r="HD21" i="1"/>
  <c r="HE20" i="1"/>
  <c r="HD20" i="1"/>
  <c r="HE19" i="1"/>
  <c r="HD19" i="1"/>
  <c r="HE18" i="1"/>
  <c r="HD18" i="1"/>
  <c r="HE17" i="1"/>
  <c r="HD17" i="1"/>
  <c r="HE16" i="1"/>
  <c r="HD16" i="1"/>
  <c r="HE15" i="1"/>
  <c r="HD15" i="1"/>
  <c r="HE14" i="1"/>
  <c r="HD14" i="1"/>
  <c r="HE13" i="1"/>
  <c r="HD13" i="1"/>
  <c r="HE12" i="1"/>
  <c r="HD12" i="1"/>
  <c r="HE11" i="1"/>
  <c r="HD11" i="1"/>
  <c r="HH11" i="1"/>
  <c r="IL318" i="1"/>
  <c r="IL317" i="1"/>
  <c r="IL316" i="1"/>
  <c r="IL315" i="1"/>
  <c r="IL314" i="1"/>
  <c r="IL313" i="1"/>
  <c r="IL312" i="1"/>
  <c r="IL311" i="1"/>
  <c r="IL310" i="1"/>
  <c r="IL309" i="1"/>
  <c r="IL308" i="1"/>
  <c r="IL307" i="1"/>
  <c r="IL306" i="1"/>
  <c r="IL305" i="1"/>
  <c r="IL304" i="1"/>
  <c r="IL303" i="1"/>
  <c r="IL302" i="1"/>
  <c r="IL301" i="1"/>
  <c r="IL300" i="1"/>
  <c r="IL299" i="1"/>
  <c r="IL298" i="1"/>
  <c r="IL297" i="1"/>
  <c r="IL296" i="1"/>
  <c r="IL295" i="1"/>
  <c r="IL294" i="1"/>
  <c r="IL293" i="1"/>
  <c r="IL292" i="1"/>
  <c r="IL291" i="1"/>
  <c r="IL290" i="1"/>
  <c r="IL289" i="1"/>
  <c r="IL288" i="1"/>
  <c r="IL287" i="1"/>
  <c r="IL286" i="1"/>
  <c r="IL285" i="1"/>
  <c r="IL284" i="1"/>
  <c r="IL283" i="1"/>
  <c r="IL282" i="1"/>
  <c r="IL281" i="1"/>
  <c r="IL280" i="1"/>
  <c r="IL279" i="1"/>
  <c r="IL278" i="1"/>
  <c r="IL277" i="1"/>
  <c r="IL276" i="1"/>
  <c r="IL275" i="1"/>
  <c r="IL274" i="1"/>
  <c r="IL273" i="1"/>
  <c r="IL272" i="1"/>
  <c r="IL271" i="1"/>
  <c r="IL270" i="1"/>
  <c r="IL269" i="1"/>
  <c r="IL268" i="1"/>
  <c r="IL267" i="1"/>
  <c r="IL266" i="1"/>
  <c r="IL265" i="1"/>
  <c r="IL264" i="1"/>
  <c r="IL263" i="1"/>
  <c r="IL262" i="1"/>
  <c r="IL261" i="1"/>
  <c r="IL260" i="1"/>
  <c r="IL259" i="1"/>
  <c r="IL258" i="1"/>
  <c r="IL257" i="1"/>
  <c r="IL256" i="1"/>
  <c r="IL255" i="1"/>
  <c r="IL254" i="1"/>
  <c r="IL253" i="1"/>
  <c r="IL252" i="1"/>
  <c r="IL251" i="1"/>
  <c r="IL250" i="1"/>
  <c r="IL249" i="1"/>
  <c r="IL248" i="1"/>
  <c r="IL247" i="1"/>
  <c r="IL246" i="1"/>
  <c r="IL245" i="1"/>
  <c r="IL244" i="1"/>
  <c r="IL243" i="1"/>
  <c r="IL242" i="1"/>
  <c r="IL241" i="1"/>
  <c r="IL240" i="1"/>
  <c r="IL239" i="1"/>
  <c r="IL238" i="1"/>
  <c r="IL237" i="1"/>
  <c r="IL236" i="1"/>
  <c r="IL235" i="1"/>
  <c r="IL234" i="1"/>
  <c r="IL233" i="1"/>
  <c r="IL232" i="1"/>
  <c r="IL231" i="1"/>
  <c r="IL230" i="1"/>
  <c r="IL229" i="1"/>
  <c r="IL228" i="1"/>
  <c r="IL227" i="1"/>
  <c r="IL226" i="1"/>
  <c r="IL225" i="1"/>
  <c r="IL224" i="1"/>
  <c r="IL223" i="1"/>
  <c r="IL222" i="1"/>
  <c r="IL221" i="1"/>
  <c r="IL220" i="1"/>
  <c r="IL219" i="1"/>
  <c r="IL218" i="1"/>
  <c r="IL217" i="1"/>
  <c r="IL216" i="1"/>
  <c r="IL215" i="1"/>
  <c r="IL214" i="1"/>
  <c r="IL213" i="1"/>
  <c r="IL212" i="1"/>
  <c r="IL211" i="1"/>
  <c r="IL210" i="1"/>
  <c r="IL209" i="1"/>
  <c r="IL208" i="1"/>
  <c r="IL207" i="1"/>
  <c r="IL206" i="1"/>
  <c r="IL205" i="1"/>
  <c r="IL204" i="1"/>
  <c r="IL203" i="1"/>
  <c r="IL202" i="1"/>
  <c r="IL201" i="1"/>
  <c r="IL200" i="1"/>
  <c r="IL199" i="1"/>
  <c r="IL198" i="1"/>
  <c r="IL197" i="1"/>
  <c r="IL196" i="1"/>
  <c r="IL195" i="1"/>
  <c r="IL194" i="1"/>
  <c r="IL193" i="1"/>
  <c r="IL192" i="1"/>
  <c r="IL191" i="1"/>
  <c r="IL190" i="1"/>
  <c r="IL189" i="1"/>
  <c r="IL188" i="1"/>
  <c r="IL187" i="1"/>
  <c r="IL186" i="1"/>
  <c r="IL185" i="1"/>
  <c r="IL184" i="1"/>
  <c r="IL183" i="1"/>
  <c r="IL182" i="1"/>
  <c r="IL181" i="1"/>
  <c r="IL180" i="1"/>
  <c r="IL179" i="1"/>
  <c r="IL178" i="1"/>
  <c r="IL177" i="1"/>
  <c r="IL176" i="1"/>
  <c r="IL175" i="1"/>
  <c r="IL174" i="1"/>
  <c r="IL173" i="1"/>
  <c r="IL172" i="1"/>
  <c r="IL171" i="1"/>
  <c r="IL170" i="1"/>
  <c r="IL169" i="1"/>
  <c r="IL168" i="1"/>
  <c r="IL167" i="1"/>
  <c r="IL166" i="1"/>
  <c r="IL165" i="1"/>
  <c r="IL164" i="1"/>
  <c r="IL163" i="1"/>
  <c r="IL162" i="1"/>
  <c r="IL161" i="1"/>
  <c r="IL160" i="1"/>
  <c r="IL159" i="1"/>
  <c r="IL158" i="1"/>
  <c r="IL157" i="1"/>
  <c r="IL156" i="1"/>
  <c r="IL155" i="1"/>
  <c r="IL154" i="1"/>
  <c r="IL153" i="1"/>
  <c r="IL152" i="1"/>
  <c r="IL151" i="1"/>
  <c r="IL150" i="1"/>
  <c r="IL149" i="1"/>
  <c r="IL148" i="1"/>
  <c r="IL147" i="1"/>
  <c r="IL146" i="1"/>
  <c r="IL145" i="1"/>
  <c r="IL144" i="1"/>
  <c r="IL143" i="1"/>
  <c r="IL142" i="1"/>
  <c r="IL141" i="1"/>
  <c r="IL140" i="1"/>
  <c r="IL139" i="1"/>
  <c r="IL138" i="1"/>
  <c r="IL137" i="1"/>
  <c r="IL136" i="1"/>
  <c r="IL135" i="1"/>
  <c r="IL134" i="1"/>
  <c r="IL133" i="1"/>
  <c r="IL132" i="1"/>
  <c r="IL131" i="1"/>
  <c r="IL130" i="1"/>
  <c r="IL129" i="1"/>
  <c r="IL128" i="1"/>
  <c r="IL127" i="1"/>
  <c r="IL126" i="1"/>
  <c r="IL125" i="1"/>
  <c r="IL124" i="1"/>
  <c r="IL123" i="1"/>
  <c r="IL122" i="1"/>
  <c r="IL121" i="1"/>
  <c r="IL120" i="1"/>
  <c r="IL119" i="1"/>
  <c r="IL118" i="1"/>
  <c r="IL117" i="1"/>
  <c r="IL116" i="1"/>
  <c r="IL115" i="1"/>
  <c r="IL114" i="1"/>
  <c r="IL113" i="1"/>
  <c r="IL112" i="1"/>
  <c r="IL111" i="1"/>
  <c r="IL110" i="1"/>
  <c r="IL109" i="1"/>
  <c r="IL108" i="1"/>
  <c r="IL107" i="1"/>
  <c r="IL106" i="1"/>
  <c r="IL105" i="1"/>
  <c r="IL104" i="1"/>
  <c r="IL103" i="1"/>
  <c r="IL102" i="1"/>
  <c r="IL101" i="1"/>
  <c r="IL100" i="1"/>
  <c r="IL99" i="1"/>
  <c r="IL98" i="1"/>
  <c r="IL97" i="1"/>
  <c r="IL96" i="1"/>
  <c r="IL95" i="1"/>
  <c r="IL94" i="1"/>
  <c r="IL93" i="1"/>
  <c r="IL92" i="1"/>
  <c r="IL91" i="1"/>
  <c r="IL90" i="1"/>
  <c r="IL89" i="1"/>
  <c r="IL88" i="1"/>
  <c r="IL87" i="1"/>
  <c r="IL86" i="1"/>
  <c r="IL85" i="1"/>
  <c r="IL84" i="1"/>
  <c r="IL83" i="1"/>
  <c r="IL82" i="1"/>
  <c r="IL81" i="1"/>
  <c r="IL80" i="1"/>
  <c r="IL79" i="1"/>
  <c r="IL78" i="1"/>
  <c r="IL77" i="1"/>
  <c r="IL76" i="1"/>
  <c r="IL75" i="1"/>
  <c r="IL74" i="1"/>
  <c r="IL73" i="1"/>
  <c r="IL72" i="1"/>
  <c r="IL71" i="1"/>
  <c r="IL70" i="1"/>
  <c r="IL69" i="1"/>
  <c r="IL68" i="1"/>
  <c r="IL67" i="1"/>
  <c r="IL66" i="1"/>
  <c r="IL65" i="1"/>
  <c r="IL64" i="1"/>
  <c r="IL63" i="1"/>
  <c r="IL62" i="1"/>
  <c r="IL61" i="1"/>
  <c r="IL60" i="1"/>
  <c r="IL59" i="1"/>
  <c r="IL58" i="1"/>
  <c r="IL57" i="1"/>
  <c r="IL56" i="1"/>
  <c r="IL55" i="1"/>
  <c r="IL54" i="1"/>
  <c r="IL53" i="1"/>
  <c r="IL52" i="1"/>
  <c r="IL51" i="1"/>
  <c r="IL50" i="1"/>
  <c r="IL49" i="1"/>
  <c r="IL48" i="1"/>
  <c r="IL47" i="1"/>
  <c r="IL46" i="1"/>
  <c r="IL45" i="1"/>
  <c r="IL44" i="1"/>
  <c r="IL43" i="1"/>
  <c r="IL42" i="1"/>
  <c r="IL41" i="1"/>
  <c r="IL40" i="1"/>
  <c r="IL39" i="1"/>
  <c r="IL38" i="1"/>
  <c r="IL37" i="1"/>
  <c r="IL36" i="1"/>
  <c r="IL35" i="1"/>
  <c r="IL34" i="1"/>
  <c r="IL33" i="1"/>
  <c r="IL32" i="1"/>
  <c r="IL31" i="1"/>
  <c r="IL30" i="1"/>
  <c r="IL29" i="1"/>
  <c r="IL28" i="1"/>
  <c r="IL27" i="1"/>
  <c r="IL26" i="1"/>
  <c r="IL25" i="1"/>
  <c r="IL24" i="1"/>
  <c r="IL23" i="1"/>
  <c r="IL22" i="1"/>
  <c r="IL21" i="1"/>
  <c r="IL20" i="1"/>
  <c r="IL19" i="1"/>
  <c r="IL18" i="1"/>
  <c r="IL17" i="1"/>
  <c r="IL16" i="1"/>
  <c r="IL15" i="1"/>
  <c r="IL14" i="1"/>
  <c r="IL13" i="1"/>
  <c r="IL12" i="1"/>
  <c r="IL11" i="1"/>
  <c r="IO11" i="1"/>
  <c r="GM318" i="1"/>
  <c r="GM317" i="1"/>
  <c r="GM316" i="1"/>
  <c r="GM315" i="1"/>
  <c r="GM314" i="1"/>
  <c r="GM313" i="1"/>
  <c r="GM312" i="1"/>
  <c r="GM311" i="1"/>
  <c r="GM310" i="1"/>
  <c r="GM309" i="1"/>
  <c r="GM308" i="1"/>
  <c r="GM307" i="1"/>
  <c r="GM306" i="1"/>
  <c r="GM305" i="1"/>
  <c r="GM304" i="1"/>
  <c r="GM303" i="1"/>
  <c r="GM302" i="1"/>
  <c r="GM301" i="1"/>
  <c r="GM300" i="1"/>
  <c r="GM299" i="1"/>
  <c r="GM298" i="1"/>
  <c r="GM297" i="1"/>
  <c r="GM296" i="1"/>
  <c r="GM295" i="1"/>
  <c r="GM294" i="1"/>
  <c r="GM293" i="1"/>
  <c r="GM292" i="1"/>
  <c r="GM291" i="1"/>
  <c r="GM290" i="1"/>
  <c r="GM289" i="1"/>
  <c r="GM288" i="1"/>
  <c r="GM287" i="1"/>
  <c r="GM286" i="1"/>
  <c r="GM285" i="1"/>
  <c r="GM284" i="1"/>
  <c r="GM283" i="1"/>
  <c r="GM282" i="1"/>
  <c r="GM281" i="1"/>
  <c r="GM280" i="1"/>
  <c r="GM279" i="1"/>
  <c r="GM278" i="1"/>
  <c r="GM277" i="1"/>
  <c r="GM276" i="1"/>
  <c r="GM275" i="1"/>
  <c r="GM274" i="1"/>
  <c r="GM273" i="1"/>
  <c r="GM272" i="1"/>
  <c r="GM271" i="1"/>
  <c r="GM270" i="1"/>
  <c r="GM269" i="1"/>
  <c r="GM268" i="1"/>
  <c r="GM267" i="1"/>
  <c r="GM266" i="1"/>
  <c r="GM265" i="1"/>
  <c r="GM264" i="1"/>
  <c r="GM263" i="1"/>
  <c r="GM262" i="1"/>
  <c r="GM261" i="1"/>
  <c r="GM260" i="1"/>
  <c r="GM259" i="1"/>
  <c r="GM258" i="1"/>
  <c r="GM257" i="1"/>
  <c r="GM256" i="1"/>
  <c r="GM255" i="1"/>
  <c r="GM254" i="1"/>
  <c r="GM253" i="1"/>
  <c r="GM252" i="1"/>
  <c r="GM251" i="1"/>
  <c r="GM250" i="1"/>
  <c r="GM249" i="1"/>
  <c r="GM248" i="1"/>
  <c r="GM247" i="1"/>
  <c r="GM246" i="1"/>
  <c r="GM245" i="1"/>
  <c r="GM244" i="1"/>
  <c r="GM243" i="1"/>
  <c r="GM242" i="1"/>
  <c r="GM241" i="1"/>
  <c r="GM240" i="1"/>
  <c r="GM239" i="1"/>
  <c r="GM238" i="1"/>
  <c r="GM237" i="1"/>
  <c r="GM236" i="1"/>
  <c r="GM235" i="1"/>
  <c r="GM234" i="1"/>
  <c r="GM233" i="1"/>
  <c r="GM232" i="1"/>
  <c r="GM231" i="1"/>
  <c r="GM230" i="1"/>
  <c r="GM229" i="1"/>
  <c r="GM228" i="1"/>
  <c r="GM227" i="1"/>
  <c r="GM226" i="1"/>
  <c r="GM225" i="1"/>
  <c r="GM224" i="1"/>
  <c r="GM223" i="1"/>
  <c r="GM222" i="1"/>
  <c r="GM221" i="1"/>
  <c r="GM220" i="1"/>
  <c r="GM219" i="1"/>
  <c r="GM218" i="1"/>
  <c r="GM217" i="1"/>
  <c r="GM216" i="1"/>
  <c r="GM215" i="1"/>
  <c r="GM214" i="1"/>
  <c r="GM213" i="1"/>
  <c r="GM212" i="1"/>
  <c r="GM211" i="1"/>
  <c r="GM210" i="1"/>
  <c r="GM209" i="1"/>
  <c r="GM208" i="1"/>
  <c r="GM207" i="1"/>
  <c r="GM206" i="1"/>
  <c r="GM205" i="1"/>
  <c r="GM204" i="1"/>
  <c r="GM203" i="1"/>
  <c r="GM202" i="1"/>
  <c r="GM201" i="1"/>
  <c r="GM200" i="1"/>
  <c r="GM199" i="1"/>
  <c r="GM198" i="1"/>
  <c r="GM197" i="1"/>
  <c r="GM196" i="1"/>
  <c r="GM195" i="1"/>
  <c r="GM194" i="1"/>
  <c r="GM193" i="1"/>
  <c r="GM192" i="1"/>
  <c r="GM191" i="1"/>
  <c r="GM190" i="1"/>
  <c r="GM189" i="1"/>
  <c r="GM188" i="1"/>
  <c r="GM187" i="1"/>
  <c r="GM186" i="1"/>
  <c r="GM185" i="1"/>
  <c r="GM184" i="1"/>
  <c r="GM183" i="1"/>
  <c r="GM182" i="1"/>
  <c r="GM181" i="1"/>
  <c r="GM180" i="1"/>
  <c r="GM178" i="1"/>
  <c r="GM177" i="1"/>
  <c r="GM176" i="1"/>
  <c r="GM175" i="1"/>
  <c r="GM174" i="1"/>
  <c r="GM173" i="1"/>
  <c r="GM172" i="1"/>
  <c r="GM171" i="1"/>
  <c r="GM170" i="1"/>
  <c r="GM169" i="1"/>
  <c r="GM168" i="1"/>
  <c r="GM167" i="1"/>
  <c r="GM166" i="1"/>
  <c r="GM165" i="1"/>
  <c r="GM164" i="1"/>
  <c r="GM163" i="1"/>
  <c r="GM162" i="1"/>
  <c r="GM161" i="1"/>
  <c r="GM160" i="1"/>
  <c r="GM159" i="1"/>
  <c r="GM158" i="1"/>
  <c r="GM157" i="1"/>
  <c r="GM156" i="1"/>
  <c r="GM155" i="1"/>
  <c r="GM154" i="1"/>
  <c r="GM153" i="1"/>
  <c r="GM152" i="1"/>
  <c r="GM151" i="1"/>
  <c r="GM150" i="1"/>
  <c r="GM149" i="1"/>
  <c r="GM148" i="1"/>
  <c r="GM147" i="1"/>
  <c r="GM146" i="1"/>
  <c r="GM145" i="1"/>
  <c r="GM144" i="1"/>
  <c r="GM143" i="1"/>
  <c r="GM142" i="1"/>
  <c r="GM141" i="1"/>
  <c r="GM140" i="1"/>
  <c r="GM139" i="1"/>
  <c r="GM138" i="1"/>
  <c r="GM137" i="1"/>
  <c r="GM136" i="1"/>
  <c r="GM135" i="1"/>
  <c r="GM134" i="1"/>
  <c r="GM133" i="1"/>
  <c r="GM132" i="1"/>
  <c r="GM131" i="1"/>
  <c r="GM130" i="1"/>
  <c r="GM129" i="1"/>
  <c r="GM128" i="1"/>
  <c r="GM127" i="1"/>
  <c r="GM126" i="1"/>
  <c r="GM125" i="1"/>
  <c r="GM124" i="1"/>
  <c r="GM123" i="1"/>
  <c r="GM122" i="1"/>
  <c r="GM121" i="1"/>
  <c r="GM120" i="1"/>
  <c r="GM119" i="1"/>
  <c r="GM118" i="1"/>
  <c r="GM117" i="1"/>
  <c r="GM116" i="1"/>
  <c r="GM115" i="1"/>
  <c r="GM114" i="1"/>
  <c r="GM113" i="1"/>
  <c r="GM112" i="1"/>
  <c r="GM111" i="1"/>
  <c r="GM110" i="1"/>
  <c r="GM109" i="1"/>
  <c r="GM108" i="1"/>
  <c r="GM107" i="1"/>
  <c r="GM106" i="1"/>
  <c r="GM105" i="1"/>
  <c r="GM104" i="1"/>
  <c r="GM103" i="1"/>
  <c r="GM102" i="1"/>
  <c r="GM101" i="1"/>
  <c r="GM100" i="1"/>
  <c r="GM99" i="1"/>
  <c r="GM98" i="1"/>
  <c r="GM97" i="1"/>
  <c r="GM96" i="1"/>
  <c r="GM94" i="1"/>
  <c r="GM93" i="1"/>
  <c r="GM92" i="1"/>
  <c r="GM91" i="1"/>
  <c r="GM90" i="1"/>
  <c r="GM89" i="1"/>
  <c r="GM88" i="1"/>
  <c r="GM87" i="1"/>
  <c r="GM86" i="1"/>
  <c r="GM85" i="1"/>
  <c r="GM84" i="1"/>
  <c r="GM83" i="1"/>
  <c r="GM82" i="1"/>
  <c r="GM81" i="1"/>
  <c r="GM80" i="1"/>
  <c r="GM79" i="1"/>
  <c r="GM78" i="1"/>
  <c r="GM77" i="1"/>
  <c r="GM76" i="1"/>
  <c r="GM75" i="1"/>
  <c r="GM74" i="1"/>
  <c r="GM73" i="1"/>
  <c r="GM72" i="1"/>
  <c r="GM71" i="1"/>
  <c r="GM70" i="1"/>
  <c r="GM69" i="1"/>
  <c r="GM68" i="1"/>
  <c r="GM67" i="1"/>
  <c r="GM66" i="1"/>
  <c r="GM65" i="1"/>
  <c r="GM64" i="1"/>
  <c r="GM63" i="1"/>
  <c r="GM62" i="1"/>
  <c r="GM61" i="1"/>
  <c r="GM60" i="1"/>
  <c r="GM59" i="1"/>
  <c r="GM58" i="1"/>
  <c r="GM57" i="1"/>
  <c r="GM56" i="1"/>
  <c r="GM55" i="1"/>
  <c r="GM54" i="1"/>
  <c r="GM53" i="1"/>
  <c r="GM52" i="1"/>
  <c r="GM51" i="1"/>
  <c r="GM50" i="1"/>
  <c r="GM49" i="1"/>
  <c r="GM48" i="1"/>
  <c r="GM47" i="1"/>
  <c r="GM46" i="1"/>
  <c r="GM45" i="1"/>
  <c r="GM44" i="1"/>
  <c r="GM43" i="1"/>
  <c r="GM42" i="1"/>
  <c r="GM41" i="1"/>
  <c r="GM40" i="1"/>
  <c r="GM39" i="1"/>
  <c r="GM38" i="1"/>
  <c r="GM37" i="1"/>
  <c r="GM36" i="1"/>
  <c r="GM35" i="1"/>
  <c r="GM34" i="1"/>
  <c r="GM33" i="1"/>
  <c r="GM32" i="1"/>
  <c r="GM31" i="1"/>
  <c r="GM30" i="1"/>
  <c r="GM29" i="1"/>
  <c r="GM28" i="1"/>
  <c r="GM27" i="1"/>
  <c r="GM26" i="1"/>
  <c r="GM25" i="1"/>
  <c r="GM24" i="1"/>
  <c r="GM23" i="1"/>
  <c r="GQ23" i="1"/>
  <c r="GM22" i="1"/>
  <c r="GM21" i="1"/>
  <c r="GM20" i="1"/>
  <c r="GM19" i="1"/>
  <c r="GM18" i="1"/>
  <c r="GM17" i="1"/>
  <c r="GM16" i="1"/>
  <c r="GM15" i="1"/>
  <c r="GM14" i="1"/>
  <c r="GM13" i="1"/>
  <c r="GM12" i="1"/>
  <c r="GM11" i="1"/>
  <c r="GP11" i="1"/>
  <c r="FV318" i="1"/>
  <c r="FV317" i="1"/>
  <c r="FV316" i="1"/>
  <c r="FV315" i="1"/>
  <c r="FV314" i="1"/>
  <c r="FV313" i="1"/>
  <c r="FV312" i="1"/>
  <c r="FV311" i="1"/>
  <c r="FV310" i="1"/>
  <c r="FV309" i="1"/>
  <c r="FV308" i="1"/>
  <c r="FV307" i="1"/>
  <c r="FV306" i="1"/>
  <c r="FV305" i="1"/>
  <c r="FV304" i="1"/>
  <c r="FV303" i="1"/>
  <c r="FV302" i="1"/>
  <c r="FV301" i="1"/>
  <c r="FV300" i="1"/>
  <c r="FV299" i="1"/>
  <c r="FV298" i="1"/>
  <c r="FV297" i="1"/>
  <c r="FV296" i="1"/>
  <c r="FV295" i="1"/>
  <c r="FV294" i="1"/>
  <c r="FV293" i="1"/>
  <c r="FV292" i="1"/>
  <c r="FV291" i="1"/>
  <c r="FV290" i="1"/>
  <c r="FV289" i="1"/>
  <c r="FV288" i="1"/>
  <c r="FV287" i="1"/>
  <c r="FV286" i="1"/>
  <c r="FV285" i="1"/>
  <c r="FV284" i="1"/>
  <c r="FV283" i="1"/>
  <c r="FV282" i="1"/>
  <c r="FV281" i="1"/>
  <c r="FV280" i="1"/>
  <c r="FV279" i="1"/>
  <c r="FV278" i="1"/>
  <c r="FV277" i="1"/>
  <c r="FV276" i="1"/>
  <c r="FV275" i="1"/>
  <c r="FV274" i="1"/>
  <c r="FV273" i="1"/>
  <c r="FV272" i="1"/>
  <c r="FV271" i="1"/>
  <c r="FV270" i="1"/>
  <c r="FV269" i="1"/>
  <c r="FV268" i="1"/>
  <c r="FV267" i="1"/>
  <c r="FV266" i="1"/>
  <c r="FV265" i="1"/>
  <c r="FV264" i="1"/>
  <c r="FV263" i="1"/>
  <c r="FV262" i="1"/>
  <c r="FV261" i="1"/>
  <c r="FV260" i="1"/>
  <c r="FV259" i="1"/>
  <c r="FV258" i="1"/>
  <c r="FV257" i="1"/>
  <c r="FV256" i="1"/>
  <c r="FV255" i="1"/>
  <c r="FV254" i="1"/>
  <c r="FV253" i="1"/>
  <c r="FV252" i="1"/>
  <c r="FV251" i="1"/>
  <c r="FV250" i="1"/>
  <c r="FV249" i="1"/>
  <c r="FV248" i="1"/>
  <c r="FV247" i="1"/>
  <c r="FV246" i="1"/>
  <c r="FV245" i="1"/>
  <c r="FV244" i="1"/>
  <c r="FV243" i="1"/>
  <c r="FV242" i="1"/>
  <c r="FV241" i="1"/>
  <c r="FV240" i="1"/>
  <c r="FV239" i="1"/>
  <c r="FV238" i="1"/>
  <c r="FV237" i="1"/>
  <c r="FV236" i="1"/>
  <c r="FV235" i="1"/>
  <c r="FV234" i="1"/>
  <c r="FV233" i="1"/>
  <c r="FV232" i="1"/>
  <c r="FV231" i="1"/>
  <c r="FV230" i="1"/>
  <c r="FV229" i="1"/>
  <c r="FV228" i="1"/>
  <c r="FV227" i="1"/>
  <c r="FV226" i="1"/>
  <c r="FV225" i="1"/>
  <c r="FV224" i="1"/>
  <c r="FV223" i="1"/>
  <c r="FV222" i="1"/>
  <c r="FV221" i="1"/>
  <c r="FV220" i="1"/>
  <c r="FV219" i="1"/>
  <c r="FV218" i="1"/>
  <c r="FV217" i="1"/>
  <c r="FV216" i="1"/>
  <c r="FV215" i="1"/>
  <c r="FV214" i="1"/>
  <c r="FV213" i="1"/>
  <c r="FV212" i="1"/>
  <c r="FV211" i="1"/>
  <c r="FV210" i="1"/>
  <c r="FV209" i="1"/>
  <c r="FV208" i="1"/>
  <c r="FV207" i="1"/>
  <c r="FV206" i="1"/>
  <c r="FV205" i="1"/>
  <c r="FV204" i="1"/>
  <c r="FV203" i="1"/>
  <c r="FV202" i="1"/>
  <c r="FV201" i="1"/>
  <c r="FV200" i="1"/>
  <c r="FV199" i="1"/>
  <c r="FV198" i="1"/>
  <c r="FV197" i="1"/>
  <c r="FV196" i="1"/>
  <c r="FV195" i="1"/>
  <c r="FV194" i="1"/>
  <c r="FV193" i="1"/>
  <c r="FV192" i="1"/>
  <c r="FV191" i="1"/>
  <c r="FV190" i="1"/>
  <c r="FV189" i="1"/>
  <c r="FV186" i="1"/>
  <c r="FV185" i="1"/>
  <c r="FV184" i="1"/>
  <c r="FV183" i="1"/>
  <c r="FV182" i="1"/>
  <c r="FV181" i="1"/>
  <c r="FV180" i="1"/>
  <c r="FV179" i="1"/>
  <c r="FV178" i="1"/>
  <c r="FV177" i="1"/>
  <c r="FV176" i="1"/>
  <c r="FV175" i="1"/>
  <c r="FV174" i="1"/>
  <c r="FV173" i="1"/>
  <c r="FV172" i="1"/>
  <c r="FV171" i="1"/>
  <c r="FV170" i="1"/>
  <c r="FV169" i="1"/>
  <c r="FV168" i="1"/>
  <c r="FV167" i="1"/>
  <c r="FV166" i="1"/>
  <c r="FV165" i="1"/>
  <c r="FV164" i="1"/>
  <c r="FV163" i="1"/>
  <c r="FV162" i="1"/>
  <c r="FV161" i="1"/>
  <c r="FV160" i="1"/>
  <c r="FV159" i="1"/>
  <c r="FV158" i="1"/>
  <c r="FV157" i="1"/>
  <c r="FV156" i="1"/>
  <c r="FV155" i="1"/>
  <c r="FV154" i="1"/>
  <c r="FV153" i="1"/>
  <c r="FV152" i="1"/>
  <c r="FV151" i="1"/>
  <c r="FV150" i="1"/>
  <c r="FV149" i="1"/>
  <c r="FV148" i="1"/>
  <c r="FV147" i="1"/>
  <c r="FV146" i="1"/>
  <c r="FV145" i="1"/>
  <c r="FV144" i="1"/>
  <c r="FV143" i="1"/>
  <c r="FV142" i="1"/>
  <c r="FV141" i="1"/>
  <c r="FV140" i="1"/>
  <c r="FV139" i="1"/>
  <c r="FV138" i="1"/>
  <c r="FV137" i="1"/>
  <c r="FV136" i="1"/>
  <c r="FV135" i="1"/>
  <c r="FV134" i="1"/>
  <c r="FV133" i="1"/>
  <c r="FV132" i="1"/>
  <c r="FV131" i="1"/>
  <c r="FV130" i="1"/>
  <c r="FV129" i="1"/>
  <c r="FV128" i="1"/>
  <c r="FV127" i="1"/>
  <c r="FV126" i="1"/>
  <c r="FV125" i="1"/>
  <c r="FV124" i="1"/>
  <c r="FV123" i="1"/>
  <c r="FV122" i="1"/>
  <c r="FV121" i="1"/>
  <c r="FV120" i="1"/>
  <c r="FV119" i="1"/>
  <c r="FV118" i="1"/>
  <c r="FV117" i="1"/>
  <c r="FV116" i="1"/>
  <c r="FV115" i="1"/>
  <c r="FV114" i="1"/>
  <c r="FV113" i="1"/>
  <c r="FV112" i="1"/>
  <c r="FV111" i="1"/>
  <c r="FV110" i="1"/>
  <c r="FV109" i="1"/>
  <c r="FV108" i="1"/>
  <c r="FV107" i="1"/>
  <c r="FV106" i="1"/>
  <c r="FV105" i="1"/>
  <c r="FV104" i="1"/>
  <c r="FV103" i="1"/>
  <c r="FV102" i="1"/>
  <c r="FV101" i="1"/>
  <c r="FV100" i="1"/>
  <c r="FV99" i="1"/>
  <c r="FV98" i="1"/>
  <c r="FV97" i="1"/>
  <c r="FV96" i="1"/>
  <c r="FV95" i="1"/>
  <c r="FV94" i="1"/>
  <c r="FV93" i="1"/>
  <c r="FV92" i="1"/>
  <c r="FV91" i="1"/>
  <c r="FV90" i="1"/>
  <c r="FV89" i="1"/>
  <c r="FV88" i="1"/>
  <c r="FV87" i="1"/>
  <c r="FV86" i="1"/>
  <c r="FV85" i="1"/>
  <c r="FV84" i="1"/>
  <c r="FV83" i="1"/>
  <c r="FV82" i="1"/>
  <c r="FV81" i="1"/>
  <c r="FV80" i="1"/>
  <c r="FV79" i="1"/>
  <c r="FV78" i="1"/>
  <c r="FV77" i="1"/>
  <c r="FV76" i="1"/>
  <c r="FV75" i="1"/>
  <c r="FV74" i="1"/>
  <c r="FV73" i="1"/>
  <c r="FV72" i="1"/>
  <c r="FV71" i="1"/>
  <c r="FV70" i="1"/>
  <c r="FV69" i="1"/>
  <c r="FV68" i="1"/>
  <c r="FV67" i="1"/>
  <c r="FV66" i="1"/>
  <c r="FV65" i="1"/>
  <c r="FV63" i="1"/>
  <c r="FV62" i="1"/>
  <c r="FV61" i="1"/>
  <c r="FV60" i="1"/>
  <c r="FV59" i="1"/>
  <c r="FV58" i="1"/>
  <c r="FV57" i="1"/>
  <c r="FV56" i="1"/>
  <c r="FV55" i="1"/>
  <c r="FV54" i="1"/>
  <c r="FV53" i="1"/>
  <c r="FV52" i="1"/>
  <c r="FV51" i="1"/>
  <c r="FV50" i="1"/>
  <c r="FV49" i="1"/>
  <c r="FV48" i="1"/>
  <c r="FV47" i="1"/>
  <c r="FV46" i="1"/>
  <c r="FV45" i="1"/>
  <c r="FV44" i="1"/>
  <c r="FV43" i="1"/>
  <c r="FZ43" i="1"/>
  <c r="FV42" i="1"/>
  <c r="FV41" i="1"/>
  <c r="FV40" i="1"/>
  <c r="FV39" i="1"/>
  <c r="FV38" i="1"/>
  <c r="FV37" i="1"/>
  <c r="FV36" i="1"/>
  <c r="FV35" i="1"/>
  <c r="FV34" i="1"/>
  <c r="FV33" i="1"/>
  <c r="FV32" i="1"/>
  <c r="FV31" i="1"/>
  <c r="FV30" i="1"/>
  <c r="FV29" i="1"/>
  <c r="FV28" i="1"/>
  <c r="FV27" i="1"/>
  <c r="FV26" i="1"/>
  <c r="FV25" i="1"/>
  <c r="FV24" i="1"/>
  <c r="FV23" i="1"/>
  <c r="FV22" i="1"/>
  <c r="FV21" i="1"/>
  <c r="FV20" i="1"/>
  <c r="FV19" i="1"/>
  <c r="FV18" i="1"/>
  <c r="FV17" i="1"/>
  <c r="FV16" i="1"/>
  <c r="FV15" i="1"/>
  <c r="FV14" i="1"/>
  <c r="FV13" i="1"/>
  <c r="FV12" i="1"/>
  <c r="FV11" i="1"/>
  <c r="FY11" i="1"/>
  <c r="FE318" i="1"/>
  <c r="FE317" i="1"/>
  <c r="FE316" i="1"/>
  <c r="FE315" i="1"/>
  <c r="FE314" i="1"/>
  <c r="FE313" i="1"/>
  <c r="FE312" i="1"/>
  <c r="FE311" i="1"/>
  <c r="FE310" i="1"/>
  <c r="FE309" i="1"/>
  <c r="FE308" i="1"/>
  <c r="FE307" i="1"/>
  <c r="FE306" i="1"/>
  <c r="FE305" i="1"/>
  <c r="FE304" i="1"/>
  <c r="FE303" i="1"/>
  <c r="FE302" i="1"/>
  <c r="FE301" i="1"/>
  <c r="FE300" i="1"/>
  <c r="FE299" i="1"/>
  <c r="FE298" i="1"/>
  <c r="FE297" i="1"/>
  <c r="FE296" i="1"/>
  <c r="FE295" i="1"/>
  <c r="FE294" i="1"/>
  <c r="FE293" i="1"/>
  <c r="FE292" i="1"/>
  <c r="FE291" i="1"/>
  <c r="FE290" i="1"/>
  <c r="FE289" i="1"/>
  <c r="FE288" i="1"/>
  <c r="FE287" i="1"/>
  <c r="FE286" i="1"/>
  <c r="FE285" i="1"/>
  <c r="FE284" i="1"/>
  <c r="FE283" i="1"/>
  <c r="FE282" i="1"/>
  <c r="FE281" i="1"/>
  <c r="FE280" i="1"/>
  <c r="FE279" i="1"/>
  <c r="FE278" i="1"/>
  <c r="FE277" i="1"/>
  <c r="FE276" i="1"/>
  <c r="FE275" i="1"/>
  <c r="FE274" i="1"/>
  <c r="FE273" i="1"/>
  <c r="FE272" i="1"/>
  <c r="FE271" i="1"/>
  <c r="FE270" i="1"/>
  <c r="FE269" i="1"/>
  <c r="FE268" i="1"/>
  <c r="FE267" i="1"/>
  <c r="FE266" i="1"/>
  <c r="FE265" i="1"/>
  <c r="FE264" i="1"/>
  <c r="FE263" i="1"/>
  <c r="FE262" i="1"/>
  <c r="FE261" i="1"/>
  <c r="FE260" i="1"/>
  <c r="FE259" i="1"/>
  <c r="FE258" i="1"/>
  <c r="FE257" i="1"/>
  <c r="FE256" i="1"/>
  <c r="FE255" i="1"/>
  <c r="FE254" i="1"/>
  <c r="FE253" i="1"/>
  <c r="FE252" i="1"/>
  <c r="FE251" i="1"/>
  <c r="FE250" i="1"/>
  <c r="FE249" i="1"/>
  <c r="FE248" i="1"/>
  <c r="FE247" i="1"/>
  <c r="FE246" i="1"/>
  <c r="FE245" i="1"/>
  <c r="FE244" i="1"/>
  <c r="FE243" i="1"/>
  <c r="FE242" i="1"/>
  <c r="FE241" i="1"/>
  <c r="FE240" i="1"/>
  <c r="FE239" i="1"/>
  <c r="FE238" i="1"/>
  <c r="FE237" i="1"/>
  <c r="FE236" i="1"/>
  <c r="FE235" i="1"/>
  <c r="FE234" i="1"/>
  <c r="FE233" i="1"/>
  <c r="FE232" i="1"/>
  <c r="FE231" i="1"/>
  <c r="FE230" i="1"/>
  <c r="FE229" i="1"/>
  <c r="FE228" i="1"/>
  <c r="FE227" i="1"/>
  <c r="FE226" i="1"/>
  <c r="FE225" i="1"/>
  <c r="FE224" i="1"/>
  <c r="FE223" i="1"/>
  <c r="FE222" i="1"/>
  <c r="FE221" i="1"/>
  <c r="FE220" i="1"/>
  <c r="FE219" i="1"/>
  <c r="FE218" i="1"/>
  <c r="FE217" i="1"/>
  <c r="FE216" i="1"/>
  <c r="FE215" i="1"/>
  <c r="FE214" i="1"/>
  <c r="FE213" i="1"/>
  <c r="FE212" i="1"/>
  <c r="FE211" i="1"/>
  <c r="FE210" i="1"/>
  <c r="FE209" i="1"/>
  <c r="FE208" i="1"/>
  <c r="FE207" i="1"/>
  <c r="FE206" i="1"/>
  <c r="FE205" i="1"/>
  <c r="FE204" i="1"/>
  <c r="FE203" i="1"/>
  <c r="FE202" i="1"/>
  <c r="FE201" i="1"/>
  <c r="FE200" i="1"/>
  <c r="FE199" i="1"/>
  <c r="FE198" i="1"/>
  <c r="FE197" i="1"/>
  <c r="FE196" i="1"/>
  <c r="FE195" i="1"/>
  <c r="FE194" i="1"/>
  <c r="FE193" i="1"/>
  <c r="FE192" i="1"/>
  <c r="FE191" i="1"/>
  <c r="FE190" i="1"/>
  <c r="FE189" i="1"/>
  <c r="FE188" i="1"/>
  <c r="FE187" i="1"/>
  <c r="FE186" i="1"/>
  <c r="FE185" i="1"/>
  <c r="FE184" i="1"/>
  <c r="FE183" i="1"/>
  <c r="FE182" i="1"/>
  <c r="FE181" i="1"/>
  <c r="FE180" i="1"/>
  <c r="FE179" i="1"/>
  <c r="FE178" i="1"/>
  <c r="FE177" i="1"/>
  <c r="FE176" i="1"/>
  <c r="FE175" i="1"/>
  <c r="FE174" i="1"/>
  <c r="FE173" i="1"/>
  <c r="FE172" i="1"/>
  <c r="FE171" i="1"/>
  <c r="FE170" i="1"/>
  <c r="FE169" i="1"/>
  <c r="FE168" i="1"/>
  <c r="FE167" i="1"/>
  <c r="FE166" i="1"/>
  <c r="FE165" i="1"/>
  <c r="FE164" i="1"/>
  <c r="FE163" i="1"/>
  <c r="FE162" i="1"/>
  <c r="FE161" i="1"/>
  <c r="FE160" i="1"/>
  <c r="FE159" i="1"/>
  <c r="FE158" i="1"/>
  <c r="FE157" i="1"/>
  <c r="FE156" i="1"/>
  <c r="FE155" i="1"/>
  <c r="FE154" i="1"/>
  <c r="FE153" i="1"/>
  <c r="FE152" i="1"/>
  <c r="FE151" i="1"/>
  <c r="FE150" i="1"/>
  <c r="FE149" i="1"/>
  <c r="FE148" i="1"/>
  <c r="FE147" i="1"/>
  <c r="FE146" i="1"/>
  <c r="FE145" i="1"/>
  <c r="FE144" i="1"/>
  <c r="FE143" i="1"/>
  <c r="FE142" i="1"/>
  <c r="FE141" i="1"/>
  <c r="FE140" i="1"/>
  <c r="FE139" i="1"/>
  <c r="FE138" i="1"/>
  <c r="FE137" i="1"/>
  <c r="FE136" i="1"/>
  <c r="FE135" i="1"/>
  <c r="FE134" i="1"/>
  <c r="FE133" i="1"/>
  <c r="FE132" i="1"/>
  <c r="FE131" i="1"/>
  <c r="FE130" i="1"/>
  <c r="FE129" i="1"/>
  <c r="FE128" i="1"/>
  <c r="FE127" i="1"/>
  <c r="FE126" i="1"/>
  <c r="FE125" i="1"/>
  <c r="FE124" i="1"/>
  <c r="FE123" i="1"/>
  <c r="FE122" i="1"/>
  <c r="FE121" i="1"/>
  <c r="FE120" i="1"/>
  <c r="FE119" i="1"/>
  <c r="FE118" i="1"/>
  <c r="FE117" i="1"/>
  <c r="FE116" i="1"/>
  <c r="FE115" i="1"/>
  <c r="FE114" i="1"/>
  <c r="FE113" i="1"/>
  <c r="FE112" i="1"/>
  <c r="FE111" i="1"/>
  <c r="FE110" i="1"/>
  <c r="FE109" i="1"/>
  <c r="FE108" i="1"/>
  <c r="FE107" i="1"/>
  <c r="FE106" i="1"/>
  <c r="FE105" i="1"/>
  <c r="FE104" i="1"/>
  <c r="FE103" i="1"/>
  <c r="FE102" i="1"/>
  <c r="FE101" i="1"/>
  <c r="FE100" i="1"/>
  <c r="FE99" i="1"/>
  <c r="FE98" i="1"/>
  <c r="FE97" i="1"/>
  <c r="FE96" i="1"/>
  <c r="FE95" i="1"/>
  <c r="FE94" i="1"/>
  <c r="FE93" i="1"/>
  <c r="FE92" i="1"/>
  <c r="FE91" i="1"/>
  <c r="FE90" i="1"/>
  <c r="FE89" i="1"/>
  <c r="FE88" i="1"/>
  <c r="FE87" i="1"/>
  <c r="FE86" i="1"/>
  <c r="FE85" i="1"/>
  <c r="FE84" i="1"/>
  <c r="FE83" i="1"/>
  <c r="FE82" i="1"/>
  <c r="FE81" i="1"/>
  <c r="FE80" i="1"/>
  <c r="FE79" i="1"/>
  <c r="FE78" i="1"/>
  <c r="FE77" i="1"/>
  <c r="FE76" i="1"/>
  <c r="FE75" i="1"/>
  <c r="FE74" i="1"/>
  <c r="FE73" i="1"/>
  <c r="FE72" i="1"/>
  <c r="FE71" i="1"/>
  <c r="FE70" i="1"/>
  <c r="FE69" i="1"/>
  <c r="FE68" i="1"/>
  <c r="FE67" i="1"/>
  <c r="FE66" i="1"/>
  <c r="FE65" i="1"/>
  <c r="FE64" i="1"/>
  <c r="FE63" i="1"/>
  <c r="FE62" i="1"/>
  <c r="FE61" i="1"/>
  <c r="FE60" i="1"/>
  <c r="FE59" i="1"/>
  <c r="FE58" i="1"/>
  <c r="FE57" i="1"/>
  <c r="FE56" i="1"/>
  <c r="FE55" i="1"/>
  <c r="FE54" i="1"/>
  <c r="FE53" i="1"/>
  <c r="FE52" i="1"/>
  <c r="FE51" i="1"/>
  <c r="FE50" i="1"/>
  <c r="FE49" i="1"/>
  <c r="FE48" i="1"/>
  <c r="FE47" i="1"/>
  <c r="FE46" i="1"/>
  <c r="FE45" i="1"/>
  <c r="FE44" i="1"/>
  <c r="FE43" i="1"/>
  <c r="FE42" i="1"/>
  <c r="FE41" i="1"/>
  <c r="FE40" i="1"/>
  <c r="FE39" i="1"/>
  <c r="FE38" i="1"/>
  <c r="FE37" i="1"/>
  <c r="FE36" i="1"/>
  <c r="FE35" i="1"/>
  <c r="FE34" i="1"/>
  <c r="FE33" i="1"/>
  <c r="FE32" i="1"/>
  <c r="FE31" i="1"/>
  <c r="FE30" i="1"/>
  <c r="FE29" i="1"/>
  <c r="FE28" i="1"/>
  <c r="FE27" i="1"/>
  <c r="FE26" i="1"/>
  <c r="FE25" i="1"/>
  <c r="FE24" i="1"/>
  <c r="FE23" i="1"/>
  <c r="FE22" i="1"/>
  <c r="FE21" i="1"/>
  <c r="FE20" i="1"/>
  <c r="FE19" i="1"/>
  <c r="FE18" i="1"/>
  <c r="FE17" i="1"/>
  <c r="FE16" i="1"/>
  <c r="FE15" i="1"/>
  <c r="FE14" i="1"/>
  <c r="FE13" i="1"/>
  <c r="FE12" i="1"/>
  <c r="FE11" i="1"/>
  <c r="FI11" i="1"/>
  <c r="EN318" i="1"/>
  <c r="EN317" i="1"/>
  <c r="EN316" i="1"/>
  <c r="EN315" i="1"/>
  <c r="EN314" i="1"/>
  <c r="EN313" i="1"/>
  <c r="EN312" i="1"/>
  <c r="EN311" i="1"/>
  <c r="EN310" i="1"/>
  <c r="EN309" i="1"/>
  <c r="EN308" i="1"/>
  <c r="EN307" i="1"/>
  <c r="EN306" i="1"/>
  <c r="EN305" i="1"/>
  <c r="EN304" i="1"/>
  <c r="EN303" i="1"/>
  <c r="EN302" i="1"/>
  <c r="EN301" i="1"/>
  <c r="EN300" i="1"/>
  <c r="EN299" i="1"/>
  <c r="EN298" i="1"/>
  <c r="EN297" i="1"/>
  <c r="EN296" i="1"/>
  <c r="EN295" i="1"/>
  <c r="EN294" i="1"/>
  <c r="EN293" i="1"/>
  <c r="EN292" i="1"/>
  <c r="EN291" i="1"/>
  <c r="EN290" i="1"/>
  <c r="EN289" i="1"/>
  <c r="EN288" i="1"/>
  <c r="EN287" i="1"/>
  <c r="EN286" i="1"/>
  <c r="EN285" i="1"/>
  <c r="EN284" i="1"/>
  <c r="EN283" i="1"/>
  <c r="EN282" i="1"/>
  <c r="EN281" i="1"/>
  <c r="EN280" i="1"/>
  <c r="EN279" i="1"/>
  <c r="EN278" i="1"/>
  <c r="EN277" i="1"/>
  <c r="EN276" i="1"/>
  <c r="EN275" i="1"/>
  <c r="EN274" i="1"/>
  <c r="EN273" i="1"/>
  <c r="EN272" i="1"/>
  <c r="EN271" i="1"/>
  <c r="EN270" i="1"/>
  <c r="EN269" i="1"/>
  <c r="EN268" i="1"/>
  <c r="EN267" i="1"/>
  <c r="EN266" i="1"/>
  <c r="EN265" i="1"/>
  <c r="EN264" i="1"/>
  <c r="EN263" i="1"/>
  <c r="EN262" i="1"/>
  <c r="EN261" i="1"/>
  <c r="EN260" i="1"/>
  <c r="EN259" i="1"/>
  <c r="EN258" i="1"/>
  <c r="EN257" i="1"/>
  <c r="EN256" i="1"/>
  <c r="EN255" i="1"/>
  <c r="EN254" i="1"/>
  <c r="EN253" i="1"/>
  <c r="EN252" i="1"/>
  <c r="EN251" i="1"/>
  <c r="EN250" i="1"/>
  <c r="EN249" i="1"/>
  <c r="EN248" i="1"/>
  <c r="EN247" i="1"/>
  <c r="EN246" i="1"/>
  <c r="EN245" i="1"/>
  <c r="EN244" i="1"/>
  <c r="EN243" i="1"/>
  <c r="EN242" i="1"/>
  <c r="EN241" i="1"/>
  <c r="EN240" i="1"/>
  <c r="EN239" i="1"/>
  <c r="EN238" i="1"/>
  <c r="EN237" i="1"/>
  <c r="EN236" i="1"/>
  <c r="EN235" i="1"/>
  <c r="EN234" i="1"/>
  <c r="EN233" i="1"/>
  <c r="EN232" i="1"/>
  <c r="EN231" i="1"/>
  <c r="EN230" i="1"/>
  <c r="EN229" i="1"/>
  <c r="EN228" i="1"/>
  <c r="EN227" i="1"/>
  <c r="EN226" i="1"/>
  <c r="EN225" i="1"/>
  <c r="EN224" i="1"/>
  <c r="EN223" i="1"/>
  <c r="EN222" i="1"/>
  <c r="EN221" i="1"/>
  <c r="EN220" i="1"/>
  <c r="EN219" i="1"/>
  <c r="EN218" i="1"/>
  <c r="EN217" i="1"/>
  <c r="EN216" i="1"/>
  <c r="EN215" i="1"/>
  <c r="EN214" i="1"/>
  <c r="EN213" i="1"/>
  <c r="EN212" i="1"/>
  <c r="EN211" i="1"/>
  <c r="EN210" i="1"/>
  <c r="EN209" i="1"/>
  <c r="EN208" i="1"/>
  <c r="EN207" i="1"/>
  <c r="EN206" i="1"/>
  <c r="EN205" i="1"/>
  <c r="EN204" i="1"/>
  <c r="EN203" i="1"/>
  <c r="EN202" i="1"/>
  <c r="EN201" i="1"/>
  <c r="EN200" i="1"/>
  <c r="EN199" i="1"/>
  <c r="EN198" i="1"/>
  <c r="EN197" i="1"/>
  <c r="EN196" i="1"/>
  <c r="EN195" i="1"/>
  <c r="EN194" i="1"/>
  <c r="EN193" i="1"/>
  <c r="EN192" i="1"/>
  <c r="EN191" i="1"/>
  <c r="EN190" i="1"/>
  <c r="EN189" i="1"/>
  <c r="EN188" i="1"/>
  <c r="EN186" i="1"/>
  <c r="EN185" i="1"/>
  <c r="EN184" i="1"/>
  <c r="EN183" i="1"/>
  <c r="EN182" i="1"/>
  <c r="EN181" i="1"/>
  <c r="EN180" i="1"/>
  <c r="EN179" i="1"/>
  <c r="EN178" i="1"/>
  <c r="EN177" i="1"/>
  <c r="EN176" i="1"/>
  <c r="EN175" i="1"/>
  <c r="EN174" i="1"/>
  <c r="EN173" i="1"/>
  <c r="EN172" i="1"/>
  <c r="EN171" i="1"/>
  <c r="EN170" i="1"/>
  <c r="EN169" i="1"/>
  <c r="EN168" i="1"/>
  <c r="EN167" i="1"/>
  <c r="EN166" i="1"/>
  <c r="EN165" i="1"/>
  <c r="EN164" i="1"/>
  <c r="EN163" i="1"/>
  <c r="EN162" i="1"/>
  <c r="EN161" i="1"/>
  <c r="EN160" i="1"/>
  <c r="EN159" i="1"/>
  <c r="EN158" i="1"/>
  <c r="EN157" i="1"/>
  <c r="EN156" i="1"/>
  <c r="EN155" i="1"/>
  <c r="EN154" i="1"/>
  <c r="EN153" i="1"/>
  <c r="EN152" i="1"/>
  <c r="EN151" i="1"/>
  <c r="EN150" i="1"/>
  <c r="EN149" i="1"/>
  <c r="EN148" i="1"/>
  <c r="EN147" i="1"/>
  <c r="EN146" i="1"/>
  <c r="EN145" i="1"/>
  <c r="EN144" i="1"/>
  <c r="EN143" i="1"/>
  <c r="EN142" i="1"/>
  <c r="EN141" i="1"/>
  <c r="EN140" i="1"/>
  <c r="EN139" i="1"/>
  <c r="EN138" i="1"/>
  <c r="EN137" i="1"/>
  <c r="EN136" i="1"/>
  <c r="EN135" i="1"/>
  <c r="EN134" i="1"/>
  <c r="EN133" i="1"/>
  <c r="EN132" i="1"/>
  <c r="EN131" i="1"/>
  <c r="EN130" i="1"/>
  <c r="EN129" i="1"/>
  <c r="EN128" i="1"/>
  <c r="EN127" i="1"/>
  <c r="EN126" i="1"/>
  <c r="EN125" i="1"/>
  <c r="EN124" i="1"/>
  <c r="EN123" i="1"/>
  <c r="EN122" i="1"/>
  <c r="EN121" i="1"/>
  <c r="EN120" i="1"/>
  <c r="EN119" i="1"/>
  <c r="EN118" i="1"/>
  <c r="EN117" i="1"/>
  <c r="EN116" i="1"/>
  <c r="EN115" i="1"/>
  <c r="EN114" i="1"/>
  <c r="EN113" i="1"/>
  <c r="EN112" i="1"/>
  <c r="EN111" i="1"/>
  <c r="EN110" i="1"/>
  <c r="EN109" i="1"/>
  <c r="EN108" i="1"/>
  <c r="EN107" i="1"/>
  <c r="EN106" i="1"/>
  <c r="EN105" i="1"/>
  <c r="EN104" i="1"/>
  <c r="EN103" i="1"/>
  <c r="EN102" i="1"/>
  <c r="EN101" i="1"/>
  <c r="EN100" i="1"/>
  <c r="EN99" i="1"/>
  <c r="EN98" i="1"/>
  <c r="EN97" i="1"/>
  <c r="EN96" i="1"/>
  <c r="EN95" i="1"/>
  <c r="EN94" i="1"/>
  <c r="EN93" i="1"/>
  <c r="EN92" i="1"/>
  <c r="EN91" i="1"/>
  <c r="EN90" i="1"/>
  <c r="EN89" i="1"/>
  <c r="EN88" i="1"/>
  <c r="EN87" i="1"/>
  <c r="EN86" i="1"/>
  <c r="EN85" i="1"/>
  <c r="EN84" i="1"/>
  <c r="EN83" i="1"/>
  <c r="EN82" i="1"/>
  <c r="EN81" i="1"/>
  <c r="EN80" i="1"/>
  <c r="EN79" i="1"/>
  <c r="EN78" i="1"/>
  <c r="EN77" i="1"/>
  <c r="EN76" i="1"/>
  <c r="EN75" i="1"/>
  <c r="EN74" i="1"/>
  <c r="EN73" i="1"/>
  <c r="EN72" i="1"/>
  <c r="EN71" i="1"/>
  <c r="EN70" i="1"/>
  <c r="EN69" i="1"/>
  <c r="EN68" i="1"/>
  <c r="EN67" i="1"/>
  <c r="EN66" i="1"/>
  <c r="EN65" i="1"/>
  <c r="EN64" i="1"/>
  <c r="EN63" i="1"/>
  <c r="EN62" i="1"/>
  <c r="EN61" i="1"/>
  <c r="EN60" i="1"/>
  <c r="EN59" i="1"/>
  <c r="EN58" i="1"/>
  <c r="EN57" i="1"/>
  <c r="EN56" i="1"/>
  <c r="EN55" i="1"/>
  <c r="EN54" i="1"/>
  <c r="EN53" i="1"/>
  <c r="EN52" i="1"/>
  <c r="EN51" i="1"/>
  <c r="EN50" i="1"/>
  <c r="EN49" i="1"/>
  <c r="EN48" i="1"/>
  <c r="EN47" i="1"/>
  <c r="EN46" i="1"/>
  <c r="EN45" i="1"/>
  <c r="EN44" i="1"/>
  <c r="EN43" i="1"/>
  <c r="EN42" i="1"/>
  <c r="EN41" i="1"/>
  <c r="EN40" i="1"/>
  <c r="EN39" i="1"/>
  <c r="EN38" i="1"/>
  <c r="EN37" i="1"/>
  <c r="EN36" i="1"/>
  <c r="EQ36" i="1"/>
  <c r="EN35" i="1"/>
  <c r="EN34" i="1"/>
  <c r="EN33" i="1"/>
  <c r="EN32" i="1"/>
  <c r="EN31" i="1"/>
  <c r="EN30" i="1"/>
  <c r="EN29" i="1"/>
  <c r="EN28" i="1"/>
  <c r="EN27" i="1"/>
  <c r="EN26" i="1"/>
  <c r="EN25" i="1"/>
  <c r="EN24" i="1"/>
  <c r="EN23" i="1"/>
  <c r="EN22" i="1"/>
  <c r="EN21" i="1"/>
  <c r="EN20" i="1"/>
  <c r="EN19" i="1"/>
  <c r="EN18" i="1"/>
  <c r="EN17" i="1"/>
  <c r="EN16" i="1"/>
  <c r="EN15" i="1"/>
  <c r="EN14" i="1"/>
  <c r="EN13" i="1"/>
  <c r="EN12" i="1"/>
  <c r="EN11" i="1"/>
  <c r="EQ11" i="1"/>
  <c r="DW318" i="1"/>
  <c r="DW317" i="1"/>
  <c r="DW316" i="1"/>
  <c r="DW315" i="1"/>
  <c r="DW314" i="1"/>
  <c r="DW313" i="1"/>
  <c r="DW312" i="1"/>
  <c r="DW311" i="1"/>
  <c r="DW310" i="1"/>
  <c r="DW309" i="1"/>
  <c r="DW308" i="1"/>
  <c r="DW307" i="1"/>
  <c r="DW306" i="1"/>
  <c r="DW305" i="1"/>
  <c r="DW304" i="1"/>
  <c r="DW303" i="1"/>
  <c r="DW302" i="1"/>
  <c r="DW301" i="1"/>
  <c r="DW300" i="1"/>
  <c r="DW299" i="1"/>
  <c r="DW298" i="1"/>
  <c r="DW297" i="1"/>
  <c r="DW296" i="1"/>
  <c r="DW295" i="1"/>
  <c r="DW294" i="1"/>
  <c r="DW293" i="1"/>
  <c r="DW292" i="1"/>
  <c r="DW291" i="1"/>
  <c r="DW290" i="1"/>
  <c r="DW289" i="1"/>
  <c r="DW288" i="1"/>
  <c r="DW287" i="1"/>
  <c r="DW286" i="1"/>
  <c r="DW285" i="1"/>
  <c r="DW284" i="1"/>
  <c r="DW283" i="1"/>
  <c r="DW282" i="1"/>
  <c r="DW281" i="1"/>
  <c r="DW280" i="1"/>
  <c r="DW279" i="1"/>
  <c r="DW278" i="1"/>
  <c r="DW277" i="1"/>
  <c r="DW276" i="1"/>
  <c r="DW275" i="1"/>
  <c r="DW274" i="1"/>
  <c r="DW273" i="1"/>
  <c r="DW272" i="1"/>
  <c r="DW271" i="1"/>
  <c r="DW270" i="1"/>
  <c r="DW269" i="1"/>
  <c r="DW268" i="1"/>
  <c r="DW267" i="1"/>
  <c r="DW266" i="1"/>
  <c r="DW265" i="1"/>
  <c r="DW264" i="1"/>
  <c r="DW263" i="1"/>
  <c r="DW262" i="1"/>
  <c r="DW261" i="1"/>
  <c r="DW260" i="1"/>
  <c r="DW259" i="1"/>
  <c r="DW258" i="1"/>
  <c r="DW257" i="1"/>
  <c r="DW256" i="1"/>
  <c r="DW255" i="1"/>
  <c r="DW254" i="1"/>
  <c r="DW253" i="1"/>
  <c r="DW252" i="1"/>
  <c r="DW251" i="1"/>
  <c r="DW250" i="1"/>
  <c r="DW249" i="1"/>
  <c r="DW248" i="1"/>
  <c r="DW247" i="1"/>
  <c r="DW246" i="1"/>
  <c r="DW245" i="1"/>
  <c r="DW244" i="1"/>
  <c r="DW243" i="1"/>
  <c r="DW242" i="1"/>
  <c r="DW241" i="1"/>
  <c r="DW240" i="1"/>
  <c r="DW239" i="1"/>
  <c r="DW238" i="1"/>
  <c r="DW237" i="1"/>
  <c r="DW236" i="1"/>
  <c r="DW235" i="1"/>
  <c r="DW234" i="1"/>
  <c r="DW233" i="1"/>
  <c r="DW232" i="1"/>
  <c r="DW231" i="1"/>
  <c r="DW230" i="1"/>
  <c r="DW229" i="1"/>
  <c r="DW228" i="1"/>
  <c r="DW227" i="1"/>
  <c r="DW226" i="1"/>
  <c r="DW225" i="1"/>
  <c r="DW224" i="1"/>
  <c r="DW223" i="1"/>
  <c r="DW222" i="1"/>
  <c r="DW221" i="1"/>
  <c r="DW220" i="1"/>
  <c r="DW219" i="1"/>
  <c r="DW218" i="1"/>
  <c r="DW217" i="1"/>
  <c r="DW216" i="1"/>
  <c r="DW215" i="1"/>
  <c r="DW214" i="1"/>
  <c r="DW213" i="1"/>
  <c r="DW212" i="1"/>
  <c r="DW211" i="1"/>
  <c r="DW210" i="1"/>
  <c r="DW209" i="1"/>
  <c r="DW208" i="1"/>
  <c r="DW207" i="1"/>
  <c r="DW206" i="1"/>
  <c r="DW205" i="1"/>
  <c r="DW204" i="1"/>
  <c r="DW203" i="1"/>
  <c r="DW202" i="1"/>
  <c r="DW201" i="1"/>
  <c r="DW200" i="1"/>
  <c r="DW199" i="1"/>
  <c r="DW198" i="1"/>
  <c r="DW197" i="1"/>
  <c r="DW196" i="1"/>
  <c r="DW195" i="1"/>
  <c r="DW194" i="1"/>
  <c r="DW193" i="1"/>
  <c r="DW192" i="1"/>
  <c r="DW191" i="1"/>
  <c r="DW190" i="1"/>
  <c r="DW189" i="1"/>
  <c r="DW188" i="1"/>
  <c r="DW187" i="1"/>
  <c r="DW186" i="1"/>
  <c r="DW185" i="1"/>
  <c r="DW184" i="1"/>
  <c r="DW183" i="1"/>
  <c r="DW182" i="1"/>
  <c r="DW181" i="1"/>
  <c r="DW180" i="1"/>
  <c r="DW179" i="1"/>
  <c r="DW178" i="1"/>
  <c r="DW177" i="1"/>
  <c r="DW176" i="1"/>
  <c r="DW175" i="1"/>
  <c r="DW174" i="1"/>
  <c r="DW173" i="1"/>
  <c r="DW172" i="1"/>
  <c r="DW171" i="1"/>
  <c r="DW170" i="1"/>
  <c r="DW169" i="1"/>
  <c r="DW168" i="1"/>
  <c r="DW167" i="1"/>
  <c r="DW166" i="1"/>
  <c r="DW165" i="1"/>
  <c r="DW164" i="1"/>
  <c r="DW163" i="1"/>
  <c r="DW162" i="1"/>
  <c r="DW161" i="1"/>
  <c r="DW160" i="1"/>
  <c r="DW159" i="1"/>
  <c r="DW158" i="1"/>
  <c r="DW157" i="1"/>
  <c r="DW156" i="1"/>
  <c r="DW155" i="1"/>
  <c r="DW154" i="1"/>
  <c r="DW153" i="1"/>
  <c r="DW152" i="1"/>
  <c r="DW151" i="1"/>
  <c r="DW150" i="1"/>
  <c r="DW149" i="1"/>
  <c r="DW148" i="1"/>
  <c r="DW147" i="1"/>
  <c r="DW146" i="1"/>
  <c r="DW145" i="1"/>
  <c r="DW144" i="1"/>
  <c r="DW143" i="1"/>
  <c r="DW142" i="1"/>
  <c r="DW141" i="1"/>
  <c r="DW140" i="1"/>
  <c r="DW139" i="1"/>
  <c r="DW138" i="1"/>
  <c r="DW137" i="1"/>
  <c r="DW136" i="1"/>
  <c r="DW135" i="1"/>
  <c r="DW134" i="1"/>
  <c r="DW133" i="1"/>
  <c r="DW132" i="1"/>
  <c r="DW131" i="1"/>
  <c r="DW130" i="1"/>
  <c r="DW129" i="1"/>
  <c r="DW128" i="1"/>
  <c r="DW127" i="1"/>
  <c r="DW126" i="1"/>
  <c r="DW125" i="1"/>
  <c r="DW124" i="1"/>
  <c r="DW123" i="1"/>
  <c r="DW122" i="1"/>
  <c r="DW121" i="1"/>
  <c r="DW120" i="1"/>
  <c r="DW119" i="1"/>
  <c r="DW118" i="1"/>
  <c r="DW117" i="1"/>
  <c r="DW116" i="1"/>
  <c r="DW115" i="1"/>
  <c r="DW114" i="1"/>
  <c r="DW113" i="1"/>
  <c r="DW112" i="1"/>
  <c r="DW111" i="1"/>
  <c r="DW110" i="1"/>
  <c r="DW109" i="1"/>
  <c r="DW108" i="1"/>
  <c r="DW107" i="1"/>
  <c r="DW106" i="1"/>
  <c r="DW105" i="1"/>
  <c r="DW104" i="1"/>
  <c r="DW103" i="1"/>
  <c r="DW102" i="1"/>
  <c r="DW101" i="1"/>
  <c r="DW100" i="1"/>
  <c r="DW99" i="1"/>
  <c r="DW98" i="1"/>
  <c r="DW97" i="1"/>
  <c r="DW96" i="1"/>
  <c r="DW95" i="1"/>
  <c r="DW94" i="1"/>
  <c r="DW93" i="1"/>
  <c r="DW92" i="1"/>
  <c r="DW91" i="1"/>
  <c r="DW90" i="1"/>
  <c r="DW89" i="1"/>
  <c r="DW88" i="1"/>
  <c r="DW87" i="1"/>
  <c r="DW86" i="1"/>
  <c r="DW85" i="1"/>
  <c r="DW84" i="1"/>
  <c r="DW83" i="1"/>
  <c r="DW82" i="1"/>
  <c r="DW81" i="1"/>
  <c r="DW80" i="1"/>
  <c r="DW79" i="1"/>
  <c r="DW78" i="1"/>
  <c r="DW77" i="1"/>
  <c r="DW76" i="1"/>
  <c r="DW75" i="1"/>
  <c r="DW74" i="1"/>
  <c r="DW73" i="1"/>
  <c r="DW72" i="1"/>
  <c r="DW71" i="1"/>
  <c r="DW70" i="1"/>
  <c r="DW69" i="1"/>
  <c r="DW68" i="1"/>
  <c r="DW67" i="1"/>
  <c r="DW66" i="1"/>
  <c r="DW65" i="1"/>
  <c r="DW64" i="1"/>
  <c r="DW63" i="1"/>
  <c r="DW62" i="1"/>
  <c r="DW61" i="1"/>
  <c r="DW60" i="1"/>
  <c r="DW59" i="1"/>
  <c r="DW58" i="1"/>
  <c r="DW57" i="1"/>
  <c r="DW56" i="1"/>
  <c r="DW55" i="1"/>
  <c r="DW54" i="1"/>
  <c r="DW53" i="1"/>
  <c r="DW52" i="1"/>
  <c r="DW51" i="1"/>
  <c r="DW50" i="1"/>
  <c r="DW49" i="1"/>
  <c r="DW48" i="1"/>
  <c r="DW47" i="1"/>
  <c r="DW46" i="1"/>
  <c r="DW45" i="1"/>
  <c r="DW44" i="1"/>
  <c r="DW43" i="1"/>
  <c r="DW42" i="1"/>
  <c r="DW41" i="1"/>
  <c r="DW40" i="1"/>
  <c r="DW39" i="1"/>
  <c r="DW38" i="1"/>
  <c r="DW37" i="1"/>
  <c r="DW36" i="1"/>
  <c r="DW35" i="1"/>
  <c r="DW34" i="1"/>
  <c r="DW33" i="1"/>
  <c r="DW32" i="1"/>
  <c r="DW31" i="1"/>
  <c r="DW30" i="1"/>
  <c r="DW29" i="1"/>
  <c r="DW28" i="1"/>
  <c r="DW27" i="1"/>
  <c r="DW26" i="1"/>
  <c r="DW25" i="1"/>
  <c r="DW24" i="1"/>
  <c r="DW23" i="1"/>
  <c r="DW22" i="1"/>
  <c r="DW21" i="1"/>
  <c r="DW20" i="1"/>
  <c r="DW19" i="1"/>
  <c r="DW18" i="1"/>
  <c r="DW17" i="1"/>
  <c r="DW16" i="1"/>
  <c r="DW15" i="1"/>
  <c r="DW14" i="1"/>
  <c r="DW13" i="1"/>
  <c r="DW12" i="1"/>
  <c r="DW11" i="1"/>
  <c r="DZ11" i="1"/>
  <c r="DF318" i="1"/>
  <c r="DF317" i="1"/>
  <c r="DF316" i="1"/>
  <c r="DF315" i="1"/>
  <c r="DF314" i="1"/>
  <c r="DF313" i="1"/>
  <c r="DF312" i="1"/>
  <c r="DF311" i="1"/>
  <c r="DF310" i="1"/>
  <c r="DF309" i="1"/>
  <c r="DF308" i="1"/>
  <c r="DF307" i="1"/>
  <c r="DF306" i="1"/>
  <c r="DF305" i="1"/>
  <c r="DF304" i="1"/>
  <c r="DF303" i="1"/>
  <c r="DF302" i="1"/>
  <c r="DF301" i="1"/>
  <c r="DF300" i="1"/>
  <c r="DF299" i="1"/>
  <c r="DF298" i="1"/>
  <c r="DF297" i="1"/>
  <c r="DF296" i="1"/>
  <c r="DF295" i="1"/>
  <c r="DF294" i="1"/>
  <c r="DF293" i="1"/>
  <c r="DF292" i="1"/>
  <c r="DF291" i="1"/>
  <c r="DF290" i="1"/>
  <c r="DF289" i="1"/>
  <c r="DF288" i="1"/>
  <c r="DF287" i="1"/>
  <c r="DF286" i="1"/>
  <c r="DF285" i="1"/>
  <c r="DF284" i="1"/>
  <c r="DF283" i="1"/>
  <c r="DF282" i="1"/>
  <c r="DF281" i="1"/>
  <c r="DF280" i="1"/>
  <c r="DF279" i="1"/>
  <c r="DF278" i="1"/>
  <c r="DF277" i="1"/>
  <c r="DF276" i="1"/>
  <c r="DF275" i="1"/>
  <c r="DF274" i="1"/>
  <c r="DF273" i="1"/>
  <c r="DF272" i="1"/>
  <c r="DF271" i="1"/>
  <c r="DF270" i="1"/>
  <c r="DF269" i="1"/>
  <c r="DF268" i="1"/>
  <c r="DF267" i="1"/>
  <c r="DF266" i="1"/>
  <c r="DF265" i="1"/>
  <c r="DF264" i="1"/>
  <c r="DF263" i="1"/>
  <c r="DF262" i="1"/>
  <c r="DF261" i="1"/>
  <c r="DF260" i="1"/>
  <c r="DF259" i="1"/>
  <c r="DF258" i="1"/>
  <c r="DF257" i="1"/>
  <c r="DF256" i="1"/>
  <c r="DF255" i="1"/>
  <c r="DF254" i="1"/>
  <c r="DF253" i="1"/>
  <c r="DF252" i="1"/>
  <c r="DF251" i="1"/>
  <c r="DF250" i="1"/>
  <c r="DF249" i="1"/>
  <c r="DF248" i="1"/>
  <c r="DF247" i="1"/>
  <c r="DF246" i="1"/>
  <c r="DF245" i="1"/>
  <c r="DF244" i="1"/>
  <c r="DF243" i="1"/>
  <c r="DF242" i="1"/>
  <c r="DF241" i="1"/>
  <c r="DF240" i="1"/>
  <c r="DF239" i="1"/>
  <c r="DF238" i="1"/>
  <c r="DF237" i="1"/>
  <c r="DF236" i="1"/>
  <c r="DF235" i="1"/>
  <c r="DF234" i="1"/>
  <c r="DF233" i="1"/>
  <c r="DF232" i="1"/>
  <c r="DF231" i="1"/>
  <c r="DF230" i="1"/>
  <c r="DF229" i="1"/>
  <c r="DF228" i="1"/>
  <c r="DF227" i="1"/>
  <c r="DF226" i="1"/>
  <c r="DF225" i="1"/>
  <c r="DF224" i="1"/>
  <c r="DF223" i="1"/>
  <c r="DF222" i="1"/>
  <c r="DF221" i="1"/>
  <c r="DF220" i="1"/>
  <c r="DF219" i="1"/>
  <c r="DF218" i="1"/>
  <c r="DF217" i="1"/>
  <c r="DF216" i="1"/>
  <c r="DF215" i="1"/>
  <c r="DF214" i="1"/>
  <c r="DF213" i="1"/>
  <c r="DF212" i="1"/>
  <c r="DF211" i="1"/>
  <c r="DF210" i="1"/>
  <c r="DF209" i="1"/>
  <c r="DF208" i="1"/>
  <c r="DF207" i="1"/>
  <c r="DF206" i="1"/>
  <c r="DF205" i="1"/>
  <c r="DF204" i="1"/>
  <c r="DF203" i="1"/>
  <c r="DF202" i="1"/>
  <c r="DF201" i="1"/>
  <c r="DF200" i="1"/>
  <c r="DF199" i="1"/>
  <c r="DF198" i="1"/>
  <c r="DF197" i="1"/>
  <c r="DF196" i="1"/>
  <c r="DF195" i="1"/>
  <c r="DF194" i="1"/>
  <c r="DF193" i="1"/>
  <c r="DF192" i="1"/>
  <c r="DF191" i="1"/>
  <c r="DF190" i="1"/>
  <c r="DF189" i="1"/>
  <c r="DF188" i="1"/>
  <c r="DF187" i="1"/>
  <c r="DF186" i="1"/>
  <c r="DF185" i="1"/>
  <c r="DF184" i="1"/>
  <c r="DF183" i="1"/>
  <c r="DF182" i="1"/>
  <c r="DF181" i="1"/>
  <c r="DF180" i="1"/>
  <c r="DF179" i="1"/>
  <c r="DF178" i="1"/>
  <c r="DF177" i="1"/>
  <c r="DF176" i="1"/>
  <c r="DF175" i="1"/>
  <c r="DF174" i="1"/>
  <c r="DF173" i="1"/>
  <c r="DF172" i="1"/>
  <c r="DF171" i="1"/>
  <c r="DF170" i="1"/>
  <c r="DF169" i="1"/>
  <c r="DF168" i="1"/>
  <c r="DF167" i="1"/>
  <c r="DF166" i="1"/>
  <c r="DF165" i="1"/>
  <c r="DF164" i="1"/>
  <c r="DF163" i="1"/>
  <c r="DF162" i="1"/>
  <c r="DF161" i="1"/>
  <c r="DF160" i="1"/>
  <c r="DF159" i="1"/>
  <c r="DF158" i="1"/>
  <c r="DF157" i="1"/>
  <c r="DF156" i="1"/>
  <c r="DF155" i="1"/>
  <c r="DF154" i="1"/>
  <c r="DF153" i="1"/>
  <c r="DF152" i="1"/>
  <c r="DF151" i="1"/>
  <c r="DF150" i="1"/>
  <c r="DF149" i="1"/>
  <c r="DF148" i="1"/>
  <c r="DF147" i="1"/>
  <c r="DF146" i="1"/>
  <c r="DF145" i="1"/>
  <c r="DF144" i="1"/>
  <c r="DF143" i="1"/>
  <c r="DF142" i="1"/>
  <c r="DF141" i="1"/>
  <c r="DF140" i="1"/>
  <c r="DF139" i="1"/>
  <c r="DF138" i="1"/>
  <c r="DF137" i="1"/>
  <c r="DF136" i="1"/>
  <c r="DF135" i="1"/>
  <c r="DF134" i="1"/>
  <c r="DF133" i="1"/>
  <c r="DF132" i="1"/>
  <c r="DF131" i="1"/>
  <c r="DF130" i="1"/>
  <c r="DF129" i="1"/>
  <c r="DF128" i="1"/>
  <c r="DF127" i="1"/>
  <c r="DF126" i="1"/>
  <c r="DF125" i="1"/>
  <c r="DF124" i="1"/>
  <c r="DF123" i="1"/>
  <c r="DF122" i="1"/>
  <c r="DF121" i="1"/>
  <c r="DF120" i="1"/>
  <c r="DF119" i="1"/>
  <c r="DF118" i="1"/>
  <c r="DF117" i="1"/>
  <c r="DF116" i="1"/>
  <c r="DF115" i="1"/>
  <c r="DF114" i="1"/>
  <c r="DF113" i="1"/>
  <c r="DF112" i="1"/>
  <c r="DF111" i="1"/>
  <c r="DF110" i="1"/>
  <c r="DF109" i="1"/>
  <c r="DF108" i="1"/>
  <c r="DF107" i="1"/>
  <c r="DF106" i="1"/>
  <c r="DF105" i="1"/>
  <c r="DF104" i="1"/>
  <c r="DF103" i="1"/>
  <c r="DF102" i="1"/>
  <c r="DF101" i="1"/>
  <c r="DF100" i="1"/>
  <c r="DF99" i="1"/>
  <c r="DF98" i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F84" i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I11" i="1"/>
  <c r="CO318" i="1"/>
  <c r="CO317" i="1"/>
  <c r="CO316" i="1"/>
  <c r="CO315" i="1"/>
  <c r="CO314" i="1"/>
  <c r="CO313" i="1"/>
  <c r="CO312" i="1"/>
  <c r="CO311" i="1"/>
  <c r="CO310" i="1"/>
  <c r="CO309" i="1"/>
  <c r="CO308" i="1"/>
  <c r="CO307" i="1"/>
  <c r="CO306" i="1"/>
  <c r="CO305" i="1"/>
  <c r="CO304" i="1"/>
  <c r="CO303" i="1"/>
  <c r="CO302" i="1"/>
  <c r="CO301" i="1"/>
  <c r="CO300" i="1"/>
  <c r="CO299" i="1"/>
  <c r="CO298" i="1"/>
  <c r="CO297" i="1"/>
  <c r="CO296" i="1"/>
  <c r="CO295" i="1"/>
  <c r="CO294" i="1"/>
  <c r="CO293" i="1"/>
  <c r="CO292" i="1"/>
  <c r="CO291" i="1"/>
  <c r="CO290" i="1"/>
  <c r="CO289" i="1"/>
  <c r="CO288" i="1"/>
  <c r="CO287" i="1"/>
  <c r="CO286" i="1"/>
  <c r="CO285" i="1"/>
  <c r="CO284" i="1"/>
  <c r="CO283" i="1"/>
  <c r="CO282" i="1"/>
  <c r="CO281" i="1"/>
  <c r="CO280" i="1"/>
  <c r="CO279" i="1"/>
  <c r="CO278" i="1"/>
  <c r="CO277" i="1"/>
  <c r="CO276" i="1"/>
  <c r="CO275" i="1"/>
  <c r="CO274" i="1"/>
  <c r="CO273" i="1"/>
  <c r="CO272" i="1"/>
  <c r="CO271" i="1"/>
  <c r="CO270" i="1"/>
  <c r="CO269" i="1"/>
  <c r="CO268" i="1"/>
  <c r="CO267" i="1"/>
  <c r="CO266" i="1"/>
  <c r="CO265" i="1"/>
  <c r="CO264" i="1"/>
  <c r="CO263" i="1"/>
  <c r="CO262" i="1"/>
  <c r="CO261" i="1"/>
  <c r="CO260" i="1"/>
  <c r="CO259" i="1"/>
  <c r="CO258" i="1"/>
  <c r="CO257" i="1"/>
  <c r="CO256" i="1"/>
  <c r="CO255" i="1"/>
  <c r="CO254" i="1"/>
  <c r="CO253" i="1"/>
  <c r="CO252" i="1"/>
  <c r="CO251" i="1"/>
  <c r="CO250" i="1"/>
  <c r="CO249" i="1"/>
  <c r="CO248" i="1"/>
  <c r="CO247" i="1"/>
  <c r="CO246" i="1"/>
  <c r="CO245" i="1"/>
  <c r="CO244" i="1"/>
  <c r="CO243" i="1"/>
  <c r="CO242" i="1"/>
  <c r="CO241" i="1"/>
  <c r="CO240" i="1"/>
  <c r="CO239" i="1"/>
  <c r="CO238" i="1"/>
  <c r="CO237" i="1"/>
  <c r="CO236" i="1"/>
  <c r="CO235" i="1"/>
  <c r="CO234" i="1"/>
  <c r="CO233" i="1"/>
  <c r="CO232" i="1"/>
  <c r="CO231" i="1"/>
  <c r="CO230" i="1"/>
  <c r="CO229" i="1"/>
  <c r="CO228" i="1"/>
  <c r="CO227" i="1"/>
  <c r="CO226" i="1"/>
  <c r="CO225" i="1"/>
  <c r="CO224" i="1"/>
  <c r="CO223" i="1"/>
  <c r="CO222" i="1"/>
  <c r="CO221" i="1"/>
  <c r="CO220" i="1"/>
  <c r="CO219" i="1"/>
  <c r="CO218" i="1"/>
  <c r="CO217" i="1"/>
  <c r="CO216" i="1"/>
  <c r="CO215" i="1"/>
  <c r="CO214" i="1"/>
  <c r="CO213" i="1"/>
  <c r="CO212" i="1"/>
  <c r="CO211" i="1"/>
  <c r="CO210" i="1"/>
  <c r="CO209" i="1"/>
  <c r="CO208" i="1"/>
  <c r="CO207" i="1"/>
  <c r="CO206" i="1"/>
  <c r="CO205" i="1"/>
  <c r="CO204" i="1"/>
  <c r="CO203" i="1"/>
  <c r="CO202" i="1"/>
  <c r="CO201" i="1"/>
  <c r="CO200" i="1"/>
  <c r="CO199" i="1"/>
  <c r="CO198" i="1"/>
  <c r="CO197" i="1"/>
  <c r="CO196" i="1"/>
  <c r="CO195" i="1"/>
  <c r="CO194" i="1"/>
  <c r="CO193" i="1"/>
  <c r="CO192" i="1"/>
  <c r="CO191" i="1"/>
  <c r="CO190" i="1"/>
  <c r="CO189" i="1"/>
  <c r="CO188" i="1"/>
  <c r="CO187" i="1"/>
  <c r="CO186" i="1"/>
  <c r="CO185" i="1"/>
  <c r="CO184" i="1"/>
  <c r="CO183" i="1"/>
  <c r="CO182" i="1"/>
  <c r="CO181" i="1"/>
  <c r="CO180" i="1"/>
  <c r="CO179" i="1"/>
  <c r="CO178" i="1"/>
  <c r="CO177" i="1"/>
  <c r="CO176" i="1"/>
  <c r="CO175" i="1"/>
  <c r="CO174" i="1"/>
  <c r="CO173" i="1"/>
  <c r="CO172" i="1"/>
  <c r="CO171" i="1"/>
  <c r="CO170" i="1"/>
  <c r="CO169" i="1"/>
  <c r="CO168" i="1"/>
  <c r="CO167" i="1"/>
  <c r="CO166" i="1"/>
  <c r="CO165" i="1"/>
  <c r="CO164" i="1"/>
  <c r="CO163" i="1"/>
  <c r="CO162" i="1"/>
  <c r="CO161" i="1"/>
  <c r="CO160" i="1"/>
  <c r="CO159" i="1"/>
  <c r="CO158" i="1"/>
  <c r="CO157" i="1"/>
  <c r="CO156" i="1"/>
  <c r="CO155" i="1"/>
  <c r="CO154" i="1"/>
  <c r="CO153" i="1"/>
  <c r="CO152" i="1"/>
  <c r="CO151" i="1"/>
  <c r="CO150" i="1"/>
  <c r="CO149" i="1"/>
  <c r="CO148" i="1"/>
  <c r="CO147" i="1"/>
  <c r="CO146" i="1"/>
  <c r="CO145" i="1"/>
  <c r="CO144" i="1"/>
  <c r="CO143" i="1"/>
  <c r="CO142" i="1"/>
  <c r="CO141" i="1"/>
  <c r="CO140" i="1"/>
  <c r="CO139" i="1"/>
  <c r="CO138" i="1"/>
  <c r="CO137" i="1"/>
  <c r="CO136" i="1"/>
  <c r="CO135" i="1"/>
  <c r="CO134" i="1"/>
  <c r="CO133" i="1"/>
  <c r="CO132" i="1"/>
  <c r="CO131" i="1"/>
  <c r="CO130" i="1"/>
  <c r="CO129" i="1"/>
  <c r="CO128" i="1"/>
  <c r="CO127" i="1"/>
  <c r="CO126" i="1"/>
  <c r="CO125" i="1"/>
  <c r="CO124" i="1"/>
  <c r="CO123" i="1"/>
  <c r="CO122" i="1"/>
  <c r="CO121" i="1"/>
  <c r="CO120" i="1"/>
  <c r="CO119" i="1"/>
  <c r="CO118" i="1"/>
  <c r="CO117" i="1"/>
  <c r="CO116" i="1"/>
  <c r="CO115" i="1"/>
  <c r="CO114" i="1"/>
  <c r="CO113" i="1"/>
  <c r="CO112" i="1"/>
  <c r="CO111" i="1"/>
  <c r="CO110" i="1"/>
  <c r="CO109" i="1"/>
  <c r="CO108" i="1"/>
  <c r="CO107" i="1"/>
  <c r="CO106" i="1"/>
  <c r="CO105" i="1"/>
  <c r="CO104" i="1"/>
  <c r="CO103" i="1"/>
  <c r="CO102" i="1"/>
  <c r="CO101" i="1"/>
  <c r="CO100" i="1"/>
  <c r="CO99" i="1"/>
  <c r="CO98" i="1"/>
  <c r="CO97" i="1"/>
  <c r="CO96" i="1"/>
  <c r="CO95" i="1"/>
  <c r="CO94" i="1"/>
  <c r="CO93" i="1"/>
  <c r="CO92" i="1"/>
  <c r="CO91" i="1"/>
  <c r="CO90" i="1"/>
  <c r="CO89" i="1"/>
  <c r="CO88" i="1"/>
  <c r="CO87" i="1"/>
  <c r="CO86" i="1"/>
  <c r="CO85" i="1"/>
  <c r="CO84" i="1"/>
  <c r="CO83" i="1"/>
  <c r="CO82" i="1"/>
  <c r="CO81" i="1"/>
  <c r="CO80" i="1"/>
  <c r="CO79" i="1"/>
  <c r="CO78" i="1"/>
  <c r="CO77" i="1"/>
  <c r="CO76" i="1"/>
  <c r="CO75" i="1"/>
  <c r="CO74" i="1"/>
  <c r="CO73" i="1"/>
  <c r="CO72" i="1"/>
  <c r="CO71" i="1"/>
  <c r="CO70" i="1"/>
  <c r="CO69" i="1"/>
  <c r="CO68" i="1"/>
  <c r="CO67" i="1"/>
  <c r="CO66" i="1"/>
  <c r="CO65" i="1"/>
  <c r="CO64" i="1"/>
  <c r="CO63" i="1"/>
  <c r="CO62" i="1"/>
  <c r="CO61" i="1"/>
  <c r="CO60" i="1"/>
  <c r="CO59" i="1"/>
  <c r="CO58" i="1"/>
  <c r="CO57" i="1"/>
  <c r="CO56" i="1"/>
  <c r="CO55" i="1"/>
  <c r="CO54" i="1"/>
  <c r="CO53" i="1"/>
  <c r="CO52" i="1"/>
  <c r="CO51" i="1"/>
  <c r="CO50" i="1"/>
  <c r="CO49" i="1"/>
  <c r="CO48" i="1"/>
  <c r="CO47" i="1"/>
  <c r="CO46" i="1"/>
  <c r="CO45" i="1"/>
  <c r="CO44" i="1"/>
  <c r="CO43" i="1"/>
  <c r="CO42" i="1"/>
  <c r="CO41" i="1"/>
  <c r="CO40" i="1"/>
  <c r="CO39" i="1"/>
  <c r="CO38" i="1"/>
  <c r="CO37" i="1"/>
  <c r="CO36" i="1"/>
  <c r="CO35" i="1"/>
  <c r="CO34" i="1"/>
  <c r="CO33" i="1"/>
  <c r="CO32" i="1"/>
  <c r="CO31" i="1"/>
  <c r="CO30" i="1"/>
  <c r="CO29" i="1"/>
  <c r="CO28" i="1"/>
  <c r="CO27" i="1"/>
  <c r="CO26" i="1"/>
  <c r="CO25" i="1"/>
  <c r="CO24" i="1"/>
  <c r="CO23" i="1"/>
  <c r="CO22" i="1"/>
  <c r="CO21" i="1"/>
  <c r="CO20" i="1"/>
  <c r="CO19" i="1"/>
  <c r="CO18" i="1"/>
  <c r="CO17" i="1"/>
  <c r="CO16" i="1"/>
  <c r="CO15" i="1"/>
  <c r="CO14" i="1"/>
  <c r="CO13" i="1"/>
  <c r="CO12" i="1"/>
  <c r="CO11" i="1"/>
  <c r="CS11" i="1"/>
  <c r="BX318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12" i="1"/>
  <c r="BX111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CB11" i="1"/>
  <c r="BG11" i="1"/>
  <c r="BJ11" i="1"/>
  <c r="BG318" i="1"/>
  <c r="BG317" i="1"/>
  <c r="BG316" i="1"/>
  <c r="BG315" i="1"/>
  <c r="BG314" i="1"/>
  <c r="BG313" i="1"/>
  <c r="BG312" i="1"/>
  <c r="BG311" i="1"/>
  <c r="BG310" i="1"/>
  <c r="BG309" i="1"/>
  <c r="BG308" i="1"/>
  <c r="BG307" i="1"/>
  <c r="BG306" i="1"/>
  <c r="BG305" i="1"/>
  <c r="BG304" i="1"/>
  <c r="BG303" i="1"/>
  <c r="BG302" i="1"/>
  <c r="BG301" i="1"/>
  <c r="BG300" i="1"/>
  <c r="BG299" i="1"/>
  <c r="BG298" i="1"/>
  <c r="BG297" i="1"/>
  <c r="BG296" i="1"/>
  <c r="BG295" i="1"/>
  <c r="BG294" i="1"/>
  <c r="BG293" i="1"/>
  <c r="BG292" i="1"/>
  <c r="BG291" i="1"/>
  <c r="BG290" i="1"/>
  <c r="BG289" i="1"/>
  <c r="BG288" i="1"/>
  <c r="BG287" i="1"/>
  <c r="BG286" i="1"/>
  <c r="BG285" i="1"/>
  <c r="BG284" i="1"/>
  <c r="BG283" i="1"/>
  <c r="BG282" i="1"/>
  <c r="BG281" i="1"/>
  <c r="BG280" i="1"/>
  <c r="BG279" i="1"/>
  <c r="BG278" i="1"/>
  <c r="BG277" i="1"/>
  <c r="BG276" i="1"/>
  <c r="BG275" i="1"/>
  <c r="BG274" i="1"/>
  <c r="BG273" i="1"/>
  <c r="BG272" i="1"/>
  <c r="BG271" i="1"/>
  <c r="BG270" i="1"/>
  <c r="BG269" i="1"/>
  <c r="BG268" i="1"/>
  <c r="BG267" i="1"/>
  <c r="BG266" i="1"/>
  <c r="BG265" i="1"/>
  <c r="BG264" i="1"/>
  <c r="BG263" i="1"/>
  <c r="BG262" i="1"/>
  <c r="BG261" i="1"/>
  <c r="BG260" i="1"/>
  <c r="BG259" i="1"/>
  <c r="BG258" i="1"/>
  <c r="BG257" i="1"/>
  <c r="BG256" i="1"/>
  <c r="BG255" i="1"/>
  <c r="BG254" i="1"/>
  <c r="BG253" i="1"/>
  <c r="BG252" i="1"/>
  <c r="BG251" i="1"/>
  <c r="BG250" i="1"/>
  <c r="BG249" i="1"/>
  <c r="BG248" i="1"/>
  <c r="BG247" i="1"/>
  <c r="BG246" i="1"/>
  <c r="BG245" i="1"/>
  <c r="BG244" i="1"/>
  <c r="BG243" i="1"/>
  <c r="BG242" i="1"/>
  <c r="BG241" i="1"/>
  <c r="BG240" i="1"/>
  <c r="BG239" i="1"/>
  <c r="BG238" i="1"/>
  <c r="BG237" i="1"/>
  <c r="BG236" i="1"/>
  <c r="BG235" i="1"/>
  <c r="BG234" i="1"/>
  <c r="BG233" i="1"/>
  <c r="BG232" i="1"/>
  <c r="BG231" i="1"/>
  <c r="BG230" i="1"/>
  <c r="BG229" i="1"/>
  <c r="BG228" i="1"/>
  <c r="BG227" i="1"/>
  <c r="BG226" i="1"/>
  <c r="BG225" i="1"/>
  <c r="BG224" i="1"/>
  <c r="BG223" i="1"/>
  <c r="BG222" i="1"/>
  <c r="BG221" i="1"/>
  <c r="BG220" i="1"/>
  <c r="BG219" i="1"/>
  <c r="BG218" i="1"/>
  <c r="BG217" i="1"/>
  <c r="BG216" i="1"/>
  <c r="BG215" i="1"/>
  <c r="BG214" i="1"/>
  <c r="BG213" i="1"/>
  <c r="BG212" i="1"/>
  <c r="BG211" i="1"/>
  <c r="BG210" i="1"/>
  <c r="BG209" i="1"/>
  <c r="BG208" i="1"/>
  <c r="BG207" i="1"/>
  <c r="BG206" i="1"/>
  <c r="BG205" i="1"/>
  <c r="BG204" i="1"/>
  <c r="BG203" i="1"/>
  <c r="BG202" i="1"/>
  <c r="BG201" i="1"/>
  <c r="BG200" i="1"/>
  <c r="BG199" i="1"/>
  <c r="BG197" i="1"/>
  <c r="BG196" i="1"/>
  <c r="BG195" i="1"/>
  <c r="BG194" i="1"/>
  <c r="BG193" i="1"/>
  <c r="BG190" i="1"/>
  <c r="BG189" i="1"/>
  <c r="BG188" i="1"/>
  <c r="BG187" i="1"/>
  <c r="BG186" i="1"/>
  <c r="BG185" i="1"/>
  <c r="BG184" i="1"/>
  <c r="BG183" i="1"/>
  <c r="BG182" i="1"/>
  <c r="BG181" i="1"/>
  <c r="BG180" i="1"/>
  <c r="BG179" i="1"/>
  <c r="BG177" i="1"/>
  <c r="BG176" i="1"/>
  <c r="BG175" i="1"/>
  <c r="BG174" i="1"/>
  <c r="BG173" i="1"/>
  <c r="BG172" i="1"/>
  <c r="BG170" i="1"/>
  <c r="BG169" i="1"/>
  <c r="BG168" i="1"/>
  <c r="BG167" i="1"/>
  <c r="BG166" i="1"/>
  <c r="BG165" i="1"/>
  <c r="BG164" i="1"/>
  <c r="BG163" i="1"/>
  <c r="BG162" i="1"/>
  <c r="BG161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T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12" i="1"/>
  <c r="AP13" i="1"/>
  <c r="AP14" i="1"/>
  <c r="AP15" i="1"/>
  <c r="AP16" i="1"/>
  <c r="AP17" i="1"/>
  <c r="AP11" i="1"/>
  <c r="AT11" i="1"/>
  <c r="Y18" i="1"/>
  <c r="Y19" i="1"/>
  <c r="Y20" i="1"/>
  <c r="Y21" i="1"/>
  <c r="Y22" i="1"/>
  <c r="Y23" i="1"/>
  <c r="Y24" i="1"/>
  <c r="AC24" i="1"/>
  <c r="Y25" i="1"/>
  <c r="AB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12" i="1"/>
  <c r="Y13" i="1"/>
  <c r="Y14" i="1"/>
  <c r="Y15" i="1"/>
  <c r="Y16" i="1"/>
  <c r="Y17" i="1"/>
  <c r="Z11" i="1"/>
  <c r="Y11" i="1"/>
  <c r="AB11" i="1"/>
  <c r="GN318" i="1"/>
  <c r="GN317" i="1"/>
  <c r="GN316" i="1"/>
  <c r="GN315" i="1"/>
  <c r="GN314" i="1"/>
  <c r="GN313" i="1"/>
  <c r="GN312" i="1"/>
  <c r="GN311" i="1"/>
  <c r="GN310" i="1"/>
  <c r="GN309" i="1"/>
  <c r="GN308" i="1"/>
  <c r="GN307" i="1"/>
  <c r="GN306" i="1"/>
  <c r="GN305" i="1"/>
  <c r="GN304" i="1"/>
  <c r="GN303" i="1"/>
  <c r="GN302" i="1"/>
  <c r="GN301" i="1"/>
  <c r="GN300" i="1"/>
  <c r="GN299" i="1"/>
  <c r="GN298" i="1"/>
  <c r="GN297" i="1"/>
  <c r="GN296" i="1"/>
  <c r="GN295" i="1"/>
  <c r="GN294" i="1"/>
  <c r="GN293" i="1"/>
  <c r="GN292" i="1"/>
  <c r="GN291" i="1"/>
  <c r="GN290" i="1"/>
  <c r="GN289" i="1"/>
  <c r="GN288" i="1"/>
  <c r="GN287" i="1"/>
  <c r="GN286" i="1"/>
  <c r="GN285" i="1"/>
  <c r="GN284" i="1"/>
  <c r="GN283" i="1"/>
  <c r="GN282" i="1"/>
  <c r="GN281" i="1"/>
  <c r="GN280" i="1"/>
  <c r="GN279" i="1"/>
  <c r="GN278" i="1"/>
  <c r="GN277" i="1"/>
  <c r="GN276" i="1"/>
  <c r="GN275" i="1"/>
  <c r="GN274" i="1"/>
  <c r="GN273" i="1"/>
  <c r="GN272" i="1"/>
  <c r="GN271" i="1"/>
  <c r="GN270" i="1"/>
  <c r="GN269" i="1"/>
  <c r="GN268" i="1"/>
  <c r="GN267" i="1"/>
  <c r="GN266" i="1"/>
  <c r="GN265" i="1"/>
  <c r="GN264" i="1"/>
  <c r="GN263" i="1"/>
  <c r="GN262" i="1"/>
  <c r="GN261" i="1"/>
  <c r="GN260" i="1"/>
  <c r="GN259" i="1"/>
  <c r="GN258" i="1"/>
  <c r="GN257" i="1"/>
  <c r="GN256" i="1"/>
  <c r="GN255" i="1"/>
  <c r="GN254" i="1"/>
  <c r="GN253" i="1"/>
  <c r="GN252" i="1"/>
  <c r="GN251" i="1"/>
  <c r="GN250" i="1"/>
  <c r="GN249" i="1"/>
  <c r="GN248" i="1"/>
  <c r="GN247" i="1"/>
  <c r="GN246" i="1"/>
  <c r="GN245" i="1"/>
  <c r="GN244" i="1"/>
  <c r="GN243" i="1"/>
  <c r="GN242" i="1"/>
  <c r="GN241" i="1"/>
  <c r="GN240" i="1"/>
  <c r="GN239" i="1"/>
  <c r="GN238" i="1"/>
  <c r="GN237" i="1"/>
  <c r="GN236" i="1"/>
  <c r="GN235" i="1"/>
  <c r="GN234" i="1"/>
  <c r="GN233" i="1"/>
  <c r="GN232" i="1"/>
  <c r="GN231" i="1"/>
  <c r="GN230" i="1"/>
  <c r="GN229" i="1"/>
  <c r="GN228" i="1"/>
  <c r="GN227" i="1"/>
  <c r="GN226" i="1"/>
  <c r="GN225" i="1"/>
  <c r="GN224" i="1"/>
  <c r="GN223" i="1"/>
  <c r="GN222" i="1"/>
  <c r="GN221" i="1"/>
  <c r="GN220" i="1"/>
  <c r="GN219" i="1"/>
  <c r="GN218" i="1"/>
  <c r="GN217" i="1"/>
  <c r="GN216" i="1"/>
  <c r="GN215" i="1"/>
  <c r="GN214" i="1"/>
  <c r="GN213" i="1"/>
  <c r="GN212" i="1"/>
  <c r="GN211" i="1"/>
  <c r="GN210" i="1"/>
  <c r="GN209" i="1"/>
  <c r="GN208" i="1"/>
  <c r="GN207" i="1"/>
  <c r="GN206" i="1"/>
  <c r="GN205" i="1"/>
  <c r="GN204" i="1"/>
  <c r="GN203" i="1"/>
  <c r="GN202" i="1"/>
  <c r="GN201" i="1"/>
  <c r="GN200" i="1"/>
  <c r="GN199" i="1"/>
  <c r="GN198" i="1"/>
  <c r="GN197" i="1"/>
  <c r="GN196" i="1"/>
  <c r="GN194" i="1"/>
  <c r="GN193" i="1"/>
  <c r="GN192" i="1"/>
  <c r="GN191" i="1"/>
  <c r="GN190" i="1"/>
  <c r="GN189" i="1"/>
  <c r="GN188" i="1"/>
  <c r="GN187" i="1"/>
  <c r="GN186" i="1"/>
  <c r="GN185" i="1"/>
  <c r="GN184" i="1"/>
  <c r="GN183" i="1"/>
  <c r="GN182" i="1"/>
  <c r="GN181" i="1"/>
  <c r="GN180" i="1"/>
  <c r="GN179" i="1"/>
  <c r="GN178" i="1"/>
  <c r="GN177" i="1"/>
  <c r="GN176" i="1"/>
  <c r="GN175" i="1"/>
  <c r="GN174" i="1"/>
  <c r="GN173" i="1"/>
  <c r="GN172" i="1"/>
  <c r="GN171" i="1"/>
  <c r="GN170" i="1"/>
  <c r="GN169" i="1"/>
  <c r="GN168" i="1"/>
  <c r="GN167" i="1"/>
  <c r="GN166" i="1"/>
  <c r="GN165" i="1"/>
  <c r="GN164" i="1"/>
  <c r="GN163" i="1"/>
  <c r="GN162" i="1"/>
  <c r="GN161" i="1"/>
  <c r="GN160" i="1"/>
  <c r="GN159" i="1"/>
  <c r="GN158" i="1"/>
  <c r="GN157" i="1"/>
  <c r="GN156" i="1"/>
  <c r="GN155" i="1"/>
  <c r="GN154" i="1"/>
  <c r="GN153" i="1"/>
  <c r="GN152" i="1"/>
  <c r="GN151" i="1"/>
  <c r="GN150" i="1"/>
  <c r="GN149" i="1"/>
  <c r="GN148" i="1"/>
  <c r="GN147" i="1"/>
  <c r="GN146" i="1"/>
  <c r="GN145" i="1"/>
  <c r="GN144" i="1"/>
  <c r="GN143" i="1"/>
  <c r="GN142" i="1"/>
  <c r="GN141" i="1"/>
  <c r="GN140" i="1"/>
  <c r="GN139" i="1"/>
  <c r="GN138" i="1"/>
  <c r="GN137" i="1"/>
  <c r="GN136" i="1"/>
  <c r="GN135" i="1"/>
  <c r="GN134" i="1"/>
  <c r="GN133" i="1"/>
  <c r="GN132" i="1"/>
  <c r="GN131" i="1"/>
  <c r="GN130" i="1"/>
  <c r="GN129" i="1"/>
  <c r="GN128" i="1"/>
  <c r="GN127" i="1"/>
  <c r="GN126" i="1"/>
  <c r="GN125" i="1"/>
  <c r="GN124" i="1"/>
  <c r="GN123" i="1"/>
  <c r="GN122" i="1"/>
  <c r="GN121" i="1"/>
  <c r="GN120" i="1"/>
  <c r="GN119" i="1"/>
  <c r="GN118" i="1"/>
  <c r="GN117" i="1"/>
  <c r="GN116" i="1"/>
  <c r="GN115" i="1"/>
  <c r="GN114" i="1"/>
  <c r="GN113" i="1"/>
  <c r="GN112" i="1"/>
  <c r="GN111" i="1"/>
  <c r="GN110" i="1"/>
  <c r="GN109" i="1"/>
  <c r="GN108" i="1"/>
  <c r="GN107" i="1"/>
  <c r="GN106" i="1"/>
  <c r="GN105" i="1"/>
  <c r="GN104" i="1"/>
  <c r="GN103" i="1"/>
  <c r="GN102" i="1"/>
  <c r="GN101" i="1"/>
  <c r="GN100" i="1"/>
  <c r="GN99" i="1"/>
  <c r="GN98" i="1"/>
  <c r="GN97" i="1"/>
  <c r="GN96" i="1"/>
  <c r="GN95" i="1"/>
  <c r="GN94" i="1"/>
  <c r="GN93" i="1"/>
  <c r="GN92" i="1"/>
  <c r="GN91" i="1"/>
  <c r="GN90" i="1"/>
  <c r="GN89" i="1"/>
  <c r="GN88" i="1"/>
  <c r="GN87" i="1"/>
  <c r="GN86" i="1"/>
  <c r="GN85" i="1"/>
  <c r="GN84" i="1"/>
  <c r="GN83" i="1"/>
  <c r="GN82" i="1"/>
  <c r="GN81" i="1"/>
  <c r="GN80" i="1"/>
  <c r="GN79" i="1"/>
  <c r="GN78" i="1"/>
  <c r="GN77" i="1"/>
  <c r="GN76" i="1"/>
  <c r="GN75" i="1"/>
  <c r="GN74" i="1"/>
  <c r="GN73" i="1"/>
  <c r="GN72" i="1"/>
  <c r="GN71" i="1"/>
  <c r="GN70" i="1"/>
  <c r="GN69" i="1"/>
  <c r="GN68" i="1"/>
  <c r="GN67" i="1"/>
  <c r="GN66" i="1"/>
  <c r="GN65" i="1"/>
  <c r="GN64" i="1"/>
  <c r="GN63" i="1"/>
  <c r="GN62" i="1"/>
  <c r="GN61" i="1"/>
  <c r="GN60" i="1"/>
  <c r="GN59" i="1"/>
  <c r="GN58" i="1"/>
  <c r="GN57" i="1"/>
  <c r="GN56" i="1"/>
  <c r="GN55" i="1"/>
  <c r="GN54" i="1"/>
  <c r="GN53" i="1"/>
  <c r="GN52" i="1"/>
  <c r="GN51" i="1"/>
  <c r="GN50" i="1"/>
  <c r="GN49" i="1"/>
  <c r="GN48" i="1"/>
  <c r="GN47" i="1"/>
  <c r="GN46" i="1"/>
  <c r="GN45" i="1"/>
  <c r="GN44" i="1"/>
  <c r="GN43" i="1"/>
  <c r="GN42" i="1"/>
  <c r="GN41" i="1"/>
  <c r="GN40" i="1"/>
  <c r="GN39" i="1"/>
  <c r="GN38" i="1"/>
  <c r="GN37" i="1"/>
  <c r="GN36" i="1"/>
  <c r="GN35" i="1"/>
  <c r="GN34" i="1"/>
  <c r="GN33" i="1"/>
  <c r="GN32" i="1"/>
  <c r="GN31" i="1"/>
  <c r="GN30" i="1"/>
  <c r="GN29" i="1"/>
  <c r="GN28" i="1"/>
  <c r="GN27" i="1"/>
  <c r="GN26" i="1"/>
  <c r="GN25" i="1"/>
  <c r="GN24" i="1"/>
  <c r="GN23" i="1"/>
  <c r="GN22" i="1"/>
  <c r="GN21" i="1"/>
  <c r="GN20" i="1"/>
  <c r="GN19" i="1"/>
  <c r="GN18" i="1"/>
  <c r="GN17" i="1"/>
  <c r="GN16" i="1"/>
  <c r="GN15" i="1"/>
  <c r="GN14" i="1"/>
  <c r="GN13" i="1"/>
  <c r="GN12" i="1"/>
  <c r="GN11" i="1"/>
  <c r="FW318" i="1"/>
  <c r="FW317" i="1"/>
  <c r="FW316" i="1"/>
  <c r="FW315" i="1"/>
  <c r="FW314" i="1"/>
  <c r="FW313" i="1"/>
  <c r="FW312" i="1"/>
  <c r="FW311" i="1"/>
  <c r="FW310" i="1"/>
  <c r="FW309" i="1"/>
  <c r="FW308" i="1"/>
  <c r="FW307" i="1"/>
  <c r="FW306" i="1"/>
  <c r="FW305" i="1"/>
  <c r="FW304" i="1"/>
  <c r="FW303" i="1"/>
  <c r="FW302" i="1"/>
  <c r="FW301" i="1"/>
  <c r="FW300" i="1"/>
  <c r="FW299" i="1"/>
  <c r="FW298" i="1"/>
  <c r="FW297" i="1"/>
  <c r="FW296" i="1"/>
  <c r="FW295" i="1"/>
  <c r="FW294" i="1"/>
  <c r="FW293" i="1"/>
  <c r="FW292" i="1"/>
  <c r="FW291" i="1"/>
  <c r="FW290" i="1"/>
  <c r="FW289" i="1"/>
  <c r="FW288" i="1"/>
  <c r="FW287" i="1"/>
  <c r="FW286" i="1"/>
  <c r="FW285" i="1"/>
  <c r="FW284" i="1"/>
  <c r="FW283" i="1"/>
  <c r="FW282" i="1"/>
  <c r="FW281" i="1"/>
  <c r="FW280" i="1"/>
  <c r="FW279" i="1"/>
  <c r="FW278" i="1"/>
  <c r="FW277" i="1"/>
  <c r="FW276" i="1"/>
  <c r="FW275" i="1"/>
  <c r="FW274" i="1"/>
  <c r="FW273" i="1"/>
  <c r="FW272" i="1"/>
  <c r="FW271" i="1"/>
  <c r="FW270" i="1"/>
  <c r="FW269" i="1"/>
  <c r="FW268" i="1"/>
  <c r="FW267" i="1"/>
  <c r="FW266" i="1"/>
  <c r="FW265" i="1"/>
  <c r="FW264" i="1"/>
  <c r="FW263" i="1"/>
  <c r="FW262" i="1"/>
  <c r="FW261" i="1"/>
  <c r="FW260" i="1"/>
  <c r="FW259" i="1"/>
  <c r="FW258" i="1"/>
  <c r="FW257" i="1"/>
  <c r="FW256" i="1"/>
  <c r="FW255" i="1"/>
  <c r="FW254" i="1"/>
  <c r="FW253" i="1"/>
  <c r="FW252" i="1"/>
  <c r="FW251" i="1"/>
  <c r="FW250" i="1"/>
  <c r="FW249" i="1"/>
  <c r="FW248" i="1"/>
  <c r="FW247" i="1"/>
  <c r="FW246" i="1"/>
  <c r="FW245" i="1"/>
  <c r="FW244" i="1"/>
  <c r="FW243" i="1"/>
  <c r="FW242" i="1"/>
  <c r="FW241" i="1"/>
  <c r="FW240" i="1"/>
  <c r="FW239" i="1"/>
  <c r="FW238" i="1"/>
  <c r="FW237" i="1"/>
  <c r="FW236" i="1"/>
  <c r="FW235" i="1"/>
  <c r="FW234" i="1"/>
  <c r="FW233" i="1"/>
  <c r="FW232" i="1"/>
  <c r="FW231" i="1"/>
  <c r="FW230" i="1"/>
  <c r="FW229" i="1"/>
  <c r="FW228" i="1"/>
  <c r="FW227" i="1"/>
  <c r="FW226" i="1"/>
  <c r="FW225" i="1"/>
  <c r="FW224" i="1"/>
  <c r="FW223" i="1"/>
  <c r="FW222" i="1"/>
  <c r="FW221" i="1"/>
  <c r="FW220" i="1"/>
  <c r="FW219" i="1"/>
  <c r="FW218" i="1"/>
  <c r="FW217" i="1"/>
  <c r="FW216" i="1"/>
  <c r="FW215" i="1"/>
  <c r="FW214" i="1"/>
  <c r="FW213" i="1"/>
  <c r="FW212" i="1"/>
  <c r="FW211" i="1"/>
  <c r="FW210" i="1"/>
  <c r="FW209" i="1"/>
  <c r="FW208" i="1"/>
  <c r="FW207" i="1"/>
  <c r="FW206" i="1"/>
  <c r="FW205" i="1"/>
  <c r="FW204" i="1"/>
  <c r="FW203" i="1"/>
  <c r="FW202" i="1"/>
  <c r="FW201" i="1"/>
  <c r="FW200" i="1"/>
  <c r="FW199" i="1"/>
  <c r="FW198" i="1"/>
  <c r="FW197" i="1"/>
  <c r="FW196" i="1"/>
  <c r="FW194" i="1"/>
  <c r="FW193" i="1"/>
  <c r="FW192" i="1"/>
  <c r="FW191" i="1"/>
  <c r="FW190" i="1"/>
  <c r="FW189" i="1"/>
  <c r="FW188" i="1"/>
  <c r="FW187" i="1"/>
  <c r="FW186" i="1"/>
  <c r="FW185" i="1"/>
  <c r="FW184" i="1"/>
  <c r="FW183" i="1"/>
  <c r="FW182" i="1"/>
  <c r="FW181" i="1"/>
  <c r="FW180" i="1"/>
  <c r="FW179" i="1"/>
  <c r="FW178" i="1"/>
  <c r="FW177" i="1"/>
  <c r="FW176" i="1"/>
  <c r="FW175" i="1"/>
  <c r="FW174" i="1"/>
  <c r="FW173" i="1"/>
  <c r="FW172" i="1"/>
  <c r="FW171" i="1"/>
  <c r="FW170" i="1"/>
  <c r="FW169" i="1"/>
  <c r="FW168" i="1"/>
  <c r="FW167" i="1"/>
  <c r="FW166" i="1"/>
  <c r="FW165" i="1"/>
  <c r="FW164" i="1"/>
  <c r="FW163" i="1"/>
  <c r="FW162" i="1"/>
  <c r="FW161" i="1"/>
  <c r="FW160" i="1"/>
  <c r="FW159" i="1"/>
  <c r="FW158" i="1"/>
  <c r="FW157" i="1"/>
  <c r="FW156" i="1"/>
  <c r="FW155" i="1"/>
  <c r="FW154" i="1"/>
  <c r="FW153" i="1"/>
  <c r="FW152" i="1"/>
  <c r="FW151" i="1"/>
  <c r="FW150" i="1"/>
  <c r="FW149" i="1"/>
  <c r="FW148" i="1"/>
  <c r="FW147" i="1"/>
  <c r="FW146" i="1"/>
  <c r="FW145" i="1"/>
  <c r="FW144" i="1"/>
  <c r="FW143" i="1"/>
  <c r="FW142" i="1"/>
  <c r="FW141" i="1"/>
  <c r="FW140" i="1"/>
  <c r="FW139" i="1"/>
  <c r="FW138" i="1"/>
  <c r="FW137" i="1"/>
  <c r="FW136" i="1"/>
  <c r="FW135" i="1"/>
  <c r="FW134" i="1"/>
  <c r="FW133" i="1"/>
  <c r="FW132" i="1"/>
  <c r="FW131" i="1"/>
  <c r="FW130" i="1"/>
  <c r="FW129" i="1"/>
  <c r="FW128" i="1"/>
  <c r="FW127" i="1"/>
  <c r="FW126" i="1"/>
  <c r="FW125" i="1"/>
  <c r="FW124" i="1"/>
  <c r="FW123" i="1"/>
  <c r="FW122" i="1"/>
  <c r="FW121" i="1"/>
  <c r="FW120" i="1"/>
  <c r="FW119" i="1"/>
  <c r="FW118" i="1"/>
  <c r="FW117" i="1"/>
  <c r="FW116" i="1"/>
  <c r="FW115" i="1"/>
  <c r="FW114" i="1"/>
  <c r="FW113" i="1"/>
  <c r="FW112" i="1"/>
  <c r="FW111" i="1"/>
  <c r="FW110" i="1"/>
  <c r="FW109" i="1"/>
  <c r="FW108" i="1"/>
  <c r="FW107" i="1"/>
  <c r="FW106" i="1"/>
  <c r="FW105" i="1"/>
  <c r="FW104" i="1"/>
  <c r="FW103" i="1"/>
  <c r="FW102" i="1"/>
  <c r="FW101" i="1"/>
  <c r="FW100" i="1"/>
  <c r="FW99" i="1"/>
  <c r="FW98" i="1"/>
  <c r="FW97" i="1"/>
  <c r="FW96" i="1"/>
  <c r="FW95" i="1"/>
  <c r="FW94" i="1"/>
  <c r="FW93" i="1"/>
  <c r="FW92" i="1"/>
  <c r="FW91" i="1"/>
  <c r="FW90" i="1"/>
  <c r="FW89" i="1"/>
  <c r="FW88" i="1"/>
  <c r="FW87" i="1"/>
  <c r="FW86" i="1"/>
  <c r="FW85" i="1"/>
  <c r="FW84" i="1"/>
  <c r="FW83" i="1"/>
  <c r="FW82" i="1"/>
  <c r="FW81" i="1"/>
  <c r="FW80" i="1"/>
  <c r="FW79" i="1"/>
  <c r="FW78" i="1"/>
  <c r="FW77" i="1"/>
  <c r="FW76" i="1"/>
  <c r="FW75" i="1"/>
  <c r="FW74" i="1"/>
  <c r="FW73" i="1"/>
  <c r="FW72" i="1"/>
  <c r="FW71" i="1"/>
  <c r="FW70" i="1"/>
  <c r="FW69" i="1"/>
  <c r="FW68" i="1"/>
  <c r="FW67" i="1"/>
  <c r="FW66" i="1"/>
  <c r="FW65" i="1"/>
  <c r="FW64" i="1"/>
  <c r="FW63" i="1"/>
  <c r="FW62" i="1"/>
  <c r="FW61" i="1"/>
  <c r="FW60" i="1"/>
  <c r="FW59" i="1"/>
  <c r="FW58" i="1"/>
  <c r="FW57" i="1"/>
  <c r="FW56" i="1"/>
  <c r="FW55" i="1"/>
  <c r="FW54" i="1"/>
  <c r="FW53" i="1"/>
  <c r="FW52" i="1"/>
  <c r="FW51" i="1"/>
  <c r="FW50" i="1"/>
  <c r="FW49" i="1"/>
  <c r="FW48" i="1"/>
  <c r="FW47" i="1"/>
  <c r="FW46" i="1"/>
  <c r="FW45" i="1"/>
  <c r="FW44" i="1"/>
  <c r="FW43" i="1"/>
  <c r="FW42" i="1"/>
  <c r="FW41" i="1"/>
  <c r="FW40" i="1"/>
  <c r="FW39" i="1"/>
  <c r="FW38" i="1"/>
  <c r="FW37" i="1"/>
  <c r="FW36" i="1"/>
  <c r="FW35" i="1"/>
  <c r="FW34" i="1"/>
  <c r="FW33" i="1"/>
  <c r="FW32" i="1"/>
  <c r="FW31" i="1"/>
  <c r="FW30" i="1"/>
  <c r="FW29" i="1"/>
  <c r="FW28" i="1"/>
  <c r="FW27" i="1"/>
  <c r="FW26" i="1"/>
  <c r="FW25" i="1"/>
  <c r="FW24" i="1"/>
  <c r="FW23" i="1"/>
  <c r="FW22" i="1"/>
  <c r="FW21" i="1"/>
  <c r="FW20" i="1"/>
  <c r="FW19" i="1"/>
  <c r="FW18" i="1"/>
  <c r="FW17" i="1"/>
  <c r="FW16" i="1"/>
  <c r="FW15" i="1"/>
  <c r="FW14" i="1"/>
  <c r="FW13" i="1"/>
  <c r="FW12" i="1"/>
  <c r="FW11" i="1"/>
  <c r="FF318" i="1"/>
  <c r="FF317" i="1"/>
  <c r="FF316" i="1"/>
  <c r="FF315" i="1"/>
  <c r="FF314" i="1"/>
  <c r="FF313" i="1"/>
  <c r="FF312" i="1"/>
  <c r="FF311" i="1"/>
  <c r="FF310" i="1"/>
  <c r="FF309" i="1"/>
  <c r="FF308" i="1"/>
  <c r="FF307" i="1"/>
  <c r="FF306" i="1"/>
  <c r="FF305" i="1"/>
  <c r="FF304" i="1"/>
  <c r="FF303" i="1"/>
  <c r="FF302" i="1"/>
  <c r="FF301" i="1"/>
  <c r="FF300" i="1"/>
  <c r="FF299" i="1"/>
  <c r="FF298" i="1"/>
  <c r="FF297" i="1"/>
  <c r="FF296" i="1"/>
  <c r="FF295" i="1"/>
  <c r="FF294" i="1"/>
  <c r="FF293" i="1"/>
  <c r="FF292" i="1"/>
  <c r="FF291" i="1"/>
  <c r="FF290" i="1"/>
  <c r="FF289" i="1"/>
  <c r="FF288" i="1"/>
  <c r="FF287" i="1"/>
  <c r="FF286" i="1"/>
  <c r="FF285" i="1"/>
  <c r="FF284" i="1"/>
  <c r="FF283" i="1"/>
  <c r="FF282" i="1"/>
  <c r="FF281" i="1"/>
  <c r="FF280" i="1"/>
  <c r="FF279" i="1"/>
  <c r="FF278" i="1"/>
  <c r="FF277" i="1"/>
  <c r="FF276" i="1"/>
  <c r="FF275" i="1"/>
  <c r="FF274" i="1"/>
  <c r="FF273" i="1"/>
  <c r="FF272" i="1"/>
  <c r="FF271" i="1"/>
  <c r="FF270" i="1"/>
  <c r="FF269" i="1"/>
  <c r="FF268" i="1"/>
  <c r="FF267" i="1"/>
  <c r="FF266" i="1"/>
  <c r="FF265" i="1"/>
  <c r="FF264" i="1"/>
  <c r="FF263" i="1"/>
  <c r="FF262" i="1"/>
  <c r="FF261" i="1"/>
  <c r="FF260" i="1"/>
  <c r="FF259" i="1"/>
  <c r="FF258" i="1"/>
  <c r="FF257" i="1"/>
  <c r="FF256" i="1"/>
  <c r="FF255" i="1"/>
  <c r="FF254" i="1"/>
  <c r="FF253" i="1"/>
  <c r="FF252" i="1"/>
  <c r="FF251" i="1"/>
  <c r="FF250" i="1"/>
  <c r="FF249" i="1"/>
  <c r="FF248" i="1"/>
  <c r="FF247" i="1"/>
  <c r="FF246" i="1"/>
  <c r="FF245" i="1"/>
  <c r="FF244" i="1"/>
  <c r="FF243" i="1"/>
  <c r="FF242" i="1"/>
  <c r="FF241" i="1"/>
  <c r="FF240" i="1"/>
  <c r="FF239" i="1"/>
  <c r="FF238" i="1"/>
  <c r="FF237" i="1"/>
  <c r="FF236" i="1"/>
  <c r="FF235" i="1"/>
  <c r="FF234" i="1"/>
  <c r="FF233" i="1"/>
  <c r="FF232" i="1"/>
  <c r="FF231" i="1"/>
  <c r="FF230" i="1"/>
  <c r="FF229" i="1"/>
  <c r="FF228" i="1"/>
  <c r="FF227" i="1"/>
  <c r="FF226" i="1"/>
  <c r="FF225" i="1"/>
  <c r="FF224" i="1"/>
  <c r="FF223" i="1"/>
  <c r="FF222" i="1"/>
  <c r="FF221" i="1"/>
  <c r="FF220" i="1"/>
  <c r="FF219" i="1"/>
  <c r="FF218" i="1"/>
  <c r="FF217" i="1"/>
  <c r="FF216" i="1"/>
  <c r="FF215" i="1"/>
  <c r="FF214" i="1"/>
  <c r="FF213" i="1"/>
  <c r="FF212" i="1"/>
  <c r="FF211" i="1"/>
  <c r="FF210" i="1"/>
  <c r="FF209" i="1"/>
  <c r="FF208" i="1"/>
  <c r="FF207" i="1"/>
  <c r="FF206" i="1"/>
  <c r="FF205" i="1"/>
  <c r="FF204" i="1"/>
  <c r="FF203" i="1"/>
  <c r="FF202" i="1"/>
  <c r="FF201" i="1"/>
  <c r="FF200" i="1"/>
  <c r="FF199" i="1"/>
  <c r="FF198" i="1"/>
  <c r="FF197" i="1"/>
  <c r="FF196" i="1"/>
  <c r="FF194" i="1"/>
  <c r="FF193" i="1"/>
  <c r="FF192" i="1"/>
  <c r="FF191" i="1"/>
  <c r="FF190" i="1"/>
  <c r="FF189" i="1"/>
  <c r="FF188" i="1"/>
  <c r="FF187" i="1"/>
  <c r="FF186" i="1"/>
  <c r="FF185" i="1"/>
  <c r="FF184" i="1"/>
  <c r="FF183" i="1"/>
  <c r="FF182" i="1"/>
  <c r="FF181" i="1"/>
  <c r="FF180" i="1"/>
  <c r="FF179" i="1"/>
  <c r="FF178" i="1"/>
  <c r="FF177" i="1"/>
  <c r="FF176" i="1"/>
  <c r="FF175" i="1"/>
  <c r="FF174" i="1"/>
  <c r="FF173" i="1"/>
  <c r="FF172" i="1"/>
  <c r="FF171" i="1"/>
  <c r="FF170" i="1"/>
  <c r="FF169" i="1"/>
  <c r="FF168" i="1"/>
  <c r="FF167" i="1"/>
  <c r="FF166" i="1"/>
  <c r="FF165" i="1"/>
  <c r="FF164" i="1"/>
  <c r="FF163" i="1"/>
  <c r="FF162" i="1"/>
  <c r="FF161" i="1"/>
  <c r="FF160" i="1"/>
  <c r="FF159" i="1"/>
  <c r="FF158" i="1"/>
  <c r="FF157" i="1"/>
  <c r="FF156" i="1"/>
  <c r="FF155" i="1"/>
  <c r="FF154" i="1"/>
  <c r="FF153" i="1"/>
  <c r="FF152" i="1"/>
  <c r="FF151" i="1"/>
  <c r="FF150" i="1"/>
  <c r="FF149" i="1"/>
  <c r="FF148" i="1"/>
  <c r="FF147" i="1"/>
  <c r="FF146" i="1"/>
  <c r="FF145" i="1"/>
  <c r="FF144" i="1"/>
  <c r="FF143" i="1"/>
  <c r="FF142" i="1"/>
  <c r="FF141" i="1"/>
  <c r="FF140" i="1"/>
  <c r="FF139" i="1"/>
  <c r="FF138" i="1"/>
  <c r="FF137" i="1"/>
  <c r="FF136" i="1"/>
  <c r="FF135" i="1"/>
  <c r="FF134" i="1"/>
  <c r="FF133" i="1"/>
  <c r="FF132" i="1"/>
  <c r="FF131" i="1"/>
  <c r="FF130" i="1"/>
  <c r="FF129" i="1"/>
  <c r="FF128" i="1"/>
  <c r="FF127" i="1"/>
  <c r="FF126" i="1"/>
  <c r="FF125" i="1"/>
  <c r="FF124" i="1"/>
  <c r="FF123" i="1"/>
  <c r="FF122" i="1"/>
  <c r="FF121" i="1"/>
  <c r="FF120" i="1"/>
  <c r="FF119" i="1"/>
  <c r="FF118" i="1"/>
  <c r="FF117" i="1"/>
  <c r="FF116" i="1"/>
  <c r="FF115" i="1"/>
  <c r="FF114" i="1"/>
  <c r="FF113" i="1"/>
  <c r="FF112" i="1"/>
  <c r="FF111" i="1"/>
  <c r="FF110" i="1"/>
  <c r="FF109" i="1"/>
  <c r="FF108" i="1"/>
  <c r="FF107" i="1"/>
  <c r="FF106" i="1"/>
  <c r="FF105" i="1"/>
  <c r="FF104" i="1"/>
  <c r="FF103" i="1"/>
  <c r="FF102" i="1"/>
  <c r="FF101" i="1"/>
  <c r="FF100" i="1"/>
  <c r="FF99" i="1"/>
  <c r="FF98" i="1"/>
  <c r="FF97" i="1"/>
  <c r="FF96" i="1"/>
  <c r="FF95" i="1"/>
  <c r="FF94" i="1"/>
  <c r="FF93" i="1"/>
  <c r="FF92" i="1"/>
  <c r="FF91" i="1"/>
  <c r="FF90" i="1"/>
  <c r="FF89" i="1"/>
  <c r="FF88" i="1"/>
  <c r="FF87" i="1"/>
  <c r="FF86" i="1"/>
  <c r="FF85" i="1"/>
  <c r="FF84" i="1"/>
  <c r="FF83" i="1"/>
  <c r="FF82" i="1"/>
  <c r="FF81" i="1"/>
  <c r="FF80" i="1"/>
  <c r="FF79" i="1"/>
  <c r="FF78" i="1"/>
  <c r="FF77" i="1"/>
  <c r="FF76" i="1"/>
  <c r="FF75" i="1"/>
  <c r="FF74" i="1"/>
  <c r="FF73" i="1"/>
  <c r="FF72" i="1"/>
  <c r="FF71" i="1"/>
  <c r="FF70" i="1"/>
  <c r="FF69" i="1"/>
  <c r="FF68" i="1"/>
  <c r="FF67" i="1"/>
  <c r="FF66" i="1"/>
  <c r="FF65" i="1"/>
  <c r="FF64" i="1"/>
  <c r="FF63" i="1"/>
  <c r="FF62" i="1"/>
  <c r="FF61" i="1"/>
  <c r="FF60" i="1"/>
  <c r="FF59" i="1"/>
  <c r="FF58" i="1"/>
  <c r="FF57" i="1"/>
  <c r="FF56" i="1"/>
  <c r="FF55" i="1"/>
  <c r="FF54" i="1"/>
  <c r="FF53" i="1"/>
  <c r="FF52" i="1"/>
  <c r="FF51" i="1"/>
  <c r="FF50" i="1"/>
  <c r="FF49" i="1"/>
  <c r="FF48" i="1"/>
  <c r="FF47" i="1"/>
  <c r="FF46" i="1"/>
  <c r="FF45" i="1"/>
  <c r="FF44" i="1"/>
  <c r="FF43" i="1"/>
  <c r="FF42" i="1"/>
  <c r="FF41" i="1"/>
  <c r="FF40" i="1"/>
  <c r="FF39" i="1"/>
  <c r="FF38" i="1"/>
  <c r="FF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EO318" i="1"/>
  <c r="EO317" i="1"/>
  <c r="EO316" i="1"/>
  <c r="EO315" i="1"/>
  <c r="EO314" i="1"/>
  <c r="EO313" i="1"/>
  <c r="EO312" i="1"/>
  <c r="EO311" i="1"/>
  <c r="EO310" i="1"/>
  <c r="EO309" i="1"/>
  <c r="EO308" i="1"/>
  <c r="EO307" i="1"/>
  <c r="EO306" i="1"/>
  <c r="EO305" i="1"/>
  <c r="EO304" i="1"/>
  <c r="EO303" i="1"/>
  <c r="EO302" i="1"/>
  <c r="EO301" i="1"/>
  <c r="EO300" i="1"/>
  <c r="EO299" i="1"/>
  <c r="EO298" i="1"/>
  <c r="EO297" i="1"/>
  <c r="EO296" i="1"/>
  <c r="EO295" i="1"/>
  <c r="EO294" i="1"/>
  <c r="EO293" i="1"/>
  <c r="EO292" i="1"/>
  <c r="EO291" i="1"/>
  <c r="EO290" i="1"/>
  <c r="EO289" i="1"/>
  <c r="EO288" i="1"/>
  <c r="EO287" i="1"/>
  <c r="EO286" i="1"/>
  <c r="EO285" i="1"/>
  <c r="EO284" i="1"/>
  <c r="EO283" i="1"/>
  <c r="EO282" i="1"/>
  <c r="EO281" i="1"/>
  <c r="EO280" i="1"/>
  <c r="EO279" i="1"/>
  <c r="EO278" i="1"/>
  <c r="EO277" i="1"/>
  <c r="EO276" i="1"/>
  <c r="EO275" i="1"/>
  <c r="EO274" i="1"/>
  <c r="EO273" i="1"/>
  <c r="EO272" i="1"/>
  <c r="EO271" i="1"/>
  <c r="EO270" i="1"/>
  <c r="EO269" i="1"/>
  <c r="EO268" i="1"/>
  <c r="EO267" i="1"/>
  <c r="EO266" i="1"/>
  <c r="EO265" i="1"/>
  <c r="EO264" i="1"/>
  <c r="EO263" i="1"/>
  <c r="EO262" i="1"/>
  <c r="EO261" i="1"/>
  <c r="EO260" i="1"/>
  <c r="EO259" i="1"/>
  <c r="EO258" i="1"/>
  <c r="EO257" i="1"/>
  <c r="EO256" i="1"/>
  <c r="EO255" i="1"/>
  <c r="EO254" i="1"/>
  <c r="EO253" i="1"/>
  <c r="EO252" i="1"/>
  <c r="EO251" i="1"/>
  <c r="EO250" i="1"/>
  <c r="EO249" i="1"/>
  <c r="EO248" i="1"/>
  <c r="EO247" i="1"/>
  <c r="EO246" i="1"/>
  <c r="EO245" i="1"/>
  <c r="EO244" i="1"/>
  <c r="EO243" i="1"/>
  <c r="EO242" i="1"/>
  <c r="EO241" i="1"/>
  <c r="EO240" i="1"/>
  <c r="EO239" i="1"/>
  <c r="EO238" i="1"/>
  <c r="EO237" i="1"/>
  <c r="EO236" i="1"/>
  <c r="EO235" i="1"/>
  <c r="EO234" i="1"/>
  <c r="EO233" i="1"/>
  <c r="EO232" i="1"/>
  <c r="EO231" i="1"/>
  <c r="EO230" i="1"/>
  <c r="EO229" i="1"/>
  <c r="EO228" i="1"/>
  <c r="EO227" i="1"/>
  <c r="EO226" i="1"/>
  <c r="EO225" i="1"/>
  <c r="EO224" i="1"/>
  <c r="EO223" i="1"/>
  <c r="EO222" i="1"/>
  <c r="EO221" i="1"/>
  <c r="EO220" i="1"/>
  <c r="EO219" i="1"/>
  <c r="EO218" i="1"/>
  <c r="EO217" i="1"/>
  <c r="EO216" i="1"/>
  <c r="EO215" i="1"/>
  <c r="EO214" i="1"/>
  <c r="EO213" i="1"/>
  <c r="EO212" i="1"/>
  <c r="EO211" i="1"/>
  <c r="EO210" i="1"/>
  <c r="EO209" i="1"/>
  <c r="EO208" i="1"/>
  <c r="EO207" i="1"/>
  <c r="EO206" i="1"/>
  <c r="EO205" i="1"/>
  <c r="EO204" i="1"/>
  <c r="EO203" i="1"/>
  <c r="EO202" i="1"/>
  <c r="EO201" i="1"/>
  <c r="EO200" i="1"/>
  <c r="EO199" i="1"/>
  <c r="EO198" i="1"/>
  <c r="EO197" i="1"/>
  <c r="EO196" i="1"/>
  <c r="EO194" i="1"/>
  <c r="EO193" i="1"/>
  <c r="EO192" i="1"/>
  <c r="EO191" i="1"/>
  <c r="EO190" i="1"/>
  <c r="EO189" i="1"/>
  <c r="EO188" i="1"/>
  <c r="EO186" i="1"/>
  <c r="EO185" i="1"/>
  <c r="EO184" i="1"/>
  <c r="EO183" i="1"/>
  <c r="EO182" i="1"/>
  <c r="EO181" i="1"/>
  <c r="EO180" i="1"/>
  <c r="EO179" i="1"/>
  <c r="EO178" i="1"/>
  <c r="EO177" i="1"/>
  <c r="EO176" i="1"/>
  <c r="EO175" i="1"/>
  <c r="EO174" i="1"/>
  <c r="EO173" i="1"/>
  <c r="EO172" i="1"/>
  <c r="EO171" i="1"/>
  <c r="EO170" i="1"/>
  <c r="EO169" i="1"/>
  <c r="EO168" i="1"/>
  <c r="EO167" i="1"/>
  <c r="EO166" i="1"/>
  <c r="EO165" i="1"/>
  <c r="EO164" i="1"/>
  <c r="EO163" i="1"/>
  <c r="EO162" i="1"/>
  <c r="EO161" i="1"/>
  <c r="EO160" i="1"/>
  <c r="EO159" i="1"/>
  <c r="EO158" i="1"/>
  <c r="EO157" i="1"/>
  <c r="EO156" i="1"/>
  <c r="EO155" i="1"/>
  <c r="EO154" i="1"/>
  <c r="EO153" i="1"/>
  <c r="EO152" i="1"/>
  <c r="EO151" i="1"/>
  <c r="EO150" i="1"/>
  <c r="EO149" i="1"/>
  <c r="EO148" i="1"/>
  <c r="EO147" i="1"/>
  <c r="EO146" i="1"/>
  <c r="EO145" i="1"/>
  <c r="EO144" i="1"/>
  <c r="EO143" i="1"/>
  <c r="EO142" i="1"/>
  <c r="EO141" i="1"/>
  <c r="EO140" i="1"/>
  <c r="EO139" i="1"/>
  <c r="EO138" i="1"/>
  <c r="EO137" i="1"/>
  <c r="EO136" i="1"/>
  <c r="EO135" i="1"/>
  <c r="EO134" i="1"/>
  <c r="EO133" i="1"/>
  <c r="EO132" i="1"/>
  <c r="EO131" i="1"/>
  <c r="EO130" i="1"/>
  <c r="EO129" i="1"/>
  <c r="EO128" i="1"/>
  <c r="EO127" i="1"/>
  <c r="EO126" i="1"/>
  <c r="EO125" i="1"/>
  <c r="EO124" i="1"/>
  <c r="EO123" i="1"/>
  <c r="EO122" i="1"/>
  <c r="EO121" i="1"/>
  <c r="EO120" i="1"/>
  <c r="EO119" i="1"/>
  <c r="EO118" i="1"/>
  <c r="EO117" i="1"/>
  <c r="EO116" i="1"/>
  <c r="EO115" i="1"/>
  <c r="EO114" i="1"/>
  <c r="EO113" i="1"/>
  <c r="EO112" i="1"/>
  <c r="EO111" i="1"/>
  <c r="EO110" i="1"/>
  <c r="EO109" i="1"/>
  <c r="EO108" i="1"/>
  <c r="EO107" i="1"/>
  <c r="EO106" i="1"/>
  <c r="EO105" i="1"/>
  <c r="EO104" i="1"/>
  <c r="EO103" i="1"/>
  <c r="EO102" i="1"/>
  <c r="EO101" i="1"/>
  <c r="EO100" i="1"/>
  <c r="EO99" i="1"/>
  <c r="EO98" i="1"/>
  <c r="EO97" i="1"/>
  <c r="EO96" i="1"/>
  <c r="EO95" i="1"/>
  <c r="EO94" i="1"/>
  <c r="EO93" i="1"/>
  <c r="EO92" i="1"/>
  <c r="EO91" i="1"/>
  <c r="EO90" i="1"/>
  <c r="EO89" i="1"/>
  <c r="EO88" i="1"/>
  <c r="EO87" i="1"/>
  <c r="EO86" i="1"/>
  <c r="EO85" i="1"/>
  <c r="EO84" i="1"/>
  <c r="EO83" i="1"/>
  <c r="EO82" i="1"/>
  <c r="EO81" i="1"/>
  <c r="EO80" i="1"/>
  <c r="EO79" i="1"/>
  <c r="EO78" i="1"/>
  <c r="EO77" i="1"/>
  <c r="EO76" i="1"/>
  <c r="EO75" i="1"/>
  <c r="EO74" i="1"/>
  <c r="EO73" i="1"/>
  <c r="EO72" i="1"/>
  <c r="EO71" i="1"/>
  <c r="EO70" i="1"/>
  <c r="EO69" i="1"/>
  <c r="EO68" i="1"/>
  <c r="EO67" i="1"/>
  <c r="EO66" i="1"/>
  <c r="EO65" i="1"/>
  <c r="EO64" i="1"/>
  <c r="EO63" i="1"/>
  <c r="EO62" i="1"/>
  <c r="EO61" i="1"/>
  <c r="EO60" i="1"/>
  <c r="EO59" i="1"/>
  <c r="EO58" i="1"/>
  <c r="EO57" i="1"/>
  <c r="EO56" i="1"/>
  <c r="EO55" i="1"/>
  <c r="EO54" i="1"/>
  <c r="EO53" i="1"/>
  <c r="EO52" i="1"/>
  <c r="EO51" i="1"/>
  <c r="EO50" i="1"/>
  <c r="EO49" i="1"/>
  <c r="EO48" i="1"/>
  <c r="EO47" i="1"/>
  <c r="EO46" i="1"/>
  <c r="EO45" i="1"/>
  <c r="EO44" i="1"/>
  <c r="EO43" i="1"/>
  <c r="EO42" i="1"/>
  <c r="EO41" i="1"/>
  <c r="EO40" i="1"/>
  <c r="EO39" i="1"/>
  <c r="EO38" i="1"/>
  <c r="EO37" i="1"/>
  <c r="EO36" i="1"/>
  <c r="EO35" i="1"/>
  <c r="EO34" i="1"/>
  <c r="EO33" i="1"/>
  <c r="EO32" i="1"/>
  <c r="EO31" i="1"/>
  <c r="EO30" i="1"/>
  <c r="EO29" i="1"/>
  <c r="EO28" i="1"/>
  <c r="EO27" i="1"/>
  <c r="EO26" i="1"/>
  <c r="EO25" i="1"/>
  <c r="EO24" i="1"/>
  <c r="EO23" i="1"/>
  <c r="EO22" i="1"/>
  <c r="EO21" i="1"/>
  <c r="EO20" i="1"/>
  <c r="EO19" i="1"/>
  <c r="EO18" i="1"/>
  <c r="EO17" i="1"/>
  <c r="EO16" i="1"/>
  <c r="EO15" i="1"/>
  <c r="EO14" i="1"/>
  <c r="EO13" i="1"/>
  <c r="EO12" i="1"/>
  <c r="EO11" i="1"/>
  <c r="DX318" i="1"/>
  <c r="DX317" i="1"/>
  <c r="DX316" i="1"/>
  <c r="DX315" i="1"/>
  <c r="DX314" i="1"/>
  <c r="DX313" i="1"/>
  <c r="DX312" i="1"/>
  <c r="DX311" i="1"/>
  <c r="DX310" i="1"/>
  <c r="DX309" i="1"/>
  <c r="DX308" i="1"/>
  <c r="DX307" i="1"/>
  <c r="DX306" i="1"/>
  <c r="DX305" i="1"/>
  <c r="DX304" i="1"/>
  <c r="DX303" i="1"/>
  <c r="DX302" i="1"/>
  <c r="DX301" i="1"/>
  <c r="DX300" i="1"/>
  <c r="DX299" i="1"/>
  <c r="DX298" i="1"/>
  <c r="DX297" i="1"/>
  <c r="DX296" i="1"/>
  <c r="DX295" i="1"/>
  <c r="DX294" i="1"/>
  <c r="DX293" i="1"/>
  <c r="DX292" i="1"/>
  <c r="DX291" i="1"/>
  <c r="DX290" i="1"/>
  <c r="DX289" i="1"/>
  <c r="DX288" i="1"/>
  <c r="DX287" i="1"/>
  <c r="DX286" i="1"/>
  <c r="DX285" i="1"/>
  <c r="DX284" i="1"/>
  <c r="DX283" i="1"/>
  <c r="DX282" i="1"/>
  <c r="DX281" i="1"/>
  <c r="DX280" i="1"/>
  <c r="DX279" i="1"/>
  <c r="DX278" i="1"/>
  <c r="DX277" i="1"/>
  <c r="DX276" i="1"/>
  <c r="DX275" i="1"/>
  <c r="DX274" i="1"/>
  <c r="DX273" i="1"/>
  <c r="DX272" i="1"/>
  <c r="DX271" i="1"/>
  <c r="DX270" i="1"/>
  <c r="DX269" i="1"/>
  <c r="DX268" i="1"/>
  <c r="DX267" i="1"/>
  <c r="DX266" i="1"/>
  <c r="DX265" i="1"/>
  <c r="DX264" i="1"/>
  <c r="DX263" i="1"/>
  <c r="DX262" i="1"/>
  <c r="DX261" i="1"/>
  <c r="DX260" i="1"/>
  <c r="DX259" i="1"/>
  <c r="DX258" i="1"/>
  <c r="DX257" i="1"/>
  <c r="DX256" i="1"/>
  <c r="DX255" i="1"/>
  <c r="DX254" i="1"/>
  <c r="DX253" i="1"/>
  <c r="DX252" i="1"/>
  <c r="DX251" i="1"/>
  <c r="DX250" i="1"/>
  <c r="DX249" i="1"/>
  <c r="DX248" i="1"/>
  <c r="DX247" i="1"/>
  <c r="DX246" i="1"/>
  <c r="DX245" i="1"/>
  <c r="DX244" i="1"/>
  <c r="DX243" i="1"/>
  <c r="DX242" i="1"/>
  <c r="DX241" i="1"/>
  <c r="DX240" i="1"/>
  <c r="DX239" i="1"/>
  <c r="DX238" i="1"/>
  <c r="DX237" i="1"/>
  <c r="DX236" i="1"/>
  <c r="DX235" i="1"/>
  <c r="DX234" i="1"/>
  <c r="DX233" i="1"/>
  <c r="DX232" i="1"/>
  <c r="DX231" i="1"/>
  <c r="DX230" i="1"/>
  <c r="DX229" i="1"/>
  <c r="DX228" i="1"/>
  <c r="DX227" i="1"/>
  <c r="DX226" i="1"/>
  <c r="DX225" i="1"/>
  <c r="DX224" i="1"/>
  <c r="DX223" i="1"/>
  <c r="DX222" i="1"/>
  <c r="DX221" i="1"/>
  <c r="DX220" i="1"/>
  <c r="DX219" i="1"/>
  <c r="DX218" i="1"/>
  <c r="DX217" i="1"/>
  <c r="DX216" i="1"/>
  <c r="DX215" i="1"/>
  <c r="DX214" i="1"/>
  <c r="DX213" i="1"/>
  <c r="DX212" i="1"/>
  <c r="DX211" i="1"/>
  <c r="DX210" i="1"/>
  <c r="DX209" i="1"/>
  <c r="DX208" i="1"/>
  <c r="DX207" i="1"/>
  <c r="DX206" i="1"/>
  <c r="DX205" i="1"/>
  <c r="DX204" i="1"/>
  <c r="DX203" i="1"/>
  <c r="DX202" i="1"/>
  <c r="DX201" i="1"/>
  <c r="DX200" i="1"/>
  <c r="DX199" i="1"/>
  <c r="DX198" i="1"/>
  <c r="DX197" i="1"/>
  <c r="DX196" i="1"/>
  <c r="DX194" i="1"/>
  <c r="DX193" i="1"/>
  <c r="DX192" i="1"/>
  <c r="DX191" i="1"/>
  <c r="DX190" i="1"/>
  <c r="DX189" i="1"/>
  <c r="DX188" i="1"/>
  <c r="DX187" i="1"/>
  <c r="DX186" i="1"/>
  <c r="DX185" i="1"/>
  <c r="DX184" i="1"/>
  <c r="DX183" i="1"/>
  <c r="DX182" i="1"/>
  <c r="DX181" i="1"/>
  <c r="DX180" i="1"/>
  <c r="DX179" i="1"/>
  <c r="DX178" i="1"/>
  <c r="DX177" i="1"/>
  <c r="DX176" i="1"/>
  <c r="DX175" i="1"/>
  <c r="DX174" i="1"/>
  <c r="DX173" i="1"/>
  <c r="DX172" i="1"/>
  <c r="DX171" i="1"/>
  <c r="DX170" i="1"/>
  <c r="DX169" i="1"/>
  <c r="DX168" i="1"/>
  <c r="DX167" i="1"/>
  <c r="DX166" i="1"/>
  <c r="DX165" i="1"/>
  <c r="DX164" i="1"/>
  <c r="DX163" i="1"/>
  <c r="DX162" i="1"/>
  <c r="DX161" i="1"/>
  <c r="DX160" i="1"/>
  <c r="DX159" i="1"/>
  <c r="DX158" i="1"/>
  <c r="DX157" i="1"/>
  <c r="DX156" i="1"/>
  <c r="DX155" i="1"/>
  <c r="DX154" i="1"/>
  <c r="DX153" i="1"/>
  <c r="DX152" i="1"/>
  <c r="DX151" i="1"/>
  <c r="DX150" i="1"/>
  <c r="DX149" i="1"/>
  <c r="DX148" i="1"/>
  <c r="DX147" i="1"/>
  <c r="DX146" i="1"/>
  <c r="DX145" i="1"/>
  <c r="DX144" i="1"/>
  <c r="DX143" i="1"/>
  <c r="DX142" i="1"/>
  <c r="DX141" i="1"/>
  <c r="DX140" i="1"/>
  <c r="DX139" i="1"/>
  <c r="DX138" i="1"/>
  <c r="DX137" i="1"/>
  <c r="DX136" i="1"/>
  <c r="DX135" i="1"/>
  <c r="DX134" i="1"/>
  <c r="DX133" i="1"/>
  <c r="DX132" i="1"/>
  <c r="DX131" i="1"/>
  <c r="DX130" i="1"/>
  <c r="DX129" i="1"/>
  <c r="DX128" i="1"/>
  <c r="DX127" i="1"/>
  <c r="DX126" i="1"/>
  <c r="DX125" i="1"/>
  <c r="DX124" i="1"/>
  <c r="DX123" i="1"/>
  <c r="DX122" i="1"/>
  <c r="DX121" i="1"/>
  <c r="DX120" i="1"/>
  <c r="DX119" i="1"/>
  <c r="DX118" i="1"/>
  <c r="DX117" i="1"/>
  <c r="DX116" i="1"/>
  <c r="DX115" i="1"/>
  <c r="DX114" i="1"/>
  <c r="DX113" i="1"/>
  <c r="DX112" i="1"/>
  <c r="DX111" i="1"/>
  <c r="DX110" i="1"/>
  <c r="DX109" i="1"/>
  <c r="DX108" i="1"/>
  <c r="DX107" i="1"/>
  <c r="DX106" i="1"/>
  <c r="DX105" i="1"/>
  <c r="DX104" i="1"/>
  <c r="DX103" i="1"/>
  <c r="DX102" i="1"/>
  <c r="DX101" i="1"/>
  <c r="DX100" i="1"/>
  <c r="DX99" i="1"/>
  <c r="DX98" i="1"/>
  <c r="DX97" i="1"/>
  <c r="DX96" i="1"/>
  <c r="DX95" i="1"/>
  <c r="DX94" i="1"/>
  <c r="DX93" i="1"/>
  <c r="DX92" i="1"/>
  <c r="DX91" i="1"/>
  <c r="DX90" i="1"/>
  <c r="DX89" i="1"/>
  <c r="DX88" i="1"/>
  <c r="DX87" i="1"/>
  <c r="DX86" i="1"/>
  <c r="DX85" i="1"/>
  <c r="DX84" i="1"/>
  <c r="DX83" i="1"/>
  <c r="DX82" i="1"/>
  <c r="DX81" i="1"/>
  <c r="DX80" i="1"/>
  <c r="DX79" i="1"/>
  <c r="DX78" i="1"/>
  <c r="DX77" i="1"/>
  <c r="DX76" i="1"/>
  <c r="DX75" i="1"/>
  <c r="DX74" i="1"/>
  <c r="DX73" i="1"/>
  <c r="DX72" i="1"/>
  <c r="DX71" i="1"/>
  <c r="DX70" i="1"/>
  <c r="DX69" i="1"/>
  <c r="DX68" i="1"/>
  <c r="DX67" i="1"/>
  <c r="DX66" i="1"/>
  <c r="DX65" i="1"/>
  <c r="DX64" i="1"/>
  <c r="DX63" i="1"/>
  <c r="DX62" i="1"/>
  <c r="DX61" i="1"/>
  <c r="DX60" i="1"/>
  <c r="DX59" i="1"/>
  <c r="DX58" i="1"/>
  <c r="DX57" i="1"/>
  <c r="DX56" i="1"/>
  <c r="DX55" i="1"/>
  <c r="DX54" i="1"/>
  <c r="DX53" i="1"/>
  <c r="DX52" i="1"/>
  <c r="DX51" i="1"/>
  <c r="DX50" i="1"/>
  <c r="DX49" i="1"/>
  <c r="DX48" i="1"/>
  <c r="DX47" i="1"/>
  <c r="DX46" i="1"/>
  <c r="DX45" i="1"/>
  <c r="DX44" i="1"/>
  <c r="DX43" i="1"/>
  <c r="DX42" i="1"/>
  <c r="DX41" i="1"/>
  <c r="DX40" i="1"/>
  <c r="DX39" i="1"/>
  <c r="DX38" i="1"/>
  <c r="DX37" i="1"/>
  <c r="DX36" i="1"/>
  <c r="DX35" i="1"/>
  <c r="DX34" i="1"/>
  <c r="DX33" i="1"/>
  <c r="DX32" i="1"/>
  <c r="DX31" i="1"/>
  <c r="DX30" i="1"/>
  <c r="DX29" i="1"/>
  <c r="DX28" i="1"/>
  <c r="DX27" i="1"/>
  <c r="DX26" i="1"/>
  <c r="DX25" i="1"/>
  <c r="DX24" i="1"/>
  <c r="DX23" i="1"/>
  <c r="DX22" i="1"/>
  <c r="DX21" i="1"/>
  <c r="DX20" i="1"/>
  <c r="DX19" i="1"/>
  <c r="DX18" i="1"/>
  <c r="DX17" i="1"/>
  <c r="DX16" i="1"/>
  <c r="DX15" i="1"/>
  <c r="DX14" i="1"/>
  <c r="DX13" i="1"/>
  <c r="DX12" i="1"/>
  <c r="DX11" i="1"/>
  <c r="DG318" i="1"/>
  <c r="DG317" i="1"/>
  <c r="DG316" i="1"/>
  <c r="DG315" i="1"/>
  <c r="DG314" i="1"/>
  <c r="DG313" i="1"/>
  <c r="DG312" i="1"/>
  <c r="DG311" i="1"/>
  <c r="DG310" i="1"/>
  <c r="DG309" i="1"/>
  <c r="DG308" i="1"/>
  <c r="DG307" i="1"/>
  <c r="DG306" i="1"/>
  <c r="DG305" i="1"/>
  <c r="DG304" i="1"/>
  <c r="DG303" i="1"/>
  <c r="DG302" i="1"/>
  <c r="DG301" i="1"/>
  <c r="DG300" i="1"/>
  <c r="DG299" i="1"/>
  <c r="DG298" i="1"/>
  <c r="DG297" i="1"/>
  <c r="DG296" i="1"/>
  <c r="DG295" i="1"/>
  <c r="DG294" i="1"/>
  <c r="DG293" i="1"/>
  <c r="DG292" i="1"/>
  <c r="DG291" i="1"/>
  <c r="DG290" i="1"/>
  <c r="DG289" i="1"/>
  <c r="DG288" i="1"/>
  <c r="DG287" i="1"/>
  <c r="DG286" i="1"/>
  <c r="DG285" i="1"/>
  <c r="DG284" i="1"/>
  <c r="DG283" i="1"/>
  <c r="DG282" i="1"/>
  <c r="DG281" i="1"/>
  <c r="DG280" i="1"/>
  <c r="DG279" i="1"/>
  <c r="DG278" i="1"/>
  <c r="DG277" i="1"/>
  <c r="DG276" i="1"/>
  <c r="DG275" i="1"/>
  <c r="DG274" i="1"/>
  <c r="DG273" i="1"/>
  <c r="DG272" i="1"/>
  <c r="DG271" i="1"/>
  <c r="DG270" i="1"/>
  <c r="DG269" i="1"/>
  <c r="DG268" i="1"/>
  <c r="DG267" i="1"/>
  <c r="DG266" i="1"/>
  <c r="DG265" i="1"/>
  <c r="DG264" i="1"/>
  <c r="DG263" i="1"/>
  <c r="DG262" i="1"/>
  <c r="DG261" i="1"/>
  <c r="DG260" i="1"/>
  <c r="DG259" i="1"/>
  <c r="DG258" i="1"/>
  <c r="DG257" i="1"/>
  <c r="DG256" i="1"/>
  <c r="DG255" i="1"/>
  <c r="DG254" i="1"/>
  <c r="DG253" i="1"/>
  <c r="DG252" i="1"/>
  <c r="DG251" i="1"/>
  <c r="DG250" i="1"/>
  <c r="DG249" i="1"/>
  <c r="DG248" i="1"/>
  <c r="DG247" i="1"/>
  <c r="DG246" i="1"/>
  <c r="DG245" i="1"/>
  <c r="DG244" i="1"/>
  <c r="DG243" i="1"/>
  <c r="DG242" i="1"/>
  <c r="DG241" i="1"/>
  <c r="DG240" i="1"/>
  <c r="DG239" i="1"/>
  <c r="DG238" i="1"/>
  <c r="DG237" i="1"/>
  <c r="DG236" i="1"/>
  <c r="DG235" i="1"/>
  <c r="DG234" i="1"/>
  <c r="DG233" i="1"/>
  <c r="DG232" i="1"/>
  <c r="DG231" i="1"/>
  <c r="DG230" i="1"/>
  <c r="DG229" i="1"/>
  <c r="DG228" i="1"/>
  <c r="DG227" i="1"/>
  <c r="DG226" i="1"/>
  <c r="DG225" i="1"/>
  <c r="DG224" i="1"/>
  <c r="DG223" i="1"/>
  <c r="DG222" i="1"/>
  <c r="DG221" i="1"/>
  <c r="DG220" i="1"/>
  <c r="DG219" i="1"/>
  <c r="DG218" i="1"/>
  <c r="DG217" i="1"/>
  <c r="DG216" i="1"/>
  <c r="DG215" i="1"/>
  <c r="DG214" i="1"/>
  <c r="DG213" i="1"/>
  <c r="DG212" i="1"/>
  <c r="DG211" i="1"/>
  <c r="DG210" i="1"/>
  <c r="DG209" i="1"/>
  <c r="DG208" i="1"/>
  <c r="DG207" i="1"/>
  <c r="DG206" i="1"/>
  <c r="DG205" i="1"/>
  <c r="DG204" i="1"/>
  <c r="DG203" i="1"/>
  <c r="DG202" i="1"/>
  <c r="DG201" i="1"/>
  <c r="DG200" i="1"/>
  <c r="DG199" i="1"/>
  <c r="DG198" i="1"/>
  <c r="DG197" i="1"/>
  <c r="DG196" i="1"/>
  <c r="DG194" i="1"/>
  <c r="DG193" i="1"/>
  <c r="DG192" i="1"/>
  <c r="DG191" i="1"/>
  <c r="DG190" i="1"/>
  <c r="DG189" i="1"/>
  <c r="DG188" i="1"/>
  <c r="DG186" i="1"/>
  <c r="DG185" i="1"/>
  <c r="DG184" i="1"/>
  <c r="DG183" i="1"/>
  <c r="DG182" i="1"/>
  <c r="DG181" i="1"/>
  <c r="DG180" i="1"/>
  <c r="DG179" i="1"/>
  <c r="DG178" i="1"/>
  <c r="DG177" i="1"/>
  <c r="DG176" i="1"/>
  <c r="DG175" i="1"/>
  <c r="DG174" i="1"/>
  <c r="DG173" i="1"/>
  <c r="DG172" i="1"/>
  <c r="DG171" i="1"/>
  <c r="DG170" i="1"/>
  <c r="DG169" i="1"/>
  <c r="DG168" i="1"/>
  <c r="DG167" i="1"/>
  <c r="DG166" i="1"/>
  <c r="DG165" i="1"/>
  <c r="DG164" i="1"/>
  <c r="DG163" i="1"/>
  <c r="DG162" i="1"/>
  <c r="DG161" i="1"/>
  <c r="DG160" i="1"/>
  <c r="DG159" i="1"/>
  <c r="DG158" i="1"/>
  <c r="DG157" i="1"/>
  <c r="DG156" i="1"/>
  <c r="DG155" i="1"/>
  <c r="DG154" i="1"/>
  <c r="DG153" i="1"/>
  <c r="DG152" i="1"/>
  <c r="DG151" i="1"/>
  <c r="DG150" i="1"/>
  <c r="DG149" i="1"/>
  <c r="DG148" i="1"/>
  <c r="DG147" i="1"/>
  <c r="DG146" i="1"/>
  <c r="DG145" i="1"/>
  <c r="DG144" i="1"/>
  <c r="DG143" i="1"/>
  <c r="DG142" i="1"/>
  <c r="DG141" i="1"/>
  <c r="DG140" i="1"/>
  <c r="DG139" i="1"/>
  <c r="DG138" i="1"/>
  <c r="DG137" i="1"/>
  <c r="DG136" i="1"/>
  <c r="DG135" i="1"/>
  <c r="DG134" i="1"/>
  <c r="DG133" i="1"/>
  <c r="DG132" i="1"/>
  <c r="DG131" i="1"/>
  <c r="DG130" i="1"/>
  <c r="DG129" i="1"/>
  <c r="DG128" i="1"/>
  <c r="DG127" i="1"/>
  <c r="DG126" i="1"/>
  <c r="DG125" i="1"/>
  <c r="DG124" i="1"/>
  <c r="DG123" i="1"/>
  <c r="DG122" i="1"/>
  <c r="DG121" i="1"/>
  <c r="DG120" i="1"/>
  <c r="DG119" i="1"/>
  <c r="DG118" i="1"/>
  <c r="DG117" i="1"/>
  <c r="DG116" i="1"/>
  <c r="DG115" i="1"/>
  <c r="DG114" i="1"/>
  <c r="DG113" i="1"/>
  <c r="DG112" i="1"/>
  <c r="DG111" i="1"/>
  <c r="DG110" i="1"/>
  <c r="DG109" i="1"/>
  <c r="DG108" i="1"/>
  <c r="DG107" i="1"/>
  <c r="DG106" i="1"/>
  <c r="DG105" i="1"/>
  <c r="DG104" i="1"/>
  <c r="DG103" i="1"/>
  <c r="DG102" i="1"/>
  <c r="DG101" i="1"/>
  <c r="DG100" i="1"/>
  <c r="DG99" i="1"/>
  <c r="DG98" i="1"/>
  <c r="DG97" i="1"/>
  <c r="DG96" i="1"/>
  <c r="DG95" i="1"/>
  <c r="DG94" i="1"/>
  <c r="DG93" i="1"/>
  <c r="DG92" i="1"/>
  <c r="DG91" i="1"/>
  <c r="DG90" i="1"/>
  <c r="DG89" i="1"/>
  <c r="DG88" i="1"/>
  <c r="DG87" i="1"/>
  <c r="DG86" i="1"/>
  <c r="DG85" i="1"/>
  <c r="DG84" i="1"/>
  <c r="DG83" i="1"/>
  <c r="DG82" i="1"/>
  <c r="DG81" i="1"/>
  <c r="DG80" i="1"/>
  <c r="DG79" i="1"/>
  <c r="DG78" i="1"/>
  <c r="DG77" i="1"/>
  <c r="DG76" i="1"/>
  <c r="DG75" i="1"/>
  <c r="DG74" i="1"/>
  <c r="DG73" i="1"/>
  <c r="DG72" i="1"/>
  <c r="DG71" i="1"/>
  <c r="DG70" i="1"/>
  <c r="DG69" i="1"/>
  <c r="DG68" i="1"/>
  <c r="DG67" i="1"/>
  <c r="DG66" i="1"/>
  <c r="DG65" i="1"/>
  <c r="DG64" i="1"/>
  <c r="DG63" i="1"/>
  <c r="DG62" i="1"/>
  <c r="DG61" i="1"/>
  <c r="DG60" i="1"/>
  <c r="DG59" i="1"/>
  <c r="DG58" i="1"/>
  <c r="DG57" i="1"/>
  <c r="DG56" i="1"/>
  <c r="DG55" i="1"/>
  <c r="DG54" i="1"/>
  <c r="DG53" i="1"/>
  <c r="DG52" i="1"/>
  <c r="DG51" i="1"/>
  <c r="DG50" i="1"/>
  <c r="DG49" i="1"/>
  <c r="DG48" i="1"/>
  <c r="DG47" i="1"/>
  <c r="DG46" i="1"/>
  <c r="DG45" i="1"/>
  <c r="DG44" i="1"/>
  <c r="DG43" i="1"/>
  <c r="DG42" i="1"/>
  <c r="DG41" i="1"/>
  <c r="DG40" i="1"/>
  <c r="DG39" i="1"/>
  <c r="DG38" i="1"/>
  <c r="DG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CP318" i="1"/>
  <c r="CP317" i="1"/>
  <c r="CP316" i="1"/>
  <c r="CP315" i="1"/>
  <c r="CP314" i="1"/>
  <c r="CP313" i="1"/>
  <c r="CP312" i="1"/>
  <c r="CP311" i="1"/>
  <c r="CP310" i="1"/>
  <c r="CP309" i="1"/>
  <c r="CP308" i="1"/>
  <c r="CP307" i="1"/>
  <c r="CP306" i="1"/>
  <c r="CP305" i="1"/>
  <c r="CP304" i="1"/>
  <c r="CP303" i="1"/>
  <c r="CP302" i="1"/>
  <c r="CP301" i="1"/>
  <c r="CP300" i="1"/>
  <c r="CP299" i="1"/>
  <c r="CP298" i="1"/>
  <c r="CP297" i="1"/>
  <c r="CP296" i="1"/>
  <c r="CP295" i="1"/>
  <c r="CP294" i="1"/>
  <c r="CP293" i="1"/>
  <c r="CP292" i="1"/>
  <c r="CP291" i="1"/>
  <c r="CP290" i="1"/>
  <c r="CP289" i="1"/>
  <c r="CP288" i="1"/>
  <c r="CP287" i="1"/>
  <c r="CP286" i="1"/>
  <c r="CP285" i="1"/>
  <c r="CP284" i="1"/>
  <c r="CP283" i="1"/>
  <c r="CP282" i="1"/>
  <c r="CP281" i="1"/>
  <c r="CP280" i="1"/>
  <c r="CP279" i="1"/>
  <c r="CP278" i="1"/>
  <c r="CP277" i="1"/>
  <c r="CP276" i="1"/>
  <c r="CP275" i="1"/>
  <c r="CP274" i="1"/>
  <c r="CP273" i="1"/>
  <c r="CP272" i="1"/>
  <c r="CP271" i="1"/>
  <c r="CP270" i="1"/>
  <c r="CP269" i="1"/>
  <c r="CP268" i="1"/>
  <c r="CP267" i="1"/>
  <c r="CP266" i="1"/>
  <c r="CP265" i="1"/>
  <c r="CP264" i="1"/>
  <c r="CP263" i="1"/>
  <c r="CP262" i="1"/>
  <c r="CP261" i="1"/>
  <c r="CP260" i="1"/>
  <c r="CP259" i="1"/>
  <c r="CP258" i="1"/>
  <c r="CP257" i="1"/>
  <c r="CP256" i="1"/>
  <c r="CP255" i="1"/>
  <c r="CP254" i="1"/>
  <c r="CP253" i="1"/>
  <c r="CP252" i="1"/>
  <c r="CP251" i="1"/>
  <c r="CP250" i="1"/>
  <c r="CP249" i="1"/>
  <c r="CP248" i="1"/>
  <c r="CP247" i="1"/>
  <c r="CP246" i="1"/>
  <c r="CP245" i="1"/>
  <c r="CP244" i="1"/>
  <c r="CP243" i="1"/>
  <c r="CP242" i="1"/>
  <c r="CP241" i="1"/>
  <c r="CP240" i="1"/>
  <c r="CP239" i="1"/>
  <c r="CP238" i="1"/>
  <c r="CP237" i="1"/>
  <c r="CP236" i="1"/>
  <c r="CP235" i="1"/>
  <c r="CP234" i="1"/>
  <c r="CP233" i="1"/>
  <c r="CP232" i="1"/>
  <c r="CP231" i="1"/>
  <c r="CP230" i="1"/>
  <c r="CP229" i="1"/>
  <c r="CP228" i="1"/>
  <c r="CP227" i="1"/>
  <c r="CP226" i="1"/>
  <c r="CP225" i="1"/>
  <c r="CP224" i="1"/>
  <c r="CP223" i="1"/>
  <c r="CP222" i="1"/>
  <c r="CP221" i="1"/>
  <c r="CP220" i="1"/>
  <c r="CP219" i="1"/>
  <c r="CP218" i="1"/>
  <c r="CP217" i="1"/>
  <c r="CP216" i="1"/>
  <c r="CP215" i="1"/>
  <c r="CP214" i="1"/>
  <c r="CP213" i="1"/>
  <c r="CP212" i="1"/>
  <c r="CP211" i="1"/>
  <c r="CP210" i="1"/>
  <c r="CP209" i="1"/>
  <c r="CP208" i="1"/>
  <c r="CP207" i="1"/>
  <c r="CP206" i="1"/>
  <c r="CP205" i="1"/>
  <c r="CP204" i="1"/>
  <c r="CP203" i="1"/>
  <c r="CP202" i="1"/>
  <c r="CP201" i="1"/>
  <c r="CP200" i="1"/>
  <c r="CP199" i="1"/>
  <c r="CP198" i="1"/>
  <c r="CP197" i="1"/>
  <c r="CP196" i="1"/>
  <c r="CP194" i="1"/>
  <c r="CP193" i="1"/>
  <c r="CP192" i="1"/>
  <c r="CP191" i="1"/>
  <c r="CP190" i="1"/>
  <c r="CP189" i="1"/>
  <c r="CP188" i="1"/>
  <c r="CP187" i="1"/>
  <c r="CP186" i="1"/>
  <c r="CP185" i="1"/>
  <c r="CP184" i="1"/>
  <c r="CP183" i="1"/>
  <c r="CP182" i="1"/>
  <c r="CP181" i="1"/>
  <c r="CP180" i="1"/>
  <c r="CP179" i="1"/>
  <c r="CP178" i="1"/>
  <c r="CP177" i="1"/>
  <c r="CP176" i="1"/>
  <c r="CP175" i="1"/>
  <c r="CP174" i="1"/>
  <c r="CP173" i="1"/>
  <c r="CP172" i="1"/>
  <c r="CP171" i="1"/>
  <c r="CP170" i="1"/>
  <c r="CP169" i="1"/>
  <c r="CP168" i="1"/>
  <c r="CP166" i="1"/>
  <c r="CP165" i="1"/>
  <c r="CP164" i="1"/>
  <c r="CP163" i="1"/>
  <c r="CP162" i="1"/>
  <c r="CP161" i="1"/>
  <c r="CP160" i="1"/>
  <c r="CP159" i="1"/>
  <c r="CP158" i="1"/>
  <c r="CP157" i="1"/>
  <c r="CP156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P143" i="1"/>
  <c r="CP142" i="1"/>
  <c r="CP141" i="1"/>
  <c r="CP140" i="1"/>
  <c r="CP139" i="1"/>
  <c r="CP138" i="1"/>
  <c r="CP137" i="1"/>
  <c r="CP136" i="1"/>
  <c r="CP135" i="1"/>
  <c r="CP134" i="1"/>
  <c r="CP133" i="1"/>
  <c r="CP132" i="1"/>
  <c r="CP131" i="1"/>
  <c r="CP130" i="1"/>
  <c r="CP129" i="1"/>
  <c r="CP128" i="1"/>
  <c r="CP127" i="1"/>
  <c r="CP126" i="1"/>
  <c r="CP125" i="1"/>
  <c r="CP124" i="1"/>
  <c r="CP123" i="1"/>
  <c r="CP122" i="1"/>
  <c r="CP121" i="1"/>
  <c r="CP120" i="1"/>
  <c r="CP119" i="1"/>
  <c r="CP118" i="1"/>
  <c r="CP117" i="1"/>
  <c r="CP116" i="1"/>
  <c r="CP115" i="1"/>
  <c r="CP114" i="1"/>
  <c r="CP113" i="1"/>
  <c r="CP112" i="1"/>
  <c r="CP111" i="1"/>
  <c r="CP110" i="1"/>
  <c r="CP109" i="1"/>
  <c r="CP108" i="1"/>
  <c r="CP107" i="1"/>
  <c r="CP106" i="1"/>
  <c r="CP105" i="1"/>
  <c r="CP104" i="1"/>
  <c r="CP103" i="1"/>
  <c r="CP10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4" i="1"/>
  <c r="CP83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8" i="1"/>
  <c r="CP57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2" i="1"/>
  <c r="CP31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3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12" i="1"/>
  <c r="Z13" i="1"/>
  <c r="Z14" i="1"/>
  <c r="Z15" i="1"/>
  <c r="Z16" i="1"/>
  <c r="Z17" i="1"/>
  <c r="M99" i="1"/>
  <c r="O183" i="1"/>
  <c r="O179" i="1"/>
  <c r="O168" i="1"/>
  <c r="O180" i="1"/>
  <c r="O157" i="1"/>
  <c r="O161" i="1"/>
  <c r="O165" i="1"/>
  <c r="O169" i="1"/>
  <c r="O162" i="1"/>
  <c r="O166" i="1"/>
  <c r="O170" i="1"/>
  <c r="O182" i="1"/>
  <c r="O181" i="1"/>
  <c r="O171" i="1"/>
  <c r="O163" i="1"/>
  <c r="O177" i="1"/>
  <c r="O178" i="1"/>
  <c r="O159" i="1"/>
  <c r="O130" i="1"/>
  <c r="O158" i="1"/>
  <c r="O150" i="1"/>
  <c r="O131" i="1"/>
  <c r="BK11" i="1"/>
  <c r="BI11" i="1"/>
  <c r="O138" i="1"/>
  <c r="JG12" i="1"/>
  <c r="JG13" i="1"/>
  <c r="JG14" i="1"/>
  <c r="JG15" i="1"/>
  <c r="JG16" i="1"/>
  <c r="JG17" i="1"/>
  <c r="JG18" i="1"/>
  <c r="JG19" i="1"/>
  <c r="JG20" i="1"/>
  <c r="JG21" i="1"/>
  <c r="JG22" i="1"/>
  <c r="JG23" i="1"/>
  <c r="JG24" i="1"/>
  <c r="JG25" i="1"/>
  <c r="JG26" i="1"/>
  <c r="JG27" i="1"/>
  <c r="JG28" i="1"/>
  <c r="JG29" i="1"/>
  <c r="JG30" i="1"/>
  <c r="JG31" i="1"/>
  <c r="JG32" i="1"/>
  <c r="JG33" i="1"/>
  <c r="JG34" i="1"/>
  <c r="JG35" i="1"/>
  <c r="JG36" i="1"/>
  <c r="JG37" i="1"/>
  <c r="JG38" i="1"/>
  <c r="JG39" i="1"/>
  <c r="JG40" i="1"/>
  <c r="JG41" i="1"/>
  <c r="JG42" i="1"/>
  <c r="JG43" i="1"/>
  <c r="JG44" i="1"/>
  <c r="JG45" i="1"/>
  <c r="JG46" i="1"/>
  <c r="JG47" i="1"/>
  <c r="JG48" i="1"/>
  <c r="JG49" i="1"/>
  <c r="JG50" i="1"/>
  <c r="JG51" i="1"/>
  <c r="JG52" i="1"/>
  <c r="JG53" i="1"/>
  <c r="JG54" i="1"/>
  <c r="JG55" i="1"/>
  <c r="JG56" i="1"/>
  <c r="JG57" i="1"/>
  <c r="JG58" i="1"/>
  <c r="JG59" i="1"/>
  <c r="JG60" i="1"/>
  <c r="JG61" i="1"/>
  <c r="JG62" i="1"/>
  <c r="JG63" i="1"/>
  <c r="JG64" i="1"/>
  <c r="JG65" i="1"/>
  <c r="JG66" i="1"/>
  <c r="JG67" i="1"/>
  <c r="JG68" i="1"/>
  <c r="JG69" i="1"/>
  <c r="JG70" i="1"/>
  <c r="JG71" i="1"/>
  <c r="JG72" i="1"/>
  <c r="JG73" i="1"/>
  <c r="JG74" i="1"/>
  <c r="JG75" i="1"/>
  <c r="JG76" i="1"/>
  <c r="JG77" i="1"/>
  <c r="JG78" i="1"/>
  <c r="JG79" i="1"/>
  <c r="JG80" i="1"/>
  <c r="JG81" i="1"/>
  <c r="JG82" i="1"/>
  <c r="JG83" i="1"/>
  <c r="JG84" i="1"/>
  <c r="JG85" i="1"/>
  <c r="JG86" i="1"/>
  <c r="JG87" i="1"/>
  <c r="JG88" i="1"/>
  <c r="JG89" i="1"/>
  <c r="JG90" i="1"/>
  <c r="JG91" i="1"/>
  <c r="JG92" i="1"/>
  <c r="JG93" i="1"/>
  <c r="JG94" i="1"/>
  <c r="JG95" i="1"/>
  <c r="JG96" i="1"/>
  <c r="JG97" i="1"/>
  <c r="JG98" i="1"/>
  <c r="JG99" i="1"/>
  <c r="JG100" i="1"/>
  <c r="JG101" i="1"/>
  <c r="JG102" i="1"/>
  <c r="JG103" i="1"/>
  <c r="JG104" i="1"/>
  <c r="JG105" i="1"/>
  <c r="JG106" i="1"/>
  <c r="JG107" i="1"/>
  <c r="JG108" i="1"/>
  <c r="JG109" i="1"/>
  <c r="JG110" i="1"/>
  <c r="JG111" i="1"/>
  <c r="JG112" i="1"/>
  <c r="JG113" i="1"/>
  <c r="JG114" i="1"/>
  <c r="JG115" i="1"/>
  <c r="JG116" i="1"/>
  <c r="JG117" i="1"/>
  <c r="JG118" i="1"/>
  <c r="JG119" i="1"/>
  <c r="JG120" i="1"/>
  <c r="JG121" i="1"/>
  <c r="JG122" i="1"/>
  <c r="JG123" i="1"/>
  <c r="JG124" i="1"/>
  <c r="JG125" i="1"/>
  <c r="JG126" i="1"/>
  <c r="JG127" i="1"/>
  <c r="JG128" i="1"/>
  <c r="JG129" i="1"/>
  <c r="JG130" i="1"/>
  <c r="JG131" i="1"/>
  <c r="JG132" i="1"/>
  <c r="JG133" i="1"/>
  <c r="JG134" i="1"/>
  <c r="JG135" i="1"/>
  <c r="JG136" i="1"/>
  <c r="JG137" i="1"/>
  <c r="JG138" i="1"/>
  <c r="JG139" i="1"/>
  <c r="JG140" i="1"/>
  <c r="JG141" i="1"/>
  <c r="JG142" i="1"/>
  <c r="JG143" i="1"/>
  <c r="JG144" i="1"/>
  <c r="JG145" i="1"/>
  <c r="JG146" i="1"/>
  <c r="JG147" i="1"/>
  <c r="JG148" i="1"/>
  <c r="JG149" i="1"/>
  <c r="JG150" i="1"/>
  <c r="JG151" i="1"/>
  <c r="JG152" i="1"/>
  <c r="JG153" i="1"/>
  <c r="JG154" i="1"/>
  <c r="JG155" i="1"/>
  <c r="JG156" i="1"/>
  <c r="JG157" i="1"/>
  <c r="JG158" i="1"/>
  <c r="JG159" i="1"/>
  <c r="JG160" i="1"/>
  <c r="JG161" i="1"/>
  <c r="JG162" i="1"/>
  <c r="JG163" i="1"/>
  <c r="JG164" i="1"/>
  <c r="JG165" i="1"/>
  <c r="JG166" i="1"/>
  <c r="JG167" i="1"/>
  <c r="JG168" i="1"/>
  <c r="JG169" i="1"/>
  <c r="JG170" i="1"/>
  <c r="JG171" i="1"/>
  <c r="JG172" i="1"/>
  <c r="JG173" i="1"/>
  <c r="JG174" i="1"/>
  <c r="JG175" i="1"/>
  <c r="JG176" i="1"/>
  <c r="JG177" i="1"/>
  <c r="JG178" i="1"/>
  <c r="JG179" i="1"/>
  <c r="JG180" i="1"/>
  <c r="JG181" i="1"/>
  <c r="JG182" i="1"/>
  <c r="JG183" i="1"/>
  <c r="JG184" i="1"/>
  <c r="JG185" i="1"/>
  <c r="JG186" i="1"/>
  <c r="JG187" i="1"/>
  <c r="JG188" i="1"/>
  <c r="JG189" i="1"/>
  <c r="JG190" i="1"/>
  <c r="JG191" i="1"/>
  <c r="JG192" i="1"/>
  <c r="JG193" i="1"/>
  <c r="JG194" i="1"/>
  <c r="JG195" i="1"/>
  <c r="JG196" i="1"/>
  <c r="JG197" i="1"/>
  <c r="JG198" i="1"/>
  <c r="JG199" i="1"/>
  <c r="JG200" i="1"/>
  <c r="JG201" i="1"/>
  <c r="JG202" i="1"/>
  <c r="JG203" i="1"/>
  <c r="JG204" i="1"/>
  <c r="JG205" i="1"/>
  <c r="JG206" i="1"/>
  <c r="JG207" i="1"/>
  <c r="JG208" i="1"/>
  <c r="JG209" i="1"/>
  <c r="JG210" i="1"/>
  <c r="JG211" i="1"/>
  <c r="JG212" i="1"/>
  <c r="JG213" i="1"/>
  <c r="JG214" i="1"/>
  <c r="JG215" i="1"/>
  <c r="JG216" i="1"/>
  <c r="JG217" i="1"/>
  <c r="JG218" i="1"/>
  <c r="JG219" i="1"/>
  <c r="JG220" i="1"/>
  <c r="JG221" i="1"/>
  <c r="JG222" i="1"/>
  <c r="JG223" i="1"/>
  <c r="JG224" i="1"/>
  <c r="JG225" i="1"/>
  <c r="JG226" i="1"/>
  <c r="JG227" i="1"/>
  <c r="JG228" i="1"/>
  <c r="JG229" i="1"/>
  <c r="JG230" i="1"/>
  <c r="JG231" i="1"/>
  <c r="JG232" i="1"/>
  <c r="JG233" i="1"/>
  <c r="JG234" i="1"/>
  <c r="JG235" i="1"/>
  <c r="JG236" i="1"/>
  <c r="JG237" i="1"/>
  <c r="JG238" i="1"/>
  <c r="JG239" i="1"/>
  <c r="JG240" i="1"/>
  <c r="JG241" i="1"/>
  <c r="JG242" i="1"/>
  <c r="JG243" i="1"/>
  <c r="JG244" i="1"/>
  <c r="JG245" i="1"/>
  <c r="JG246" i="1"/>
  <c r="JG247" i="1"/>
  <c r="JG248" i="1"/>
  <c r="JG249" i="1"/>
  <c r="JG250" i="1"/>
  <c r="JG251" i="1"/>
  <c r="JG252" i="1"/>
  <c r="JG253" i="1"/>
  <c r="JG254" i="1"/>
  <c r="JG255" i="1"/>
  <c r="JG256" i="1"/>
  <c r="JG257" i="1"/>
  <c r="JG258" i="1"/>
  <c r="JG259" i="1"/>
  <c r="JG260" i="1"/>
  <c r="JG261" i="1"/>
  <c r="JG262" i="1"/>
  <c r="JG263" i="1"/>
  <c r="JG264" i="1"/>
  <c r="JG265" i="1"/>
  <c r="JG266" i="1"/>
  <c r="JG267" i="1"/>
  <c r="JG268" i="1"/>
  <c r="JG269" i="1"/>
  <c r="JG270" i="1"/>
  <c r="JG271" i="1"/>
  <c r="JG272" i="1"/>
  <c r="JG273" i="1"/>
  <c r="JG274" i="1"/>
  <c r="JG275" i="1"/>
  <c r="JG276" i="1"/>
  <c r="JG277" i="1"/>
  <c r="JG278" i="1"/>
  <c r="JG279" i="1"/>
  <c r="JG280" i="1"/>
  <c r="JG281" i="1"/>
  <c r="JG282" i="1"/>
  <c r="JG283" i="1"/>
  <c r="JG284" i="1"/>
  <c r="JG285" i="1"/>
  <c r="JG286" i="1"/>
  <c r="JG287" i="1"/>
  <c r="JG288" i="1"/>
  <c r="JG289" i="1"/>
  <c r="JG290" i="1"/>
  <c r="JG291" i="1"/>
  <c r="JG292" i="1"/>
  <c r="JG293" i="1"/>
  <c r="JG294" i="1"/>
  <c r="JG295" i="1"/>
  <c r="JG296" i="1"/>
  <c r="JG297" i="1"/>
  <c r="JG298" i="1"/>
  <c r="JG299" i="1"/>
  <c r="JG300" i="1"/>
  <c r="JG301" i="1"/>
  <c r="JG302" i="1"/>
  <c r="JG303" i="1"/>
  <c r="JG304" i="1"/>
  <c r="JG305" i="1"/>
  <c r="JG306" i="1"/>
  <c r="JG307" i="1"/>
  <c r="JG308" i="1"/>
  <c r="JG309" i="1"/>
  <c r="JG310" i="1"/>
  <c r="JG311" i="1"/>
  <c r="JG312" i="1"/>
  <c r="JG313" i="1"/>
  <c r="JG314" i="1"/>
  <c r="JG315" i="1"/>
  <c r="JG316" i="1"/>
  <c r="JG317" i="1"/>
  <c r="JG318" i="1"/>
  <c r="O137" i="1"/>
  <c r="O133" i="1"/>
  <c r="JF11" i="1"/>
  <c r="JE11" i="1"/>
  <c r="O300" i="1"/>
  <c r="O288" i="1"/>
  <c r="O276" i="1"/>
  <c r="O264" i="1"/>
  <c r="O244" i="1"/>
  <c r="O232" i="1"/>
  <c r="O220" i="1"/>
  <c r="O208" i="1"/>
  <c r="O184" i="1"/>
  <c r="O160" i="1"/>
  <c r="O140" i="1"/>
  <c r="O304" i="1"/>
  <c r="O292" i="1"/>
  <c r="O280" i="1"/>
  <c r="O268" i="1"/>
  <c r="O256" i="1"/>
  <c r="O248" i="1"/>
  <c r="O236" i="1"/>
  <c r="O224" i="1"/>
  <c r="O216" i="1"/>
  <c r="O204" i="1"/>
  <c r="O192" i="1"/>
  <c r="O164" i="1"/>
  <c r="O152" i="1"/>
  <c r="O144" i="1"/>
  <c r="O136" i="1"/>
  <c r="O315" i="1"/>
  <c r="O311" i="1"/>
  <c r="O307" i="1"/>
  <c r="O303" i="1"/>
  <c r="O299" i="1"/>
  <c r="O295" i="1"/>
  <c r="O291" i="1"/>
  <c r="O287" i="1"/>
  <c r="O283" i="1"/>
  <c r="O279" i="1"/>
  <c r="O275" i="1"/>
  <c r="O271" i="1"/>
  <c r="O267" i="1"/>
  <c r="O263" i="1"/>
  <c r="O259" i="1"/>
  <c r="O255" i="1"/>
  <c r="O251" i="1"/>
  <c r="O247" i="1"/>
  <c r="O243" i="1"/>
  <c r="O239" i="1"/>
  <c r="O235" i="1"/>
  <c r="O231" i="1"/>
  <c r="O227" i="1"/>
  <c r="O223" i="1"/>
  <c r="O219" i="1"/>
  <c r="O215" i="1"/>
  <c r="O211" i="1"/>
  <c r="O207" i="1"/>
  <c r="O203" i="1"/>
  <c r="O155" i="1"/>
  <c r="O151" i="1"/>
  <c r="O147" i="1"/>
  <c r="O143" i="1"/>
  <c r="O139" i="1"/>
  <c r="O135" i="1"/>
  <c r="O308" i="1"/>
  <c r="O296" i="1"/>
  <c r="O284" i="1"/>
  <c r="O272" i="1"/>
  <c r="O260" i="1"/>
  <c r="O252" i="1"/>
  <c r="O240" i="1"/>
  <c r="O228" i="1"/>
  <c r="O212" i="1"/>
  <c r="O200" i="1"/>
  <c r="O156" i="1"/>
  <c r="O148" i="1"/>
  <c r="O132" i="1"/>
  <c r="O134" i="1"/>
  <c r="O318" i="1"/>
  <c r="O314" i="1"/>
  <c r="O310" i="1"/>
  <c r="O306" i="1"/>
  <c r="O302" i="1"/>
  <c r="O298" i="1"/>
  <c r="O294" i="1"/>
  <c r="O290" i="1"/>
  <c r="O286" i="1"/>
  <c r="O282" i="1"/>
  <c r="O278" i="1"/>
  <c r="O274" i="1"/>
  <c r="O270" i="1"/>
  <c r="O266" i="1"/>
  <c r="O262" i="1"/>
  <c r="O258" i="1"/>
  <c r="O254" i="1"/>
  <c r="O250" i="1"/>
  <c r="O246" i="1"/>
  <c r="O242" i="1"/>
  <c r="O238" i="1"/>
  <c r="O234" i="1"/>
  <c r="O230" i="1"/>
  <c r="O226" i="1"/>
  <c r="O222" i="1"/>
  <c r="O218" i="1"/>
  <c r="O214" i="1"/>
  <c r="O210" i="1"/>
  <c r="O206" i="1"/>
  <c r="O202" i="1"/>
  <c r="O154" i="1"/>
  <c r="O146" i="1"/>
  <c r="O142" i="1"/>
  <c r="O317" i="1"/>
  <c r="O313" i="1"/>
  <c r="O309" i="1"/>
  <c r="O305" i="1"/>
  <c r="O301" i="1"/>
  <c r="O297" i="1"/>
  <c r="O293" i="1"/>
  <c r="O289" i="1"/>
  <c r="O285" i="1"/>
  <c r="O281" i="1"/>
  <c r="O277" i="1"/>
  <c r="O273" i="1"/>
  <c r="O269" i="1"/>
  <c r="O265" i="1"/>
  <c r="O261" i="1"/>
  <c r="O257" i="1"/>
  <c r="O253" i="1"/>
  <c r="O249" i="1"/>
  <c r="O245" i="1"/>
  <c r="O241" i="1"/>
  <c r="O237" i="1"/>
  <c r="O233" i="1"/>
  <c r="O229" i="1"/>
  <c r="O225" i="1"/>
  <c r="O221" i="1"/>
  <c r="O217" i="1"/>
  <c r="O213" i="1"/>
  <c r="O209" i="1"/>
  <c r="O205" i="1"/>
  <c r="O201" i="1"/>
  <c r="O193" i="1"/>
  <c r="O185" i="1"/>
  <c r="O153" i="1"/>
  <c r="O149" i="1"/>
  <c r="O145" i="1"/>
  <c r="O141" i="1"/>
  <c r="O312" i="1"/>
  <c r="O316" i="1"/>
  <c r="FY43" i="1"/>
  <c r="HH12" i="1"/>
  <c r="HH13" i="1"/>
  <c r="HH14" i="1"/>
  <c r="HH15" i="1"/>
  <c r="HH16" i="1"/>
  <c r="HH17" i="1"/>
  <c r="HH18" i="1"/>
  <c r="HH19" i="1"/>
  <c r="HH20" i="1"/>
  <c r="HH21" i="1"/>
  <c r="HH22" i="1"/>
  <c r="HH23" i="1"/>
  <c r="HH24" i="1"/>
  <c r="HH25" i="1"/>
  <c r="HH26" i="1"/>
  <c r="HH27" i="1"/>
  <c r="HH28" i="1"/>
  <c r="HH29" i="1"/>
  <c r="HH30" i="1"/>
  <c r="HH31" i="1"/>
  <c r="HH32" i="1"/>
  <c r="HH33" i="1"/>
  <c r="HH34" i="1"/>
  <c r="HH35" i="1"/>
  <c r="HH36" i="1"/>
  <c r="HH37" i="1"/>
  <c r="HH38" i="1"/>
  <c r="HH39" i="1"/>
  <c r="HH40" i="1"/>
  <c r="HH41" i="1"/>
  <c r="HH42" i="1"/>
  <c r="HH43" i="1"/>
  <c r="HH44" i="1"/>
  <c r="HH45" i="1"/>
  <c r="HH46" i="1"/>
  <c r="HH47" i="1"/>
  <c r="HH48" i="1"/>
  <c r="HH49" i="1"/>
  <c r="HH50" i="1"/>
  <c r="HH51" i="1"/>
  <c r="HH52" i="1"/>
  <c r="HH53" i="1"/>
  <c r="HH54" i="1"/>
  <c r="HH55" i="1"/>
  <c r="HH56" i="1"/>
  <c r="HH57" i="1"/>
  <c r="HH58" i="1"/>
  <c r="HH59" i="1"/>
  <c r="HH60" i="1"/>
  <c r="HH61" i="1"/>
  <c r="HH62" i="1"/>
  <c r="HH63" i="1"/>
  <c r="HH64" i="1"/>
  <c r="HH65" i="1"/>
  <c r="HH66" i="1"/>
  <c r="HH67" i="1"/>
  <c r="HH68" i="1"/>
  <c r="HH69" i="1"/>
  <c r="HH70" i="1"/>
  <c r="HH71" i="1"/>
  <c r="HH72" i="1"/>
  <c r="HH73" i="1"/>
  <c r="HH74" i="1"/>
  <c r="HH75" i="1"/>
  <c r="HH76" i="1"/>
  <c r="HH77" i="1"/>
  <c r="HH78" i="1"/>
  <c r="HH79" i="1"/>
  <c r="HH80" i="1"/>
  <c r="HH81" i="1"/>
  <c r="HH82" i="1"/>
  <c r="HH83" i="1"/>
  <c r="HH84" i="1"/>
  <c r="HH85" i="1"/>
  <c r="HH86" i="1"/>
  <c r="HH87" i="1"/>
  <c r="HH88" i="1"/>
  <c r="HH89" i="1"/>
  <c r="HH90" i="1"/>
  <c r="HH91" i="1"/>
  <c r="HH92" i="1"/>
  <c r="HH93" i="1"/>
  <c r="HH94" i="1"/>
  <c r="HH95" i="1"/>
  <c r="HH96" i="1"/>
  <c r="HH97" i="1"/>
  <c r="HH98" i="1"/>
  <c r="HH99" i="1"/>
  <c r="HH100" i="1"/>
  <c r="HH101" i="1"/>
  <c r="HH102" i="1"/>
  <c r="HH103" i="1"/>
  <c r="HH104" i="1"/>
  <c r="HH105" i="1"/>
  <c r="HH106" i="1"/>
  <c r="HH107" i="1"/>
  <c r="HH108" i="1"/>
  <c r="HH109" i="1"/>
  <c r="HH110" i="1"/>
  <c r="HH111" i="1"/>
  <c r="HH112" i="1"/>
  <c r="HH113" i="1"/>
  <c r="HH114" i="1"/>
  <c r="HH115" i="1"/>
  <c r="HH116" i="1"/>
  <c r="HH117" i="1"/>
  <c r="HH118" i="1"/>
  <c r="HH119" i="1"/>
  <c r="HH120" i="1"/>
  <c r="HH121" i="1"/>
  <c r="HH122" i="1"/>
  <c r="HH123" i="1"/>
  <c r="HH124" i="1"/>
  <c r="HH125" i="1"/>
  <c r="HH126" i="1"/>
  <c r="HH127" i="1"/>
  <c r="HH128" i="1"/>
  <c r="HH129" i="1"/>
  <c r="HH130" i="1"/>
  <c r="HH131" i="1"/>
  <c r="HH132" i="1"/>
  <c r="HH133" i="1"/>
  <c r="HH134" i="1"/>
  <c r="HH135" i="1"/>
  <c r="HH136" i="1"/>
  <c r="HH137" i="1"/>
  <c r="HH138" i="1"/>
  <c r="HH139" i="1"/>
  <c r="HH140" i="1"/>
  <c r="HH141" i="1"/>
  <c r="HH142" i="1"/>
  <c r="HH143" i="1"/>
  <c r="HH144" i="1"/>
  <c r="HH145" i="1"/>
  <c r="HH146" i="1"/>
  <c r="HH147" i="1"/>
  <c r="HH148" i="1"/>
  <c r="HH149" i="1"/>
  <c r="HH150" i="1"/>
  <c r="HH151" i="1"/>
  <c r="HH152" i="1"/>
  <c r="HH153" i="1"/>
  <c r="HH154" i="1"/>
  <c r="HH155" i="1"/>
  <c r="HH156" i="1"/>
  <c r="HH157" i="1"/>
  <c r="HH158" i="1"/>
  <c r="HH159" i="1"/>
  <c r="HH160" i="1"/>
  <c r="HH161" i="1"/>
  <c r="HH162" i="1"/>
  <c r="HH163" i="1"/>
  <c r="HH164" i="1"/>
  <c r="HH165" i="1"/>
  <c r="HH166" i="1"/>
  <c r="HH167" i="1"/>
  <c r="HH168" i="1"/>
  <c r="HH169" i="1"/>
  <c r="HH170" i="1"/>
  <c r="HH171" i="1"/>
  <c r="HH172" i="1"/>
  <c r="HH173" i="1"/>
  <c r="HH174" i="1"/>
  <c r="HH175" i="1"/>
  <c r="HH176" i="1"/>
  <c r="HH177" i="1"/>
  <c r="HH178" i="1"/>
  <c r="HH179" i="1"/>
  <c r="HH180" i="1"/>
  <c r="HH181" i="1"/>
  <c r="HH182" i="1"/>
  <c r="HH183" i="1"/>
  <c r="HH184" i="1"/>
  <c r="HH185" i="1"/>
  <c r="HH186" i="1"/>
  <c r="HH187" i="1"/>
  <c r="HH188" i="1"/>
  <c r="HH189" i="1"/>
  <c r="HH190" i="1"/>
  <c r="HH191" i="1"/>
  <c r="HH192" i="1"/>
  <c r="HH193" i="1"/>
  <c r="HH194" i="1"/>
  <c r="HH195" i="1"/>
  <c r="HH196" i="1"/>
  <c r="HH197" i="1"/>
  <c r="HH198" i="1"/>
  <c r="HH199" i="1"/>
  <c r="HH200" i="1"/>
  <c r="HH201" i="1"/>
  <c r="HH202" i="1"/>
  <c r="HH203" i="1"/>
  <c r="HH204" i="1"/>
  <c r="HH205" i="1"/>
  <c r="HH206" i="1"/>
  <c r="HH207" i="1"/>
  <c r="HH208" i="1"/>
  <c r="HH209" i="1"/>
  <c r="HH210" i="1"/>
  <c r="HH211" i="1"/>
  <c r="HH212" i="1"/>
  <c r="HH213" i="1"/>
  <c r="HH214" i="1"/>
  <c r="HH215" i="1"/>
  <c r="HH216" i="1"/>
  <c r="HH217" i="1"/>
  <c r="HH218" i="1"/>
  <c r="HH219" i="1"/>
  <c r="HH220" i="1"/>
  <c r="HH221" i="1"/>
  <c r="HH222" i="1"/>
  <c r="HH223" i="1"/>
  <c r="HH224" i="1"/>
  <c r="HH225" i="1"/>
  <c r="HH226" i="1"/>
  <c r="HH227" i="1"/>
  <c r="HH228" i="1"/>
  <c r="HH229" i="1"/>
  <c r="HH230" i="1"/>
  <c r="HH231" i="1"/>
  <c r="HH232" i="1"/>
  <c r="HH233" i="1"/>
  <c r="HH234" i="1"/>
  <c r="HH235" i="1"/>
  <c r="HH236" i="1"/>
  <c r="HH237" i="1"/>
  <c r="HH238" i="1"/>
  <c r="HH239" i="1"/>
  <c r="HH240" i="1"/>
  <c r="HH241" i="1"/>
  <c r="HH242" i="1"/>
  <c r="HH243" i="1"/>
  <c r="HH244" i="1"/>
  <c r="HH245" i="1"/>
  <c r="HH246" i="1"/>
  <c r="HH247" i="1"/>
  <c r="HH248" i="1"/>
  <c r="HH249" i="1"/>
  <c r="HH250" i="1"/>
  <c r="HH251" i="1"/>
  <c r="HH252" i="1"/>
  <c r="HH253" i="1"/>
  <c r="HH254" i="1"/>
  <c r="HH255" i="1"/>
  <c r="HH256" i="1"/>
  <c r="HH257" i="1"/>
  <c r="HH258" i="1"/>
  <c r="HH259" i="1"/>
  <c r="HH260" i="1"/>
  <c r="HH261" i="1"/>
  <c r="HH262" i="1"/>
  <c r="HH263" i="1"/>
  <c r="HH264" i="1"/>
  <c r="HH265" i="1"/>
  <c r="HH266" i="1"/>
  <c r="HH267" i="1"/>
  <c r="HH268" i="1"/>
  <c r="HH269" i="1"/>
  <c r="HH270" i="1"/>
  <c r="HH271" i="1"/>
  <c r="HH272" i="1"/>
  <c r="HH273" i="1"/>
  <c r="HH274" i="1"/>
  <c r="HH275" i="1"/>
  <c r="HH276" i="1"/>
  <c r="HH277" i="1"/>
  <c r="HH278" i="1"/>
  <c r="HH279" i="1"/>
  <c r="HH280" i="1"/>
  <c r="HH281" i="1"/>
  <c r="HH282" i="1"/>
  <c r="HH283" i="1"/>
  <c r="HH284" i="1"/>
  <c r="HH285" i="1"/>
  <c r="HH286" i="1"/>
  <c r="HH287" i="1"/>
  <c r="HH288" i="1"/>
  <c r="HH289" i="1"/>
  <c r="HH290" i="1"/>
  <c r="HH291" i="1"/>
  <c r="HH292" i="1"/>
  <c r="HH293" i="1"/>
  <c r="HH294" i="1"/>
  <c r="HH295" i="1"/>
  <c r="HH296" i="1"/>
  <c r="HH297" i="1"/>
  <c r="HH298" i="1"/>
  <c r="HH299" i="1"/>
  <c r="HH300" i="1"/>
  <c r="HH301" i="1"/>
  <c r="HH302" i="1"/>
  <c r="HH303" i="1"/>
  <c r="HH304" i="1"/>
  <c r="HH305" i="1"/>
  <c r="HH306" i="1"/>
  <c r="HH307" i="1"/>
  <c r="HH308" i="1"/>
  <c r="HH309" i="1"/>
  <c r="HH310" i="1"/>
  <c r="HH311" i="1"/>
  <c r="HH312" i="1"/>
  <c r="HH313" i="1"/>
  <c r="HH314" i="1"/>
  <c r="HH315" i="1"/>
  <c r="HH316" i="1"/>
  <c r="HH317" i="1"/>
  <c r="HH318" i="1"/>
  <c r="HX11" i="1"/>
  <c r="HW11" i="1"/>
  <c r="AB26" i="1"/>
  <c r="ER36" i="1"/>
  <c r="HG11" i="1"/>
  <c r="HF11" i="1"/>
  <c r="AS29" i="1"/>
  <c r="AC25" i="1"/>
  <c r="AA25" i="1"/>
  <c r="IO12" i="1"/>
  <c r="IO13" i="1"/>
  <c r="IO14" i="1"/>
  <c r="HY12" i="1"/>
  <c r="HY13" i="1"/>
  <c r="HY14" i="1"/>
  <c r="HY15" i="1"/>
  <c r="HY16" i="1"/>
  <c r="HY17" i="1"/>
  <c r="HY18" i="1"/>
  <c r="HY19" i="1"/>
  <c r="HY20" i="1"/>
  <c r="HY21" i="1"/>
  <c r="HY22" i="1"/>
  <c r="HY23" i="1"/>
  <c r="HY24" i="1"/>
  <c r="HY25" i="1"/>
  <c r="HY26" i="1"/>
  <c r="HY27" i="1"/>
  <c r="HY28" i="1"/>
  <c r="HY29" i="1"/>
  <c r="HY30" i="1"/>
  <c r="HY31" i="1"/>
  <c r="HY32" i="1"/>
  <c r="HY33" i="1"/>
  <c r="HY34" i="1"/>
  <c r="HY35" i="1"/>
  <c r="HY36" i="1"/>
  <c r="HY37" i="1"/>
  <c r="HY38" i="1"/>
  <c r="HY39" i="1"/>
  <c r="HY40" i="1"/>
  <c r="HY41" i="1"/>
  <c r="HY42" i="1"/>
  <c r="HY43" i="1"/>
  <c r="HY44" i="1"/>
  <c r="HY45" i="1"/>
  <c r="HY46" i="1"/>
  <c r="HY47" i="1"/>
  <c r="HY48" i="1"/>
  <c r="HY49" i="1"/>
  <c r="HY50" i="1"/>
  <c r="HY51" i="1"/>
  <c r="HY52" i="1"/>
  <c r="HY53" i="1"/>
  <c r="HY54" i="1"/>
  <c r="HY55" i="1"/>
  <c r="HY56" i="1"/>
  <c r="HY57" i="1"/>
  <c r="HY58" i="1"/>
  <c r="HY59" i="1"/>
  <c r="HY60" i="1"/>
  <c r="HY61" i="1"/>
  <c r="HY62" i="1"/>
  <c r="HY63" i="1"/>
  <c r="HY64" i="1"/>
  <c r="HY65" i="1"/>
  <c r="HY66" i="1"/>
  <c r="HY67" i="1"/>
  <c r="HY68" i="1"/>
  <c r="HY69" i="1"/>
  <c r="HY70" i="1"/>
  <c r="HY71" i="1"/>
  <c r="HY72" i="1"/>
  <c r="HY73" i="1"/>
  <c r="HY74" i="1"/>
  <c r="HY75" i="1"/>
  <c r="HY76" i="1"/>
  <c r="HY77" i="1"/>
  <c r="HY78" i="1"/>
  <c r="HY79" i="1"/>
  <c r="HY80" i="1"/>
  <c r="HY81" i="1"/>
  <c r="HY82" i="1"/>
  <c r="HY83" i="1"/>
  <c r="HY84" i="1"/>
  <c r="HY85" i="1"/>
  <c r="HY86" i="1"/>
  <c r="HY87" i="1"/>
  <c r="HY88" i="1"/>
  <c r="HY89" i="1"/>
  <c r="HY90" i="1"/>
  <c r="HY91" i="1"/>
  <c r="HY92" i="1"/>
  <c r="HY93" i="1"/>
  <c r="HY94" i="1"/>
  <c r="HY95" i="1"/>
  <c r="HY96" i="1"/>
  <c r="HY97" i="1"/>
  <c r="HY98" i="1"/>
  <c r="HY99" i="1"/>
  <c r="HY100" i="1"/>
  <c r="HY101" i="1"/>
  <c r="HY102" i="1"/>
  <c r="HY103" i="1"/>
  <c r="HY104" i="1"/>
  <c r="HY105" i="1"/>
  <c r="HY106" i="1"/>
  <c r="HY107" i="1"/>
  <c r="HY108" i="1"/>
  <c r="HY109" i="1"/>
  <c r="HY110" i="1"/>
  <c r="HY111" i="1"/>
  <c r="HY112" i="1"/>
  <c r="HY113" i="1"/>
  <c r="HY114" i="1"/>
  <c r="HY115" i="1"/>
  <c r="HY116" i="1"/>
  <c r="HY117" i="1"/>
  <c r="HY118" i="1"/>
  <c r="HY119" i="1"/>
  <c r="HY120" i="1"/>
  <c r="HY121" i="1"/>
  <c r="HY122" i="1"/>
  <c r="HY123" i="1"/>
  <c r="HY124" i="1"/>
  <c r="HY125" i="1"/>
  <c r="HY126" i="1"/>
  <c r="HY127" i="1"/>
  <c r="HY128" i="1"/>
  <c r="HY129" i="1"/>
  <c r="HY130" i="1"/>
  <c r="HY131" i="1"/>
  <c r="HY132" i="1"/>
  <c r="HY133" i="1"/>
  <c r="HY134" i="1"/>
  <c r="HY135" i="1"/>
  <c r="HY136" i="1"/>
  <c r="HY137" i="1"/>
  <c r="HY138" i="1"/>
  <c r="HY139" i="1"/>
  <c r="HY140" i="1"/>
  <c r="HY141" i="1"/>
  <c r="HY142" i="1"/>
  <c r="HY143" i="1"/>
  <c r="HY144" i="1"/>
  <c r="HY145" i="1"/>
  <c r="HY146" i="1"/>
  <c r="HY147" i="1"/>
  <c r="HY148" i="1"/>
  <c r="HY149" i="1"/>
  <c r="HY150" i="1"/>
  <c r="HY151" i="1"/>
  <c r="HY152" i="1"/>
  <c r="HY153" i="1"/>
  <c r="HY154" i="1"/>
  <c r="HY155" i="1"/>
  <c r="HY156" i="1"/>
  <c r="HY157" i="1"/>
  <c r="HY158" i="1"/>
  <c r="HY159" i="1"/>
  <c r="HY160" i="1"/>
  <c r="HY161" i="1"/>
  <c r="HY162" i="1"/>
  <c r="HY163" i="1"/>
  <c r="HY164" i="1"/>
  <c r="HY165" i="1"/>
  <c r="HY166" i="1"/>
  <c r="HY167" i="1"/>
  <c r="HY168" i="1"/>
  <c r="HY169" i="1"/>
  <c r="HY170" i="1"/>
  <c r="HY171" i="1"/>
  <c r="HY172" i="1"/>
  <c r="HY173" i="1"/>
  <c r="HY174" i="1"/>
  <c r="HY175" i="1"/>
  <c r="HY176" i="1"/>
  <c r="HY177" i="1"/>
  <c r="HY178" i="1"/>
  <c r="HY179" i="1"/>
  <c r="HY180" i="1"/>
  <c r="HY181" i="1"/>
  <c r="HY182" i="1"/>
  <c r="HY183" i="1"/>
  <c r="HY184" i="1"/>
  <c r="HY185" i="1"/>
  <c r="HY186" i="1"/>
  <c r="HY187" i="1"/>
  <c r="HY188" i="1"/>
  <c r="HY189" i="1"/>
  <c r="HY190" i="1"/>
  <c r="HY191" i="1"/>
  <c r="HY192" i="1"/>
  <c r="HY193" i="1"/>
  <c r="HY194" i="1"/>
  <c r="HY195" i="1"/>
  <c r="HY196" i="1"/>
  <c r="HY197" i="1"/>
  <c r="HY198" i="1"/>
  <c r="HY199" i="1"/>
  <c r="HY200" i="1"/>
  <c r="HY201" i="1"/>
  <c r="HY202" i="1"/>
  <c r="HY203" i="1"/>
  <c r="HY204" i="1"/>
  <c r="HY205" i="1"/>
  <c r="HY206" i="1"/>
  <c r="HY207" i="1"/>
  <c r="HY208" i="1"/>
  <c r="HY209" i="1"/>
  <c r="HY210" i="1"/>
  <c r="HY211" i="1"/>
  <c r="HY212" i="1"/>
  <c r="HY213" i="1"/>
  <c r="HY214" i="1"/>
  <c r="HY215" i="1"/>
  <c r="HY216" i="1"/>
  <c r="HY217" i="1"/>
  <c r="HY218" i="1"/>
  <c r="HY219" i="1"/>
  <c r="HY220" i="1"/>
  <c r="HY221" i="1"/>
  <c r="HY222" i="1"/>
  <c r="HY223" i="1"/>
  <c r="HY224" i="1"/>
  <c r="HY225" i="1"/>
  <c r="HY226" i="1"/>
  <c r="HY227" i="1"/>
  <c r="HY228" i="1"/>
  <c r="HY229" i="1"/>
  <c r="HY230" i="1"/>
  <c r="HY231" i="1"/>
  <c r="HY232" i="1"/>
  <c r="HY233" i="1"/>
  <c r="HY234" i="1"/>
  <c r="HY235" i="1"/>
  <c r="HY236" i="1"/>
  <c r="HY237" i="1"/>
  <c r="HY238" i="1"/>
  <c r="HY239" i="1"/>
  <c r="HY240" i="1"/>
  <c r="HY241" i="1"/>
  <c r="HY242" i="1"/>
  <c r="HY243" i="1"/>
  <c r="HY244" i="1"/>
  <c r="HY245" i="1"/>
  <c r="HY246" i="1"/>
  <c r="HY247" i="1"/>
  <c r="HY248" i="1"/>
  <c r="HY249" i="1"/>
  <c r="HY250" i="1"/>
  <c r="HY251" i="1"/>
  <c r="HY252" i="1"/>
  <c r="HY253" i="1"/>
  <c r="HY254" i="1"/>
  <c r="HY255" i="1"/>
  <c r="HY256" i="1"/>
  <c r="HY257" i="1"/>
  <c r="HY258" i="1"/>
  <c r="HY259" i="1"/>
  <c r="HY260" i="1"/>
  <c r="HY261" i="1"/>
  <c r="HY262" i="1"/>
  <c r="HY263" i="1"/>
  <c r="HY264" i="1"/>
  <c r="HY265" i="1"/>
  <c r="HY266" i="1"/>
  <c r="HY267" i="1"/>
  <c r="HY268" i="1"/>
  <c r="HY269" i="1"/>
  <c r="HY270" i="1"/>
  <c r="HY271" i="1"/>
  <c r="HY272" i="1"/>
  <c r="HY273" i="1"/>
  <c r="HY274" i="1"/>
  <c r="HY275" i="1"/>
  <c r="HY276" i="1"/>
  <c r="HY277" i="1"/>
  <c r="HY278" i="1"/>
  <c r="HY279" i="1"/>
  <c r="HY280" i="1"/>
  <c r="HY281" i="1"/>
  <c r="HY282" i="1"/>
  <c r="HY283" i="1"/>
  <c r="HY284" i="1"/>
  <c r="HY285" i="1"/>
  <c r="HY286" i="1"/>
  <c r="HY287" i="1"/>
  <c r="HY288" i="1"/>
  <c r="HY289" i="1"/>
  <c r="HY290" i="1"/>
  <c r="HY291" i="1"/>
  <c r="HY292" i="1"/>
  <c r="HY293" i="1"/>
  <c r="HY294" i="1"/>
  <c r="HY295" i="1"/>
  <c r="HY296" i="1"/>
  <c r="HY297" i="1"/>
  <c r="HY298" i="1"/>
  <c r="HY299" i="1"/>
  <c r="HY300" i="1"/>
  <c r="HY301" i="1"/>
  <c r="HY302" i="1"/>
  <c r="HY303" i="1"/>
  <c r="HY304" i="1"/>
  <c r="HY305" i="1"/>
  <c r="HY306" i="1"/>
  <c r="HY307" i="1"/>
  <c r="HY308" i="1"/>
  <c r="HY309" i="1"/>
  <c r="HY310" i="1"/>
  <c r="HY311" i="1"/>
  <c r="HY312" i="1"/>
  <c r="HY313" i="1"/>
  <c r="HY314" i="1"/>
  <c r="HY315" i="1"/>
  <c r="HY316" i="1"/>
  <c r="HY317" i="1"/>
  <c r="HY318" i="1"/>
  <c r="AB24" i="1"/>
  <c r="M11" i="1"/>
  <c r="AS11" i="1"/>
  <c r="GP23" i="1"/>
  <c r="IP11" i="1"/>
  <c r="IN11" i="1"/>
  <c r="DI12" i="1"/>
  <c r="DI13" i="1"/>
  <c r="FH11" i="1"/>
  <c r="FG11" i="1"/>
  <c r="ER11" i="1"/>
  <c r="ER12" i="1"/>
  <c r="ER13" i="1"/>
  <c r="ER14" i="1"/>
  <c r="ER15" i="1"/>
  <c r="ER16" i="1"/>
  <c r="ER17" i="1"/>
  <c r="ER18" i="1"/>
  <c r="ER19" i="1"/>
  <c r="ER20" i="1"/>
  <c r="ER21" i="1"/>
  <c r="ER22" i="1"/>
  <c r="ER23" i="1"/>
  <c r="ER24" i="1"/>
  <c r="ER25" i="1"/>
  <c r="ER26" i="1"/>
  <c r="ER27" i="1"/>
  <c r="ER28" i="1"/>
  <c r="ER29" i="1"/>
  <c r="ER30" i="1"/>
  <c r="ER31" i="1"/>
  <c r="ER32" i="1"/>
  <c r="ER33" i="1"/>
  <c r="ER34" i="1"/>
  <c r="ER35" i="1"/>
  <c r="ER37" i="1"/>
  <c r="ER38" i="1"/>
  <c r="ER39" i="1"/>
  <c r="ER40" i="1"/>
  <c r="ER41" i="1"/>
  <c r="ER42" i="1"/>
  <c r="ER43" i="1"/>
  <c r="ER44" i="1"/>
  <c r="ER45" i="1"/>
  <c r="ER46" i="1"/>
  <c r="ER47" i="1"/>
  <c r="ER48" i="1"/>
  <c r="ER49" i="1"/>
  <c r="ER50" i="1"/>
  <c r="ER51" i="1"/>
  <c r="ER52" i="1"/>
  <c r="ER53" i="1"/>
  <c r="ER54" i="1"/>
  <c r="ER55" i="1"/>
  <c r="ER56" i="1"/>
  <c r="ER57" i="1"/>
  <c r="ER58" i="1"/>
  <c r="ER59" i="1"/>
  <c r="ER60" i="1"/>
  <c r="ER61" i="1"/>
  <c r="ER62" i="1"/>
  <c r="ER63" i="1"/>
  <c r="ER64" i="1"/>
  <c r="ER65" i="1"/>
  <c r="ER66" i="1"/>
  <c r="ER67" i="1"/>
  <c r="ER68" i="1"/>
  <c r="ER69" i="1"/>
  <c r="ER70" i="1"/>
  <c r="ER71" i="1"/>
  <c r="ER72" i="1"/>
  <c r="ER73" i="1"/>
  <c r="ER74" i="1"/>
  <c r="ER75" i="1"/>
  <c r="ER76" i="1"/>
  <c r="ER77" i="1"/>
  <c r="ER78" i="1"/>
  <c r="ER79" i="1"/>
  <c r="ER80" i="1"/>
  <c r="ER81" i="1"/>
  <c r="ER82" i="1"/>
  <c r="ER83" i="1"/>
  <c r="ER84" i="1"/>
  <c r="ER85" i="1"/>
  <c r="ER86" i="1"/>
  <c r="ER87" i="1"/>
  <c r="ER88" i="1"/>
  <c r="ER89" i="1"/>
  <c r="ER90" i="1"/>
  <c r="ER91" i="1"/>
  <c r="ER92" i="1"/>
  <c r="ER93" i="1"/>
  <c r="ER94" i="1"/>
  <c r="ER95" i="1"/>
  <c r="ER96" i="1"/>
  <c r="ER97" i="1"/>
  <c r="ER98" i="1"/>
  <c r="ER99" i="1"/>
  <c r="ER100" i="1"/>
  <c r="ER101" i="1"/>
  <c r="ER102" i="1"/>
  <c r="ER103" i="1"/>
  <c r="ER104" i="1"/>
  <c r="ER105" i="1"/>
  <c r="ER106" i="1"/>
  <c r="ER107" i="1"/>
  <c r="ER108" i="1"/>
  <c r="ER109" i="1"/>
  <c r="ER110" i="1"/>
  <c r="ER111" i="1"/>
  <c r="ER112" i="1"/>
  <c r="ER113" i="1"/>
  <c r="ER114" i="1"/>
  <c r="ER115" i="1"/>
  <c r="ER116" i="1"/>
  <c r="ER117" i="1"/>
  <c r="ER118" i="1"/>
  <c r="ER119" i="1"/>
  <c r="ER120" i="1"/>
  <c r="ER121" i="1"/>
  <c r="ER122" i="1"/>
  <c r="ER123" i="1"/>
  <c r="ER124" i="1"/>
  <c r="ER125" i="1"/>
  <c r="ER126" i="1"/>
  <c r="ER127" i="1"/>
  <c r="ER128" i="1"/>
  <c r="ER129" i="1"/>
  <c r="ER130" i="1"/>
  <c r="ER131" i="1"/>
  <c r="ER132" i="1"/>
  <c r="ER133" i="1"/>
  <c r="ER134" i="1"/>
  <c r="ER135" i="1"/>
  <c r="ER136" i="1"/>
  <c r="ER137" i="1"/>
  <c r="ER138" i="1"/>
  <c r="ER139" i="1"/>
  <c r="ER140" i="1"/>
  <c r="ER141" i="1"/>
  <c r="ER142" i="1"/>
  <c r="ER143" i="1"/>
  <c r="ER144" i="1"/>
  <c r="ER145" i="1"/>
  <c r="ER146" i="1"/>
  <c r="ER147" i="1"/>
  <c r="ER148" i="1"/>
  <c r="ER149" i="1"/>
  <c r="ER150" i="1"/>
  <c r="ER151" i="1"/>
  <c r="ER152" i="1"/>
  <c r="ER153" i="1"/>
  <c r="ER154" i="1"/>
  <c r="ER155" i="1"/>
  <c r="ER156" i="1"/>
  <c r="ER157" i="1"/>
  <c r="ER158" i="1"/>
  <c r="ER159" i="1"/>
  <c r="ER160" i="1"/>
  <c r="ER161" i="1"/>
  <c r="ER162" i="1"/>
  <c r="ER163" i="1"/>
  <c r="ER164" i="1"/>
  <c r="ER165" i="1"/>
  <c r="ER166" i="1"/>
  <c r="ER167" i="1"/>
  <c r="ER168" i="1"/>
  <c r="ER169" i="1"/>
  <c r="ER170" i="1"/>
  <c r="ER171" i="1"/>
  <c r="ER172" i="1"/>
  <c r="ER173" i="1"/>
  <c r="ER174" i="1"/>
  <c r="ER175" i="1"/>
  <c r="ER176" i="1"/>
  <c r="ER177" i="1"/>
  <c r="ER178" i="1"/>
  <c r="ER179" i="1"/>
  <c r="ER180" i="1"/>
  <c r="ER181" i="1"/>
  <c r="ER182" i="1"/>
  <c r="ER183" i="1"/>
  <c r="ER184" i="1"/>
  <c r="ER185" i="1"/>
  <c r="ER186" i="1"/>
  <c r="ER187" i="1"/>
  <c r="ER188" i="1"/>
  <c r="ER189" i="1"/>
  <c r="ER190" i="1"/>
  <c r="ER191" i="1"/>
  <c r="ER192" i="1"/>
  <c r="ER193" i="1"/>
  <c r="ER194" i="1"/>
  <c r="ER195" i="1"/>
  <c r="ER196" i="1"/>
  <c r="ER197" i="1"/>
  <c r="ER198" i="1"/>
  <c r="ER199" i="1"/>
  <c r="ER200" i="1"/>
  <c r="ER201" i="1"/>
  <c r="ER202" i="1"/>
  <c r="ER203" i="1"/>
  <c r="ER204" i="1"/>
  <c r="ER205" i="1"/>
  <c r="ER206" i="1"/>
  <c r="ER207" i="1"/>
  <c r="ER208" i="1"/>
  <c r="ER209" i="1"/>
  <c r="ER210" i="1"/>
  <c r="ER211" i="1"/>
  <c r="ER212" i="1"/>
  <c r="ER213" i="1"/>
  <c r="ER214" i="1"/>
  <c r="ER215" i="1"/>
  <c r="ER216" i="1"/>
  <c r="ER217" i="1"/>
  <c r="ER218" i="1"/>
  <c r="ER219" i="1"/>
  <c r="ER220" i="1"/>
  <c r="ER221" i="1"/>
  <c r="ER222" i="1"/>
  <c r="ER223" i="1"/>
  <c r="ER224" i="1"/>
  <c r="ER225" i="1"/>
  <c r="ER226" i="1"/>
  <c r="ER227" i="1"/>
  <c r="ER228" i="1"/>
  <c r="ER229" i="1"/>
  <c r="ER230" i="1"/>
  <c r="ER231" i="1"/>
  <c r="ER232" i="1"/>
  <c r="ER233" i="1"/>
  <c r="ER234" i="1"/>
  <c r="ER235" i="1"/>
  <c r="ER236" i="1"/>
  <c r="ER237" i="1"/>
  <c r="ER238" i="1"/>
  <c r="ER239" i="1"/>
  <c r="ER240" i="1"/>
  <c r="ER241" i="1"/>
  <c r="ER242" i="1"/>
  <c r="ER243" i="1"/>
  <c r="ER244" i="1"/>
  <c r="ER245" i="1"/>
  <c r="ER246" i="1"/>
  <c r="ER247" i="1"/>
  <c r="ER248" i="1"/>
  <c r="ER249" i="1"/>
  <c r="ER250" i="1"/>
  <c r="ER251" i="1"/>
  <c r="ER252" i="1"/>
  <c r="ER253" i="1"/>
  <c r="ER254" i="1"/>
  <c r="ER255" i="1"/>
  <c r="ER256" i="1"/>
  <c r="ER257" i="1"/>
  <c r="ER258" i="1"/>
  <c r="ER259" i="1"/>
  <c r="ER260" i="1"/>
  <c r="ER261" i="1"/>
  <c r="ER262" i="1"/>
  <c r="ER263" i="1"/>
  <c r="ER264" i="1"/>
  <c r="ER265" i="1"/>
  <c r="ER266" i="1"/>
  <c r="ER267" i="1"/>
  <c r="ER268" i="1"/>
  <c r="ER269" i="1"/>
  <c r="ER270" i="1"/>
  <c r="ER271" i="1"/>
  <c r="ER272" i="1"/>
  <c r="ER273" i="1"/>
  <c r="ER274" i="1"/>
  <c r="ER275" i="1"/>
  <c r="ER276" i="1"/>
  <c r="ER277" i="1"/>
  <c r="ER278" i="1"/>
  <c r="ER279" i="1"/>
  <c r="ER280" i="1"/>
  <c r="ER281" i="1"/>
  <c r="ER282" i="1"/>
  <c r="ER283" i="1"/>
  <c r="ER284" i="1"/>
  <c r="ER285" i="1"/>
  <c r="ER286" i="1"/>
  <c r="ER287" i="1"/>
  <c r="ER288" i="1"/>
  <c r="ER289" i="1"/>
  <c r="ER290" i="1"/>
  <c r="ER291" i="1"/>
  <c r="ER292" i="1"/>
  <c r="ER293" i="1"/>
  <c r="ER294" i="1"/>
  <c r="ER295" i="1"/>
  <c r="ER296" i="1"/>
  <c r="ER297" i="1"/>
  <c r="ER298" i="1"/>
  <c r="ER299" i="1"/>
  <c r="ER300" i="1"/>
  <c r="ER301" i="1"/>
  <c r="ER302" i="1"/>
  <c r="ER303" i="1"/>
  <c r="ER304" i="1"/>
  <c r="ER305" i="1"/>
  <c r="ER306" i="1"/>
  <c r="ER307" i="1"/>
  <c r="ER308" i="1"/>
  <c r="ER309" i="1"/>
  <c r="ER310" i="1"/>
  <c r="ER311" i="1"/>
  <c r="ER312" i="1"/>
  <c r="ER313" i="1"/>
  <c r="ER314" i="1"/>
  <c r="ER315" i="1"/>
  <c r="ER316" i="1"/>
  <c r="ER317" i="1"/>
  <c r="ER318" i="1"/>
  <c r="CR11" i="1"/>
  <c r="CQ11" i="1"/>
  <c r="JD11" i="1"/>
  <c r="AB12" i="1"/>
  <c r="FY12" i="1"/>
  <c r="FZ11" i="1"/>
  <c r="FZ12" i="1"/>
  <c r="FZ13" i="1"/>
  <c r="FZ14" i="1"/>
  <c r="FZ15" i="1"/>
  <c r="FZ16" i="1"/>
  <c r="FZ17" i="1"/>
  <c r="FZ18" i="1"/>
  <c r="FZ19" i="1"/>
  <c r="FZ20" i="1"/>
  <c r="FZ21" i="1"/>
  <c r="FZ22" i="1"/>
  <c r="FZ23" i="1"/>
  <c r="FZ24" i="1"/>
  <c r="FZ25" i="1"/>
  <c r="FZ26" i="1"/>
  <c r="FZ27" i="1"/>
  <c r="FZ28" i="1"/>
  <c r="FZ29" i="1"/>
  <c r="FZ30" i="1"/>
  <c r="FZ31" i="1"/>
  <c r="FZ32" i="1"/>
  <c r="FZ33" i="1"/>
  <c r="FZ34" i="1"/>
  <c r="FZ35" i="1"/>
  <c r="FZ36" i="1"/>
  <c r="FZ37" i="1"/>
  <c r="FZ38" i="1"/>
  <c r="FZ39" i="1"/>
  <c r="FZ40" i="1"/>
  <c r="FZ41" i="1"/>
  <c r="FZ42" i="1"/>
  <c r="EQ12" i="1"/>
  <c r="CA11" i="1"/>
  <c r="BZ11" i="1"/>
  <c r="IM11" i="1"/>
  <c r="GP12" i="1"/>
  <c r="GQ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I58" i="1"/>
  <c r="FI59" i="1"/>
  <c r="FI60" i="1"/>
  <c r="FI61" i="1"/>
  <c r="FI62" i="1"/>
  <c r="FI63" i="1"/>
  <c r="FI64" i="1"/>
  <c r="FI65" i="1"/>
  <c r="FI66" i="1"/>
  <c r="FI67" i="1"/>
  <c r="FI68" i="1"/>
  <c r="FI69" i="1"/>
  <c r="FI70" i="1"/>
  <c r="FI71" i="1"/>
  <c r="FI72" i="1"/>
  <c r="FI73" i="1"/>
  <c r="FI74" i="1"/>
  <c r="FI75" i="1"/>
  <c r="FI76" i="1"/>
  <c r="FI77" i="1"/>
  <c r="FI78" i="1"/>
  <c r="FI79" i="1"/>
  <c r="FI80" i="1"/>
  <c r="FI81" i="1"/>
  <c r="FI82" i="1"/>
  <c r="FI83" i="1"/>
  <c r="FI84" i="1"/>
  <c r="FI85" i="1"/>
  <c r="FI86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I109" i="1"/>
  <c r="FI110" i="1"/>
  <c r="FI111" i="1"/>
  <c r="FI112" i="1"/>
  <c r="FI113" i="1"/>
  <c r="FI114" i="1"/>
  <c r="FI115" i="1"/>
  <c r="FI116" i="1"/>
  <c r="FI117" i="1"/>
  <c r="FI118" i="1"/>
  <c r="FI119" i="1"/>
  <c r="FI120" i="1"/>
  <c r="FI121" i="1"/>
  <c r="FI122" i="1"/>
  <c r="FI123" i="1"/>
  <c r="FI124" i="1"/>
  <c r="FI125" i="1"/>
  <c r="FI126" i="1"/>
  <c r="FI127" i="1"/>
  <c r="FI128" i="1"/>
  <c r="FI129" i="1"/>
  <c r="FI130" i="1"/>
  <c r="FI131" i="1"/>
  <c r="FI132" i="1"/>
  <c r="FI133" i="1"/>
  <c r="FI134" i="1"/>
  <c r="FI135" i="1"/>
  <c r="FI136" i="1"/>
  <c r="FI137" i="1"/>
  <c r="FI138" i="1"/>
  <c r="FI139" i="1"/>
  <c r="FI140" i="1"/>
  <c r="FI141" i="1"/>
  <c r="FI142" i="1"/>
  <c r="FI143" i="1"/>
  <c r="FI144" i="1"/>
  <c r="FI145" i="1"/>
  <c r="FI146" i="1"/>
  <c r="FI147" i="1"/>
  <c r="FI148" i="1"/>
  <c r="FI149" i="1"/>
  <c r="FI150" i="1"/>
  <c r="FI151" i="1"/>
  <c r="FI152" i="1"/>
  <c r="FI153" i="1"/>
  <c r="FI154" i="1"/>
  <c r="FI155" i="1"/>
  <c r="FI156" i="1"/>
  <c r="FI157" i="1"/>
  <c r="FI158" i="1"/>
  <c r="FI159" i="1"/>
  <c r="FI160" i="1"/>
  <c r="FI161" i="1"/>
  <c r="FI162" i="1"/>
  <c r="FI163" i="1"/>
  <c r="FI164" i="1"/>
  <c r="FI165" i="1"/>
  <c r="FI166" i="1"/>
  <c r="FI167" i="1"/>
  <c r="FI168" i="1"/>
  <c r="FI169" i="1"/>
  <c r="FI170" i="1"/>
  <c r="FI171" i="1"/>
  <c r="FI172" i="1"/>
  <c r="FI173" i="1"/>
  <c r="FI174" i="1"/>
  <c r="FI175" i="1"/>
  <c r="FI176" i="1"/>
  <c r="FI177" i="1"/>
  <c r="FI178" i="1"/>
  <c r="FI179" i="1"/>
  <c r="FI180" i="1"/>
  <c r="FI181" i="1"/>
  <c r="FI182" i="1"/>
  <c r="FI183" i="1"/>
  <c r="FI184" i="1"/>
  <c r="FI185" i="1"/>
  <c r="FI186" i="1"/>
  <c r="FI187" i="1"/>
  <c r="FI188" i="1"/>
  <c r="FI189" i="1"/>
  <c r="FI190" i="1"/>
  <c r="FI191" i="1"/>
  <c r="FI192" i="1"/>
  <c r="FI193" i="1"/>
  <c r="FI194" i="1"/>
  <c r="FI195" i="1"/>
  <c r="FI196" i="1"/>
  <c r="FI197" i="1"/>
  <c r="FI198" i="1"/>
  <c r="FI199" i="1"/>
  <c r="FI200" i="1"/>
  <c r="FI201" i="1"/>
  <c r="FI202" i="1"/>
  <c r="FI203" i="1"/>
  <c r="FI204" i="1"/>
  <c r="FI205" i="1"/>
  <c r="FI206" i="1"/>
  <c r="FI207" i="1"/>
  <c r="FI208" i="1"/>
  <c r="FI209" i="1"/>
  <c r="FI210" i="1"/>
  <c r="FI211" i="1"/>
  <c r="FI212" i="1"/>
  <c r="FI213" i="1"/>
  <c r="FI214" i="1"/>
  <c r="FI215" i="1"/>
  <c r="FI216" i="1"/>
  <c r="FI217" i="1"/>
  <c r="FI218" i="1"/>
  <c r="FI219" i="1"/>
  <c r="FI220" i="1"/>
  <c r="FI221" i="1"/>
  <c r="FI222" i="1"/>
  <c r="FI223" i="1"/>
  <c r="FI224" i="1"/>
  <c r="FI225" i="1"/>
  <c r="FI226" i="1"/>
  <c r="FI227" i="1"/>
  <c r="FI228" i="1"/>
  <c r="FI229" i="1"/>
  <c r="FI230" i="1"/>
  <c r="FI231" i="1"/>
  <c r="FI232" i="1"/>
  <c r="FI233" i="1"/>
  <c r="FI234" i="1"/>
  <c r="FI235" i="1"/>
  <c r="FI236" i="1"/>
  <c r="FI237" i="1"/>
  <c r="FI238" i="1"/>
  <c r="FI239" i="1"/>
  <c r="FI240" i="1"/>
  <c r="FI241" i="1"/>
  <c r="FI242" i="1"/>
  <c r="FI243" i="1"/>
  <c r="FI244" i="1"/>
  <c r="FI245" i="1"/>
  <c r="FI246" i="1"/>
  <c r="FI247" i="1"/>
  <c r="FI248" i="1"/>
  <c r="FI249" i="1"/>
  <c r="FI250" i="1"/>
  <c r="FI251" i="1"/>
  <c r="FI252" i="1"/>
  <c r="FI253" i="1"/>
  <c r="FI254" i="1"/>
  <c r="FI255" i="1"/>
  <c r="FI256" i="1"/>
  <c r="FI257" i="1"/>
  <c r="FI258" i="1"/>
  <c r="FI259" i="1"/>
  <c r="FI260" i="1"/>
  <c r="FI261" i="1"/>
  <c r="FI262" i="1"/>
  <c r="FI263" i="1"/>
  <c r="FI264" i="1"/>
  <c r="FI265" i="1"/>
  <c r="FI266" i="1"/>
  <c r="FI267" i="1"/>
  <c r="FI268" i="1"/>
  <c r="FI269" i="1"/>
  <c r="FI270" i="1"/>
  <c r="FI271" i="1"/>
  <c r="FI272" i="1"/>
  <c r="FI273" i="1"/>
  <c r="FI274" i="1"/>
  <c r="FI275" i="1"/>
  <c r="FI276" i="1"/>
  <c r="FI277" i="1"/>
  <c r="FI278" i="1"/>
  <c r="FI279" i="1"/>
  <c r="FI280" i="1"/>
  <c r="FI281" i="1"/>
  <c r="FI282" i="1"/>
  <c r="FI283" i="1"/>
  <c r="FI284" i="1"/>
  <c r="FI285" i="1"/>
  <c r="FI286" i="1"/>
  <c r="FI287" i="1"/>
  <c r="FI288" i="1"/>
  <c r="FI289" i="1"/>
  <c r="FI290" i="1"/>
  <c r="FI291" i="1"/>
  <c r="FI292" i="1"/>
  <c r="FI293" i="1"/>
  <c r="FI294" i="1"/>
  <c r="FI295" i="1"/>
  <c r="FI296" i="1"/>
  <c r="FI297" i="1"/>
  <c r="FI298" i="1"/>
  <c r="FI299" i="1"/>
  <c r="FI300" i="1"/>
  <c r="FI301" i="1"/>
  <c r="FI302" i="1"/>
  <c r="FI303" i="1"/>
  <c r="FI304" i="1"/>
  <c r="FI305" i="1"/>
  <c r="FI306" i="1"/>
  <c r="FI307" i="1"/>
  <c r="FI308" i="1"/>
  <c r="FI309" i="1"/>
  <c r="FI310" i="1"/>
  <c r="FI311" i="1"/>
  <c r="FI312" i="1"/>
  <c r="FI313" i="1"/>
  <c r="FI314" i="1"/>
  <c r="FI315" i="1"/>
  <c r="FI316" i="1"/>
  <c r="FI317" i="1"/>
  <c r="FI318" i="1"/>
  <c r="DZ12" i="1"/>
  <c r="EA11" i="1"/>
  <c r="DY11" i="1"/>
  <c r="DJ11" i="1"/>
  <c r="DH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176" i="1"/>
  <c r="CS177" i="1"/>
  <c r="CS178" i="1"/>
  <c r="CS179" i="1"/>
  <c r="CS180" i="1"/>
  <c r="CS181" i="1"/>
  <c r="CS182" i="1"/>
  <c r="CS183" i="1"/>
  <c r="CS184" i="1"/>
  <c r="CS185" i="1"/>
  <c r="CS186" i="1"/>
  <c r="CS187" i="1"/>
  <c r="CS188" i="1"/>
  <c r="CS189" i="1"/>
  <c r="CS190" i="1"/>
  <c r="CS191" i="1"/>
  <c r="CS192" i="1"/>
  <c r="CS193" i="1"/>
  <c r="CS194" i="1"/>
  <c r="CS195" i="1"/>
  <c r="CS196" i="1"/>
  <c r="CS197" i="1"/>
  <c r="CS198" i="1"/>
  <c r="CS199" i="1"/>
  <c r="CS200" i="1"/>
  <c r="CS201" i="1"/>
  <c r="CS202" i="1"/>
  <c r="CS203" i="1"/>
  <c r="CS204" i="1"/>
  <c r="CS205" i="1"/>
  <c r="CS206" i="1"/>
  <c r="CS207" i="1"/>
  <c r="CS208" i="1"/>
  <c r="CS209" i="1"/>
  <c r="CS210" i="1"/>
  <c r="CS211" i="1"/>
  <c r="CS212" i="1"/>
  <c r="CS213" i="1"/>
  <c r="CS214" i="1"/>
  <c r="CS215" i="1"/>
  <c r="CS216" i="1"/>
  <c r="CS217" i="1"/>
  <c r="CS218" i="1"/>
  <c r="CS219" i="1"/>
  <c r="CS220" i="1"/>
  <c r="CS221" i="1"/>
  <c r="CS222" i="1"/>
  <c r="CS223" i="1"/>
  <c r="CS224" i="1"/>
  <c r="CS225" i="1"/>
  <c r="CS226" i="1"/>
  <c r="CS227" i="1"/>
  <c r="CS228" i="1"/>
  <c r="CS229" i="1"/>
  <c r="CS230" i="1"/>
  <c r="CS231" i="1"/>
  <c r="CS232" i="1"/>
  <c r="CS233" i="1"/>
  <c r="CS234" i="1"/>
  <c r="CS235" i="1"/>
  <c r="CS236" i="1"/>
  <c r="CS237" i="1"/>
  <c r="CS238" i="1"/>
  <c r="CS239" i="1"/>
  <c r="CS240" i="1"/>
  <c r="CS241" i="1"/>
  <c r="CS242" i="1"/>
  <c r="CS243" i="1"/>
  <c r="CS244" i="1"/>
  <c r="CS245" i="1"/>
  <c r="CS246" i="1"/>
  <c r="CS247" i="1"/>
  <c r="CS248" i="1"/>
  <c r="CS249" i="1"/>
  <c r="CS250" i="1"/>
  <c r="CS251" i="1"/>
  <c r="CS252" i="1"/>
  <c r="CS253" i="1"/>
  <c r="CS254" i="1"/>
  <c r="CS255" i="1"/>
  <c r="CS256" i="1"/>
  <c r="CS257" i="1"/>
  <c r="CS258" i="1"/>
  <c r="CS259" i="1"/>
  <c r="CS260" i="1"/>
  <c r="CS261" i="1"/>
  <c r="CS262" i="1"/>
  <c r="CS263" i="1"/>
  <c r="CS264" i="1"/>
  <c r="CS265" i="1"/>
  <c r="CS266" i="1"/>
  <c r="CS267" i="1"/>
  <c r="CS268" i="1"/>
  <c r="CS269" i="1"/>
  <c r="CS270" i="1"/>
  <c r="CS271" i="1"/>
  <c r="CS272" i="1"/>
  <c r="CS273" i="1"/>
  <c r="CS274" i="1"/>
  <c r="CS275" i="1"/>
  <c r="CS276" i="1"/>
  <c r="CS277" i="1"/>
  <c r="CS278" i="1"/>
  <c r="CS279" i="1"/>
  <c r="CS280" i="1"/>
  <c r="CS281" i="1"/>
  <c r="CS282" i="1"/>
  <c r="CS283" i="1"/>
  <c r="CS284" i="1"/>
  <c r="CS285" i="1"/>
  <c r="CS286" i="1"/>
  <c r="CS287" i="1"/>
  <c r="CS288" i="1"/>
  <c r="CS289" i="1"/>
  <c r="CS290" i="1"/>
  <c r="CS291" i="1"/>
  <c r="CS292" i="1"/>
  <c r="CS293" i="1"/>
  <c r="CS294" i="1"/>
  <c r="CS295" i="1"/>
  <c r="CS296" i="1"/>
  <c r="CS297" i="1"/>
  <c r="CS298" i="1"/>
  <c r="CS299" i="1"/>
  <c r="CS300" i="1"/>
  <c r="CS301" i="1"/>
  <c r="CS302" i="1"/>
  <c r="CS303" i="1"/>
  <c r="CS304" i="1"/>
  <c r="CS305" i="1"/>
  <c r="CS306" i="1"/>
  <c r="CS307" i="1"/>
  <c r="CS308" i="1"/>
  <c r="CS309" i="1"/>
  <c r="CS310" i="1"/>
  <c r="CS311" i="1"/>
  <c r="CS312" i="1"/>
  <c r="CS313" i="1"/>
  <c r="CS314" i="1"/>
  <c r="CS315" i="1"/>
  <c r="CS316" i="1"/>
  <c r="CS317" i="1"/>
  <c r="CS318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BJ12" i="1"/>
  <c r="AT12" i="1"/>
  <c r="AT13" i="1"/>
  <c r="AT14" i="1"/>
  <c r="AT15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JF12" i="1"/>
  <c r="HX12" i="1"/>
  <c r="HW12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FZ44" i="1"/>
  <c r="FZ45" i="1"/>
  <c r="FZ46" i="1"/>
  <c r="FZ47" i="1"/>
  <c r="FZ48" i="1"/>
  <c r="FZ49" i="1"/>
  <c r="FZ50" i="1"/>
  <c r="FZ51" i="1"/>
  <c r="FZ52" i="1"/>
  <c r="FZ53" i="1"/>
  <c r="FZ54" i="1"/>
  <c r="FZ55" i="1"/>
  <c r="FZ56" i="1"/>
  <c r="FZ57" i="1"/>
  <c r="FZ58" i="1"/>
  <c r="FZ59" i="1"/>
  <c r="FZ60" i="1"/>
  <c r="FZ61" i="1"/>
  <c r="FZ62" i="1"/>
  <c r="FZ63" i="1"/>
  <c r="FZ64" i="1"/>
  <c r="FZ65" i="1"/>
  <c r="FZ66" i="1"/>
  <c r="FZ67" i="1"/>
  <c r="FZ68" i="1"/>
  <c r="FZ69" i="1"/>
  <c r="FZ70" i="1"/>
  <c r="FZ71" i="1"/>
  <c r="FZ72" i="1"/>
  <c r="FZ73" i="1"/>
  <c r="FZ74" i="1"/>
  <c r="FZ75" i="1"/>
  <c r="FZ76" i="1"/>
  <c r="FZ77" i="1"/>
  <c r="FZ78" i="1"/>
  <c r="FZ79" i="1"/>
  <c r="FZ80" i="1"/>
  <c r="FZ81" i="1"/>
  <c r="FZ82" i="1"/>
  <c r="FZ83" i="1"/>
  <c r="FZ84" i="1"/>
  <c r="FZ85" i="1"/>
  <c r="FZ86" i="1"/>
  <c r="FZ87" i="1"/>
  <c r="FZ88" i="1"/>
  <c r="FZ89" i="1"/>
  <c r="FZ90" i="1"/>
  <c r="FZ91" i="1"/>
  <c r="FZ92" i="1"/>
  <c r="FZ93" i="1"/>
  <c r="FZ94" i="1"/>
  <c r="FZ95" i="1"/>
  <c r="FZ96" i="1"/>
  <c r="FZ97" i="1"/>
  <c r="FZ98" i="1"/>
  <c r="FZ99" i="1"/>
  <c r="FZ100" i="1"/>
  <c r="FZ101" i="1"/>
  <c r="FZ102" i="1"/>
  <c r="FZ103" i="1"/>
  <c r="FZ104" i="1"/>
  <c r="FZ105" i="1"/>
  <c r="FZ106" i="1"/>
  <c r="FZ107" i="1"/>
  <c r="FZ108" i="1"/>
  <c r="FZ109" i="1"/>
  <c r="FZ110" i="1"/>
  <c r="FZ111" i="1"/>
  <c r="FZ112" i="1"/>
  <c r="FZ113" i="1"/>
  <c r="FZ114" i="1"/>
  <c r="FZ115" i="1"/>
  <c r="FZ116" i="1"/>
  <c r="FZ117" i="1"/>
  <c r="FZ118" i="1"/>
  <c r="FZ119" i="1"/>
  <c r="FZ120" i="1"/>
  <c r="FZ121" i="1"/>
  <c r="FZ122" i="1"/>
  <c r="FZ123" i="1"/>
  <c r="FZ124" i="1"/>
  <c r="FZ125" i="1"/>
  <c r="FZ126" i="1"/>
  <c r="FZ127" i="1"/>
  <c r="FZ128" i="1"/>
  <c r="FZ129" i="1"/>
  <c r="FZ130" i="1"/>
  <c r="FZ131" i="1"/>
  <c r="FZ132" i="1"/>
  <c r="FZ133" i="1"/>
  <c r="FZ134" i="1"/>
  <c r="FZ135" i="1"/>
  <c r="FZ136" i="1"/>
  <c r="FZ137" i="1"/>
  <c r="FZ138" i="1"/>
  <c r="FZ139" i="1"/>
  <c r="FZ140" i="1"/>
  <c r="FZ141" i="1"/>
  <c r="FZ142" i="1"/>
  <c r="FZ143" i="1"/>
  <c r="FZ144" i="1"/>
  <c r="FZ145" i="1"/>
  <c r="FZ146" i="1"/>
  <c r="FZ147" i="1"/>
  <c r="FZ148" i="1"/>
  <c r="FZ149" i="1"/>
  <c r="FZ150" i="1"/>
  <c r="FZ151" i="1"/>
  <c r="FZ152" i="1"/>
  <c r="FZ153" i="1"/>
  <c r="FZ154" i="1"/>
  <c r="FZ155" i="1"/>
  <c r="FZ156" i="1"/>
  <c r="FZ157" i="1"/>
  <c r="FZ158" i="1"/>
  <c r="FZ159" i="1"/>
  <c r="FZ160" i="1"/>
  <c r="FZ161" i="1"/>
  <c r="FZ162" i="1"/>
  <c r="FZ163" i="1"/>
  <c r="FZ164" i="1"/>
  <c r="FZ165" i="1"/>
  <c r="FZ166" i="1"/>
  <c r="FZ167" i="1"/>
  <c r="FZ168" i="1"/>
  <c r="FZ169" i="1"/>
  <c r="FZ170" i="1"/>
  <c r="FZ171" i="1"/>
  <c r="FZ172" i="1"/>
  <c r="FZ173" i="1"/>
  <c r="FZ174" i="1"/>
  <c r="FZ175" i="1"/>
  <c r="FZ176" i="1"/>
  <c r="FZ177" i="1"/>
  <c r="FZ178" i="1"/>
  <c r="FZ179" i="1"/>
  <c r="FZ180" i="1"/>
  <c r="FZ181" i="1"/>
  <c r="FZ182" i="1"/>
  <c r="FZ183" i="1"/>
  <c r="FZ184" i="1"/>
  <c r="FZ185" i="1"/>
  <c r="FZ186" i="1"/>
  <c r="FZ187" i="1"/>
  <c r="FZ188" i="1"/>
  <c r="FZ189" i="1"/>
  <c r="FZ190" i="1"/>
  <c r="FZ191" i="1"/>
  <c r="FZ192" i="1"/>
  <c r="FZ193" i="1"/>
  <c r="FZ194" i="1"/>
  <c r="FZ195" i="1"/>
  <c r="FZ196" i="1"/>
  <c r="FZ197" i="1"/>
  <c r="FZ198" i="1"/>
  <c r="FZ199" i="1"/>
  <c r="FZ200" i="1"/>
  <c r="FZ201" i="1"/>
  <c r="FZ202" i="1"/>
  <c r="FZ203" i="1"/>
  <c r="FZ204" i="1"/>
  <c r="FZ205" i="1"/>
  <c r="FZ206" i="1"/>
  <c r="FZ207" i="1"/>
  <c r="FZ208" i="1"/>
  <c r="FZ209" i="1"/>
  <c r="FZ210" i="1"/>
  <c r="FZ211" i="1"/>
  <c r="FZ212" i="1"/>
  <c r="FZ213" i="1"/>
  <c r="FZ214" i="1"/>
  <c r="FZ215" i="1"/>
  <c r="FZ216" i="1"/>
  <c r="FZ217" i="1"/>
  <c r="FZ218" i="1"/>
  <c r="FZ219" i="1"/>
  <c r="FZ220" i="1"/>
  <c r="FZ221" i="1"/>
  <c r="FZ222" i="1"/>
  <c r="FZ223" i="1"/>
  <c r="FZ224" i="1"/>
  <c r="FZ225" i="1"/>
  <c r="FZ226" i="1"/>
  <c r="FZ227" i="1"/>
  <c r="FZ228" i="1"/>
  <c r="FZ229" i="1"/>
  <c r="FZ230" i="1"/>
  <c r="FZ231" i="1"/>
  <c r="FZ232" i="1"/>
  <c r="FZ233" i="1"/>
  <c r="FZ234" i="1"/>
  <c r="FZ235" i="1"/>
  <c r="FZ236" i="1"/>
  <c r="FZ237" i="1"/>
  <c r="FZ238" i="1"/>
  <c r="FZ239" i="1"/>
  <c r="FZ240" i="1"/>
  <c r="FZ241" i="1"/>
  <c r="FZ242" i="1"/>
  <c r="FZ243" i="1"/>
  <c r="FZ244" i="1"/>
  <c r="FZ245" i="1"/>
  <c r="FZ246" i="1"/>
  <c r="FZ247" i="1"/>
  <c r="FZ248" i="1"/>
  <c r="FZ249" i="1"/>
  <c r="FZ250" i="1"/>
  <c r="FZ251" i="1"/>
  <c r="FZ252" i="1"/>
  <c r="FZ253" i="1"/>
  <c r="FZ254" i="1"/>
  <c r="FZ255" i="1"/>
  <c r="FZ256" i="1"/>
  <c r="FZ257" i="1"/>
  <c r="FZ258" i="1"/>
  <c r="FZ259" i="1"/>
  <c r="FZ260" i="1"/>
  <c r="FZ261" i="1"/>
  <c r="FZ262" i="1"/>
  <c r="FZ263" i="1"/>
  <c r="FZ264" i="1"/>
  <c r="FZ265" i="1"/>
  <c r="FZ266" i="1"/>
  <c r="FZ267" i="1"/>
  <c r="FZ268" i="1"/>
  <c r="FZ269" i="1"/>
  <c r="FZ270" i="1"/>
  <c r="FZ271" i="1"/>
  <c r="FZ272" i="1"/>
  <c r="FZ273" i="1"/>
  <c r="FZ274" i="1"/>
  <c r="FZ275" i="1"/>
  <c r="FZ276" i="1"/>
  <c r="FZ277" i="1"/>
  <c r="FZ278" i="1"/>
  <c r="FZ279" i="1"/>
  <c r="FZ280" i="1"/>
  <c r="FZ281" i="1"/>
  <c r="FZ282" i="1"/>
  <c r="FZ283" i="1"/>
  <c r="FZ284" i="1"/>
  <c r="FZ285" i="1"/>
  <c r="FZ286" i="1"/>
  <c r="FZ287" i="1"/>
  <c r="FZ288" i="1"/>
  <c r="FZ289" i="1"/>
  <c r="FZ290" i="1"/>
  <c r="FZ291" i="1"/>
  <c r="FZ292" i="1"/>
  <c r="FZ293" i="1"/>
  <c r="FZ294" i="1"/>
  <c r="FZ295" i="1"/>
  <c r="FZ296" i="1"/>
  <c r="FZ297" i="1"/>
  <c r="FZ298" i="1"/>
  <c r="FZ299" i="1"/>
  <c r="FZ300" i="1"/>
  <c r="FZ301" i="1"/>
  <c r="FZ302" i="1"/>
  <c r="FZ303" i="1"/>
  <c r="FZ304" i="1"/>
  <c r="FZ305" i="1"/>
  <c r="FZ306" i="1"/>
  <c r="FZ307" i="1"/>
  <c r="FZ308" i="1"/>
  <c r="FZ309" i="1"/>
  <c r="FZ310" i="1"/>
  <c r="FZ311" i="1"/>
  <c r="FZ312" i="1"/>
  <c r="FZ313" i="1"/>
  <c r="FZ314" i="1"/>
  <c r="FZ315" i="1"/>
  <c r="FZ316" i="1"/>
  <c r="FZ317" i="1"/>
  <c r="FZ318" i="1"/>
  <c r="HG12" i="1"/>
  <c r="HF12" i="1"/>
  <c r="AS12" i="1"/>
  <c r="AS13" i="1"/>
  <c r="AS14" i="1"/>
  <c r="CR12" i="1"/>
  <c r="CQ12" i="1"/>
  <c r="JD12" i="1"/>
  <c r="IP12" i="1"/>
  <c r="IN12" i="1"/>
  <c r="CA12" i="1"/>
  <c r="BZ12" i="1"/>
  <c r="IM12" i="1"/>
  <c r="HX13" i="1"/>
  <c r="FH12" i="1"/>
  <c r="FG12" i="1"/>
  <c r="FY13" i="1"/>
  <c r="IO15" i="1"/>
  <c r="DI14" i="1"/>
  <c r="GP13" i="1"/>
  <c r="DJ12" i="1"/>
  <c r="DH12" i="1"/>
  <c r="EQ13" i="1"/>
  <c r="EA12" i="1"/>
  <c r="EA13" i="1"/>
  <c r="EA14" i="1"/>
  <c r="EA15" i="1"/>
  <c r="EA16" i="1"/>
  <c r="EA17" i="1"/>
  <c r="EA18" i="1"/>
  <c r="EA19" i="1"/>
  <c r="EA20" i="1"/>
  <c r="EA21" i="1"/>
  <c r="EA22" i="1"/>
  <c r="EA23" i="1"/>
  <c r="EA24" i="1"/>
  <c r="EA25" i="1"/>
  <c r="EA26" i="1"/>
  <c r="EA27" i="1"/>
  <c r="EA28" i="1"/>
  <c r="EA29" i="1"/>
  <c r="EA30" i="1"/>
  <c r="EA31" i="1"/>
  <c r="EA32" i="1"/>
  <c r="EA33" i="1"/>
  <c r="EA34" i="1"/>
  <c r="EA35" i="1"/>
  <c r="EA36" i="1"/>
  <c r="EA37" i="1"/>
  <c r="EA38" i="1"/>
  <c r="EA39" i="1"/>
  <c r="EA40" i="1"/>
  <c r="EA41" i="1"/>
  <c r="EA42" i="1"/>
  <c r="EA43" i="1"/>
  <c r="EA44" i="1"/>
  <c r="EA45" i="1"/>
  <c r="EA46" i="1"/>
  <c r="EA47" i="1"/>
  <c r="EA48" i="1"/>
  <c r="EA49" i="1"/>
  <c r="EA50" i="1"/>
  <c r="EA51" i="1"/>
  <c r="EA52" i="1"/>
  <c r="EA53" i="1"/>
  <c r="EA54" i="1"/>
  <c r="EA55" i="1"/>
  <c r="EA56" i="1"/>
  <c r="EA57" i="1"/>
  <c r="EA58" i="1"/>
  <c r="EA59" i="1"/>
  <c r="EA60" i="1"/>
  <c r="EA61" i="1"/>
  <c r="EA62" i="1"/>
  <c r="EA63" i="1"/>
  <c r="EA64" i="1"/>
  <c r="EA65" i="1"/>
  <c r="EA66" i="1"/>
  <c r="EA67" i="1"/>
  <c r="EA68" i="1"/>
  <c r="EA69" i="1"/>
  <c r="EA70" i="1"/>
  <c r="EA71" i="1"/>
  <c r="EA72" i="1"/>
  <c r="EA73" i="1"/>
  <c r="EA74" i="1"/>
  <c r="EA75" i="1"/>
  <c r="EA76" i="1"/>
  <c r="EA77" i="1"/>
  <c r="EA78" i="1"/>
  <c r="EA79" i="1"/>
  <c r="EA80" i="1"/>
  <c r="EA81" i="1"/>
  <c r="EA82" i="1"/>
  <c r="EA83" i="1"/>
  <c r="EA84" i="1"/>
  <c r="EA85" i="1"/>
  <c r="EA86" i="1"/>
  <c r="EA87" i="1"/>
  <c r="EA88" i="1"/>
  <c r="EA89" i="1"/>
  <c r="EA90" i="1"/>
  <c r="EA91" i="1"/>
  <c r="EA92" i="1"/>
  <c r="EA93" i="1"/>
  <c r="EA94" i="1"/>
  <c r="EA95" i="1"/>
  <c r="EA96" i="1"/>
  <c r="EA97" i="1"/>
  <c r="EA98" i="1"/>
  <c r="EA99" i="1"/>
  <c r="EA100" i="1"/>
  <c r="EA101" i="1"/>
  <c r="EA102" i="1"/>
  <c r="EA103" i="1"/>
  <c r="EA104" i="1"/>
  <c r="EA105" i="1"/>
  <c r="EA106" i="1"/>
  <c r="EA107" i="1"/>
  <c r="EA108" i="1"/>
  <c r="EA109" i="1"/>
  <c r="EA110" i="1"/>
  <c r="EA111" i="1"/>
  <c r="EA112" i="1"/>
  <c r="EA113" i="1"/>
  <c r="EA114" i="1"/>
  <c r="EA115" i="1"/>
  <c r="EA116" i="1"/>
  <c r="EA117" i="1"/>
  <c r="EA118" i="1"/>
  <c r="EA119" i="1"/>
  <c r="EA120" i="1"/>
  <c r="EA121" i="1"/>
  <c r="EA122" i="1"/>
  <c r="EA123" i="1"/>
  <c r="EA124" i="1"/>
  <c r="EA125" i="1"/>
  <c r="EA126" i="1"/>
  <c r="EA127" i="1"/>
  <c r="EA128" i="1"/>
  <c r="EA129" i="1"/>
  <c r="EA130" i="1"/>
  <c r="EA131" i="1"/>
  <c r="EA132" i="1"/>
  <c r="EA133" i="1"/>
  <c r="EA134" i="1"/>
  <c r="EA135" i="1"/>
  <c r="EA136" i="1"/>
  <c r="EA137" i="1"/>
  <c r="EA138" i="1"/>
  <c r="EA139" i="1"/>
  <c r="EA140" i="1"/>
  <c r="EA141" i="1"/>
  <c r="EA142" i="1"/>
  <c r="EA143" i="1"/>
  <c r="EA144" i="1"/>
  <c r="EA145" i="1"/>
  <c r="EA146" i="1"/>
  <c r="EA147" i="1"/>
  <c r="EA148" i="1"/>
  <c r="EA149" i="1"/>
  <c r="EA150" i="1"/>
  <c r="EA151" i="1"/>
  <c r="EA152" i="1"/>
  <c r="EA153" i="1"/>
  <c r="EA154" i="1"/>
  <c r="EA155" i="1"/>
  <c r="EA156" i="1"/>
  <c r="EA157" i="1"/>
  <c r="EA158" i="1"/>
  <c r="EA159" i="1"/>
  <c r="EA160" i="1"/>
  <c r="EA161" i="1"/>
  <c r="EA162" i="1"/>
  <c r="EA163" i="1"/>
  <c r="EA164" i="1"/>
  <c r="EA165" i="1"/>
  <c r="EA166" i="1"/>
  <c r="EA167" i="1"/>
  <c r="EA168" i="1"/>
  <c r="EA169" i="1"/>
  <c r="EA170" i="1"/>
  <c r="EA171" i="1"/>
  <c r="EA172" i="1"/>
  <c r="EA173" i="1"/>
  <c r="EA174" i="1"/>
  <c r="EA175" i="1"/>
  <c r="EA176" i="1"/>
  <c r="EA177" i="1"/>
  <c r="EA178" i="1"/>
  <c r="EA179" i="1"/>
  <c r="EA180" i="1"/>
  <c r="EA181" i="1"/>
  <c r="EA182" i="1"/>
  <c r="EA183" i="1"/>
  <c r="EA184" i="1"/>
  <c r="EA185" i="1"/>
  <c r="EA186" i="1"/>
  <c r="EA187" i="1"/>
  <c r="EA188" i="1"/>
  <c r="EA189" i="1"/>
  <c r="EA190" i="1"/>
  <c r="EA191" i="1"/>
  <c r="EA192" i="1"/>
  <c r="EA193" i="1"/>
  <c r="EA194" i="1"/>
  <c r="EA195" i="1"/>
  <c r="EA196" i="1"/>
  <c r="EA197" i="1"/>
  <c r="EA198" i="1"/>
  <c r="EA199" i="1"/>
  <c r="EA200" i="1"/>
  <c r="EA201" i="1"/>
  <c r="EA202" i="1"/>
  <c r="EA203" i="1"/>
  <c r="EA204" i="1"/>
  <c r="EA205" i="1"/>
  <c r="EA206" i="1"/>
  <c r="EA207" i="1"/>
  <c r="EA208" i="1"/>
  <c r="EA209" i="1"/>
  <c r="EA210" i="1"/>
  <c r="EA211" i="1"/>
  <c r="EA212" i="1"/>
  <c r="EA213" i="1"/>
  <c r="EA214" i="1"/>
  <c r="EA215" i="1"/>
  <c r="EA216" i="1"/>
  <c r="EA217" i="1"/>
  <c r="EA218" i="1"/>
  <c r="EA219" i="1"/>
  <c r="EA220" i="1"/>
  <c r="EA221" i="1"/>
  <c r="EA222" i="1"/>
  <c r="EA223" i="1"/>
  <c r="EA224" i="1"/>
  <c r="EA225" i="1"/>
  <c r="EA226" i="1"/>
  <c r="EA227" i="1"/>
  <c r="EA228" i="1"/>
  <c r="EA229" i="1"/>
  <c r="EA230" i="1"/>
  <c r="EA231" i="1"/>
  <c r="EA232" i="1"/>
  <c r="EA233" i="1"/>
  <c r="EA234" i="1"/>
  <c r="EA235" i="1"/>
  <c r="EA236" i="1"/>
  <c r="EA237" i="1"/>
  <c r="EA238" i="1"/>
  <c r="EA239" i="1"/>
  <c r="EA240" i="1"/>
  <c r="EA241" i="1"/>
  <c r="EA242" i="1"/>
  <c r="EA243" i="1"/>
  <c r="EA244" i="1"/>
  <c r="EA245" i="1"/>
  <c r="EA246" i="1"/>
  <c r="EA247" i="1"/>
  <c r="EA248" i="1"/>
  <c r="EA249" i="1"/>
  <c r="EA250" i="1"/>
  <c r="EA251" i="1"/>
  <c r="EA252" i="1"/>
  <c r="EA253" i="1"/>
  <c r="EA254" i="1"/>
  <c r="EA255" i="1"/>
  <c r="EA256" i="1"/>
  <c r="EA257" i="1"/>
  <c r="EA258" i="1"/>
  <c r="EA259" i="1"/>
  <c r="EA260" i="1"/>
  <c r="EA261" i="1"/>
  <c r="EA262" i="1"/>
  <c r="EA263" i="1"/>
  <c r="EA264" i="1"/>
  <c r="EA265" i="1"/>
  <c r="EA266" i="1"/>
  <c r="EA267" i="1"/>
  <c r="EA268" i="1"/>
  <c r="EA269" i="1"/>
  <c r="EA270" i="1"/>
  <c r="EA271" i="1"/>
  <c r="EA272" i="1"/>
  <c r="EA273" i="1"/>
  <c r="EA274" i="1"/>
  <c r="EA275" i="1"/>
  <c r="EA276" i="1"/>
  <c r="EA277" i="1"/>
  <c r="EA278" i="1"/>
  <c r="EA279" i="1"/>
  <c r="EA280" i="1"/>
  <c r="EA281" i="1"/>
  <c r="EA282" i="1"/>
  <c r="EA283" i="1"/>
  <c r="EA284" i="1"/>
  <c r="EA285" i="1"/>
  <c r="EA286" i="1"/>
  <c r="EA287" i="1"/>
  <c r="EA288" i="1"/>
  <c r="EA289" i="1"/>
  <c r="EA290" i="1"/>
  <c r="EA291" i="1"/>
  <c r="EA292" i="1"/>
  <c r="EA293" i="1"/>
  <c r="EA294" i="1"/>
  <c r="EA295" i="1"/>
  <c r="EA296" i="1"/>
  <c r="EA297" i="1"/>
  <c r="EA298" i="1"/>
  <c r="EA299" i="1"/>
  <c r="EA300" i="1"/>
  <c r="EA301" i="1"/>
  <c r="EA302" i="1"/>
  <c r="EA303" i="1"/>
  <c r="EA304" i="1"/>
  <c r="EA305" i="1"/>
  <c r="EA306" i="1"/>
  <c r="EA307" i="1"/>
  <c r="EA308" i="1"/>
  <c r="EA309" i="1"/>
  <c r="EA310" i="1"/>
  <c r="EA311" i="1"/>
  <c r="EA312" i="1"/>
  <c r="EA313" i="1"/>
  <c r="EA314" i="1"/>
  <c r="EA315" i="1"/>
  <c r="EA316" i="1"/>
  <c r="EA317" i="1"/>
  <c r="EA318" i="1"/>
  <c r="GQ12" i="1"/>
  <c r="GQ13" i="1"/>
  <c r="GQ14" i="1"/>
  <c r="GQ15" i="1"/>
  <c r="GQ16" i="1"/>
  <c r="GQ17" i="1"/>
  <c r="GQ18" i="1"/>
  <c r="GQ19" i="1"/>
  <c r="GQ20" i="1"/>
  <c r="GQ21" i="1"/>
  <c r="GQ22" i="1"/>
  <c r="GQ24" i="1"/>
  <c r="GQ25" i="1"/>
  <c r="GQ26" i="1"/>
  <c r="GQ27" i="1"/>
  <c r="GQ28" i="1"/>
  <c r="GQ29" i="1"/>
  <c r="GQ30" i="1"/>
  <c r="GQ31" i="1"/>
  <c r="GQ32" i="1"/>
  <c r="GQ33" i="1"/>
  <c r="GQ34" i="1"/>
  <c r="GQ35" i="1"/>
  <c r="GQ36" i="1"/>
  <c r="GQ37" i="1"/>
  <c r="GQ38" i="1"/>
  <c r="GQ39" i="1"/>
  <c r="GQ40" i="1"/>
  <c r="GQ41" i="1"/>
  <c r="GQ42" i="1"/>
  <c r="GQ43" i="1"/>
  <c r="GQ44" i="1"/>
  <c r="GQ45" i="1"/>
  <c r="GQ46" i="1"/>
  <c r="GQ47" i="1"/>
  <c r="GQ48" i="1"/>
  <c r="GQ49" i="1"/>
  <c r="GQ50" i="1"/>
  <c r="GQ51" i="1"/>
  <c r="GQ52" i="1"/>
  <c r="GQ53" i="1"/>
  <c r="GQ54" i="1"/>
  <c r="GQ55" i="1"/>
  <c r="GQ56" i="1"/>
  <c r="GQ57" i="1"/>
  <c r="GQ58" i="1"/>
  <c r="GQ59" i="1"/>
  <c r="GQ60" i="1"/>
  <c r="GQ61" i="1"/>
  <c r="GQ62" i="1"/>
  <c r="GQ63" i="1"/>
  <c r="GQ64" i="1"/>
  <c r="GQ65" i="1"/>
  <c r="GQ66" i="1"/>
  <c r="GQ67" i="1"/>
  <c r="GQ68" i="1"/>
  <c r="GQ69" i="1"/>
  <c r="GQ70" i="1"/>
  <c r="GQ71" i="1"/>
  <c r="GQ72" i="1"/>
  <c r="GQ73" i="1"/>
  <c r="GQ74" i="1"/>
  <c r="GQ75" i="1"/>
  <c r="GQ76" i="1"/>
  <c r="GQ77" i="1"/>
  <c r="GQ78" i="1"/>
  <c r="GQ79" i="1"/>
  <c r="GQ80" i="1"/>
  <c r="GQ81" i="1"/>
  <c r="GQ82" i="1"/>
  <c r="GQ83" i="1"/>
  <c r="GQ84" i="1"/>
  <c r="GQ85" i="1"/>
  <c r="GQ86" i="1"/>
  <c r="GQ87" i="1"/>
  <c r="GQ88" i="1"/>
  <c r="GQ89" i="1"/>
  <c r="GQ90" i="1"/>
  <c r="GQ91" i="1"/>
  <c r="GQ92" i="1"/>
  <c r="GQ93" i="1"/>
  <c r="GQ94" i="1"/>
  <c r="GQ95" i="1"/>
  <c r="GQ96" i="1"/>
  <c r="GQ97" i="1"/>
  <c r="GQ98" i="1"/>
  <c r="GQ99" i="1"/>
  <c r="GQ100" i="1"/>
  <c r="GQ101" i="1"/>
  <c r="GQ102" i="1"/>
  <c r="GQ103" i="1"/>
  <c r="GQ104" i="1"/>
  <c r="GQ105" i="1"/>
  <c r="GQ106" i="1"/>
  <c r="GQ107" i="1"/>
  <c r="GQ108" i="1"/>
  <c r="GQ109" i="1"/>
  <c r="GQ110" i="1"/>
  <c r="GQ111" i="1"/>
  <c r="GQ112" i="1"/>
  <c r="GQ113" i="1"/>
  <c r="GQ114" i="1"/>
  <c r="GQ115" i="1"/>
  <c r="GQ116" i="1"/>
  <c r="GQ117" i="1"/>
  <c r="GQ118" i="1"/>
  <c r="GQ119" i="1"/>
  <c r="GQ120" i="1"/>
  <c r="GQ121" i="1"/>
  <c r="GQ122" i="1"/>
  <c r="GQ123" i="1"/>
  <c r="GQ124" i="1"/>
  <c r="GQ125" i="1"/>
  <c r="GQ126" i="1"/>
  <c r="GQ127" i="1"/>
  <c r="GQ128" i="1"/>
  <c r="GQ129" i="1"/>
  <c r="GQ130" i="1"/>
  <c r="GQ131" i="1"/>
  <c r="GQ132" i="1"/>
  <c r="GQ133" i="1"/>
  <c r="GQ134" i="1"/>
  <c r="GQ135" i="1"/>
  <c r="GQ136" i="1"/>
  <c r="GQ137" i="1"/>
  <c r="GQ138" i="1"/>
  <c r="GQ139" i="1"/>
  <c r="GQ140" i="1"/>
  <c r="GQ141" i="1"/>
  <c r="GQ142" i="1"/>
  <c r="GQ143" i="1"/>
  <c r="GQ144" i="1"/>
  <c r="GQ145" i="1"/>
  <c r="GQ146" i="1"/>
  <c r="GQ147" i="1"/>
  <c r="GQ148" i="1"/>
  <c r="GQ149" i="1"/>
  <c r="GQ150" i="1"/>
  <c r="GQ151" i="1"/>
  <c r="GQ152" i="1"/>
  <c r="GQ153" i="1"/>
  <c r="GQ154" i="1"/>
  <c r="GQ155" i="1"/>
  <c r="GQ156" i="1"/>
  <c r="GQ157" i="1"/>
  <c r="GQ158" i="1"/>
  <c r="GQ159" i="1"/>
  <c r="GQ160" i="1"/>
  <c r="GQ161" i="1"/>
  <c r="GQ162" i="1"/>
  <c r="GQ163" i="1"/>
  <c r="GQ164" i="1"/>
  <c r="GQ165" i="1"/>
  <c r="GQ166" i="1"/>
  <c r="GQ167" i="1"/>
  <c r="GQ168" i="1"/>
  <c r="GQ169" i="1"/>
  <c r="GQ170" i="1"/>
  <c r="GQ171" i="1"/>
  <c r="GQ172" i="1"/>
  <c r="GQ173" i="1"/>
  <c r="GQ174" i="1"/>
  <c r="GQ175" i="1"/>
  <c r="GQ176" i="1"/>
  <c r="GQ177" i="1"/>
  <c r="GQ178" i="1"/>
  <c r="GQ179" i="1"/>
  <c r="GQ180" i="1"/>
  <c r="GQ181" i="1"/>
  <c r="GQ182" i="1"/>
  <c r="GQ183" i="1"/>
  <c r="GQ184" i="1"/>
  <c r="GQ185" i="1"/>
  <c r="GQ186" i="1"/>
  <c r="GQ187" i="1"/>
  <c r="GQ188" i="1"/>
  <c r="GQ189" i="1"/>
  <c r="GQ190" i="1"/>
  <c r="GQ191" i="1"/>
  <c r="GQ192" i="1"/>
  <c r="GQ193" i="1"/>
  <c r="GQ194" i="1"/>
  <c r="GQ195" i="1"/>
  <c r="GQ196" i="1"/>
  <c r="GQ197" i="1"/>
  <c r="GQ198" i="1"/>
  <c r="GQ199" i="1"/>
  <c r="GQ200" i="1"/>
  <c r="GQ201" i="1"/>
  <c r="GQ202" i="1"/>
  <c r="GQ203" i="1"/>
  <c r="GQ204" i="1"/>
  <c r="GQ205" i="1"/>
  <c r="GQ206" i="1"/>
  <c r="GQ207" i="1"/>
  <c r="GQ208" i="1"/>
  <c r="GQ209" i="1"/>
  <c r="GQ210" i="1"/>
  <c r="GQ211" i="1"/>
  <c r="GQ212" i="1"/>
  <c r="GQ213" i="1"/>
  <c r="GQ214" i="1"/>
  <c r="GQ215" i="1"/>
  <c r="GQ216" i="1"/>
  <c r="GQ217" i="1"/>
  <c r="GQ218" i="1"/>
  <c r="GQ219" i="1"/>
  <c r="GQ220" i="1"/>
  <c r="GQ221" i="1"/>
  <c r="GQ222" i="1"/>
  <c r="GQ223" i="1"/>
  <c r="GQ224" i="1"/>
  <c r="GQ225" i="1"/>
  <c r="GQ226" i="1"/>
  <c r="GQ227" i="1"/>
  <c r="GQ228" i="1"/>
  <c r="GQ229" i="1"/>
  <c r="GQ230" i="1"/>
  <c r="GQ231" i="1"/>
  <c r="GQ232" i="1"/>
  <c r="GQ233" i="1"/>
  <c r="GQ234" i="1"/>
  <c r="GQ235" i="1"/>
  <c r="GQ236" i="1"/>
  <c r="GQ237" i="1"/>
  <c r="GQ238" i="1"/>
  <c r="GQ239" i="1"/>
  <c r="GQ240" i="1"/>
  <c r="GQ241" i="1"/>
  <c r="GQ242" i="1"/>
  <c r="GQ243" i="1"/>
  <c r="GQ244" i="1"/>
  <c r="GQ245" i="1"/>
  <c r="GQ246" i="1"/>
  <c r="GQ247" i="1"/>
  <c r="GQ248" i="1"/>
  <c r="GQ249" i="1"/>
  <c r="GQ250" i="1"/>
  <c r="GQ251" i="1"/>
  <c r="GQ252" i="1"/>
  <c r="GQ253" i="1"/>
  <c r="GQ254" i="1"/>
  <c r="GQ255" i="1"/>
  <c r="GQ256" i="1"/>
  <c r="GQ257" i="1"/>
  <c r="GQ258" i="1"/>
  <c r="GQ259" i="1"/>
  <c r="GQ260" i="1"/>
  <c r="GQ261" i="1"/>
  <c r="GQ262" i="1"/>
  <c r="GQ263" i="1"/>
  <c r="GQ264" i="1"/>
  <c r="GQ265" i="1"/>
  <c r="GQ266" i="1"/>
  <c r="GQ267" i="1"/>
  <c r="GQ268" i="1"/>
  <c r="GQ269" i="1"/>
  <c r="GQ270" i="1"/>
  <c r="GQ271" i="1"/>
  <c r="GQ272" i="1"/>
  <c r="GQ273" i="1"/>
  <c r="GQ274" i="1"/>
  <c r="GQ275" i="1"/>
  <c r="GQ276" i="1"/>
  <c r="GQ277" i="1"/>
  <c r="GQ278" i="1"/>
  <c r="GQ279" i="1"/>
  <c r="GQ280" i="1"/>
  <c r="GQ281" i="1"/>
  <c r="GQ282" i="1"/>
  <c r="GQ283" i="1"/>
  <c r="GQ284" i="1"/>
  <c r="GQ285" i="1"/>
  <c r="GQ286" i="1"/>
  <c r="GQ287" i="1"/>
  <c r="GQ288" i="1"/>
  <c r="GQ289" i="1"/>
  <c r="GQ290" i="1"/>
  <c r="GQ291" i="1"/>
  <c r="GQ292" i="1"/>
  <c r="GQ293" i="1"/>
  <c r="GQ294" i="1"/>
  <c r="GQ295" i="1"/>
  <c r="GQ296" i="1"/>
  <c r="GQ297" i="1"/>
  <c r="GQ298" i="1"/>
  <c r="GQ299" i="1"/>
  <c r="GQ300" i="1"/>
  <c r="GQ301" i="1"/>
  <c r="GQ302" i="1"/>
  <c r="GQ303" i="1"/>
  <c r="GQ304" i="1"/>
  <c r="GQ305" i="1"/>
  <c r="GQ306" i="1"/>
  <c r="GQ307" i="1"/>
  <c r="GQ308" i="1"/>
  <c r="GQ309" i="1"/>
  <c r="GQ310" i="1"/>
  <c r="GQ311" i="1"/>
  <c r="GQ312" i="1"/>
  <c r="GQ313" i="1"/>
  <c r="GQ314" i="1"/>
  <c r="GQ315" i="1"/>
  <c r="GQ316" i="1"/>
  <c r="GQ317" i="1"/>
  <c r="GQ318" i="1"/>
  <c r="DZ13" i="1"/>
  <c r="H12" i="1"/>
  <c r="N12" i="1"/>
  <c r="BJ13" i="1"/>
  <c r="AT16" i="1"/>
  <c r="AB13" i="1"/>
  <c r="BI12" i="1"/>
  <c r="JE12" i="1"/>
  <c r="JF13" i="1"/>
  <c r="HG13" i="1"/>
  <c r="AA26" i="1"/>
  <c r="CA13" i="1"/>
  <c r="BZ13" i="1"/>
  <c r="IM13" i="1"/>
  <c r="FH13" i="1"/>
  <c r="FH14" i="1"/>
  <c r="CR13" i="1"/>
  <c r="CQ13" i="1"/>
  <c r="JD13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208" i="1"/>
  <c r="DJ209" i="1"/>
  <c r="DJ210" i="1"/>
  <c r="DJ211" i="1"/>
  <c r="DJ212" i="1"/>
  <c r="DJ213" i="1"/>
  <c r="DJ214" i="1"/>
  <c r="DJ215" i="1"/>
  <c r="DJ216" i="1"/>
  <c r="DJ217" i="1"/>
  <c r="DJ218" i="1"/>
  <c r="DJ219" i="1"/>
  <c r="DJ220" i="1"/>
  <c r="DJ221" i="1"/>
  <c r="DJ222" i="1"/>
  <c r="DJ223" i="1"/>
  <c r="DJ224" i="1"/>
  <c r="DJ225" i="1"/>
  <c r="DJ226" i="1"/>
  <c r="DJ227" i="1"/>
  <c r="DJ228" i="1"/>
  <c r="DJ229" i="1"/>
  <c r="DJ230" i="1"/>
  <c r="DJ231" i="1"/>
  <c r="DJ232" i="1"/>
  <c r="DJ233" i="1"/>
  <c r="DJ234" i="1"/>
  <c r="DJ235" i="1"/>
  <c r="DJ236" i="1"/>
  <c r="DJ237" i="1"/>
  <c r="DJ238" i="1"/>
  <c r="DJ239" i="1"/>
  <c r="DJ240" i="1"/>
  <c r="DJ241" i="1"/>
  <c r="DJ242" i="1"/>
  <c r="DJ243" i="1"/>
  <c r="DJ244" i="1"/>
  <c r="DJ245" i="1"/>
  <c r="DJ246" i="1"/>
  <c r="DJ247" i="1"/>
  <c r="DJ248" i="1"/>
  <c r="DJ249" i="1"/>
  <c r="DJ250" i="1"/>
  <c r="DJ251" i="1"/>
  <c r="DJ252" i="1"/>
  <c r="DJ253" i="1"/>
  <c r="DJ254" i="1"/>
  <c r="DJ255" i="1"/>
  <c r="DJ256" i="1"/>
  <c r="DJ257" i="1"/>
  <c r="DJ258" i="1"/>
  <c r="DJ259" i="1"/>
  <c r="DJ260" i="1"/>
  <c r="DJ261" i="1"/>
  <c r="DJ262" i="1"/>
  <c r="DJ263" i="1"/>
  <c r="DJ264" i="1"/>
  <c r="DJ265" i="1"/>
  <c r="DJ266" i="1"/>
  <c r="DJ267" i="1"/>
  <c r="DJ268" i="1"/>
  <c r="DJ269" i="1"/>
  <c r="DJ270" i="1"/>
  <c r="DJ271" i="1"/>
  <c r="DJ272" i="1"/>
  <c r="DJ273" i="1"/>
  <c r="DJ274" i="1"/>
  <c r="DJ275" i="1"/>
  <c r="DJ276" i="1"/>
  <c r="DJ277" i="1"/>
  <c r="DJ278" i="1"/>
  <c r="DJ279" i="1"/>
  <c r="DJ280" i="1"/>
  <c r="DJ281" i="1"/>
  <c r="DJ282" i="1"/>
  <c r="DJ283" i="1"/>
  <c r="DJ284" i="1"/>
  <c r="DJ285" i="1"/>
  <c r="DJ286" i="1"/>
  <c r="DJ287" i="1"/>
  <c r="DJ288" i="1"/>
  <c r="DJ289" i="1"/>
  <c r="DJ290" i="1"/>
  <c r="DJ291" i="1"/>
  <c r="DJ292" i="1"/>
  <c r="DJ293" i="1"/>
  <c r="DJ294" i="1"/>
  <c r="DJ295" i="1"/>
  <c r="DJ296" i="1"/>
  <c r="DJ297" i="1"/>
  <c r="DJ298" i="1"/>
  <c r="DJ299" i="1"/>
  <c r="DJ300" i="1"/>
  <c r="DJ301" i="1"/>
  <c r="DJ302" i="1"/>
  <c r="DJ303" i="1"/>
  <c r="DJ304" i="1"/>
  <c r="DJ305" i="1"/>
  <c r="DJ306" i="1"/>
  <c r="DJ307" i="1"/>
  <c r="DJ308" i="1"/>
  <c r="DJ309" i="1"/>
  <c r="DJ310" i="1"/>
  <c r="DJ311" i="1"/>
  <c r="DJ312" i="1"/>
  <c r="DJ313" i="1"/>
  <c r="DJ314" i="1"/>
  <c r="DJ315" i="1"/>
  <c r="DJ316" i="1"/>
  <c r="DJ317" i="1"/>
  <c r="DJ318" i="1"/>
  <c r="IP13" i="1"/>
  <c r="IP14" i="1"/>
  <c r="IP15" i="1"/>
  <c r="IP16" i="1"/>
  <c r="IP17" i="1"/>
  <c r="IP18" i="1"/>
  <c r="IP19" i="1"/>
  <c r="IP20" i="1"/>
  <c r="IP21" i="1"/>
  <c r="IP22" i="1"/>
  <c r="IP23" i="1"/>
  <c r="IP24" i="1"/>
  <c r="IP25" i="1"/>
  <c r="IP26" i="1"/>
  <c r="IP27" i="1"/>
  <c r="IP28" i="1"/>
  <c r="IP29" i="1"/>
  <c r="IP30" i="1"/>
  <c r="IP31" i="1"/>
  <c r="IP32" i="1"/>
  <c r="IP33" i="1"/>
  <c r="IP34" i="1"/>
  <c r="IP35" i="1"/>
  <c r="IP36" i="1"/>
  <c r="IP37" i="1"/>
  <c r="IP38" i="1"/>
  <c r="IP39" i="1"/>
  <c r="IP40" i="1"/>
  <c r="IP41" i="1"/>
  <c r="IP42" i="1"/>
  <c r="IP43" i="1"/>
  <c r="IP44" i="1"/>
  <c r="IP45" i="1"/>
  <c r="IP46" i="1"/>
  <c r="IP47" i="1"/>
  <c r="IP48" i="1"/>
  <c r="IP49" i="1"/>
  <c r="IP50" i="1"/>
  <c r="IP51" i="1"/>
  <c r="IP52" i="1"/>
  <c r="IP53" i="1"/>
  <c r="IP54" i="1"/>
  <c r="IP55" i="1"/>
  <c r="IP56" i="1"/>
  <c r="IP57" i="1"/>
  <c r="IP58" i="1"/>
  <c r="IP59" i="1"/>
  <c r="IP60" i="1"/>
  <c r="IP61" i="1"/>
  <c r="IP62" i="1"/>
  <c r="IP63" i="1"/>
  <c r="IP64" i="1"/>
  <c r="IP65" i="1"/>
  <c r="IP66" i="1"/>
  <c r="IP67" i="1"/>
  <c r="IP68" i="1"/>
  <c r="IP69" i="1"/>
  <c r="IP70" i="1"/>
  <c r="IP71" i="1"/>
  <c r="IP72" i="1"/>
  <c r="IP73" i="1"/>
  <c r="IP74" i="1"/>
  <c r="IP75" i="1"/>
  <c r="IP76" i="1"/>
  <c r="IP77" i="1"/>
  <c r="IP78" i="1"/>
  <c r="IP79" i="1"/>
  <c r="IP80" i="1"/>
  <c r="IP81" i="1"/>
  <c r="IP82" i="1"/>
  <c r="IP83" i="1"/>
  <c r="IP84" i="1"/>
  <c r="IP85" i="1"/>
  <c r="IP86" i="1"/>
  <c r="IP87" i="1"/>
  <c r="IP88" i="1"/>
  <c r="IP89" i="1"/>
  <c r="IP90" i="1"/>
  <c r="IP91" i="1"/>
  <c r="IP92" i="1"/>
  <c r="IP93" i="1"/>
  <c r="IP94" i="1"/>
  <c r="IP95" i="1"/>
  <c r="IP96" i="1"/>
  <c r="IP97" i="1"/>
  <c r="IP98" i="1"/>
  <c r="IP99" i="1"/>
  <c r="IP100" i="1"/>
  <c r="IP101" i="1"/>
  <c r="IP102" i="1"/>
  <c r="IP103" i="1"/>
  <c r="IP104" i="1"/>
  <c r="IP105" i="1"/>
  <c r="IP106" i="1"/>
  <c r="IP107" i="1"/>
  <c r="IP108" i="1"/>
  <c r="IP109" i="1"/>
  <c r="IP110" i="1"/>
  <c r="IP111" i="1"/>
  <c r="IP112" i="1"/>
  <c r="IP113" i="1"/>
  <c r="IP114" i="1"/>
  <c r="IP115" i="1"/>
  <c r="IP116" i="1"/>
  <c r="IP117" i="1"/>
  <c r="IP118" i="1"/>
  <c r="IP119" i="1"/>
  <c r="IP120" i="1"/>
  <c r="IP121" i="1"/>
  <c r="IP122" i="1"/>
  <c r="IP123" i="1"/>
  <c r="IP124" i="1"/>
  <c r="IP125" i="1"/>
  <c r="IP126" i="1"/>
  <c r="IP127" i="1"/>
  <c r="IP128" i="1"/>
  <c r="IP129" i="1"/>
  <c r="IP130" i="1"/>
  <c r="IP131" i="1"/>
  <c r="IP132" i="1"/>
  <c r="IP133" i="1"/>
  <c r="IP134" i="1"/>
  <c r="IP135" i="1"/>
  <c r="IP136" i="1"/>
  <c r="IP137" i="1"/>
  <c r="IP138" i="1"/>
  <c r="IP139" i="1"/>
  <c r="IP140" i="1"/>
  <c r="IP141" i="1"/>
  <c r="IP142" i="1"/>
  <c r="IP143" i="1"/>
  <c r="IP144" i="1"/>
  <c r="IP145" i="1"/>
  <c r="IP146" i="1"/>
  <c r="IP147" i="1"/>
  <c r="IP148" i="1"/>
  <c r="IP149" i="1"/>
  <c r="IP150" i="1"/>
  <c r="IP151" i="1"/>
  <c r="IP152" i="1"/>
  <c r="IP153" i="1"/>
  <c r="IP154" i="1"/>
  <c r="IP155" i="1"/>
  <c r="IP156" i="1"/>
  <c r="IP157" i="1"/>
  <c r="IP158" i="1"/>
  <c r="IP159" i="1"/>
  <c r="IP160" i="1"/>
  <c r="IP161" i="1"/>
  <c r="IP162" i="1"/>
  <c r="IP163" i="1"/>
  <c r="IP164" i="1"/>
  <c r="IP165" i="1"/>
  <c r="IP166" i="1"/>
  <c r="IP167" i="1"/>
  <c r="IP168" i="1"/>
  <c r="IP169" i="1"/>
  <c r="IP170" i="1"/>
  <c r="IP171" i="1"/>
  <c r="IP172" i="1"/>
  <c r="IP173" i="1"/>
  <c r="IP174" i="1"/>
  <c r="IP175" i="1"/>
  <c r="IP176" i="1"/>
  <c r="IP177" i="1"/>
  <c r="IP178" i="1"/>
  <c r="IP179" i="1"/>
  <c r="IP180" i="1"/>
  <c r="IP181" i="1"/>
  <c r="IP182" i="1"/>
  <c r="IP183" i="1"/>
  <c r="IP184" i="1"/>
  <c r="IP185" i="1"/>
  <c r="IP186" i="1"/>
  <c r="IP187" i="1"/>
  <c r="IP188" i="1"/>
  <c r="IP189" i="1"/>
  <c r="IP190" i="1"/>
  <c r="IP191" i="1"/>
  <c r="IP192" i="1"/>
  <c r="IP193" i="1"/>
  <c r="IP194" i="1"/>
  <c r="IP195" i="1"/>
  <c r="IP196" i="1"/>
  <c r="IP197" i="1"/>
  <c r="IP198" i="1"/>
  <c r="IP199" i="1"/>
  <c r="IP200" i="1"/>
  <c r="IP201" i="1"/>
  <c r="IP202" i="1"/>
  <c r="IP203" i="1"/>
  <c r="IP204" i="1"/>
  <c r="IP205" i="1"/>
  <c r="IP206" i="1"/>
  <c r="IP207" i="1"/>
  <c r="IP208" i="1"/>
  <c r="IP209" i="1"/>
  <c r="IP210" i="1"/>
  <c r="IP211" i="1"/>
  <c r="IP212" i="1"/>
  <c r="IP213" i="1"/>
  <c r="IP214" i="1"/>
  <c r="IP215" i="1"/>
  <c r="IP216" i="1"/>
  <c r="IP217" i="1"/>
  <c r="IP218" i="1"/>
  <c r="IP219" i="1"/>
  <c r="IP220" i="1"/>
  <c r="IP221" i="1"/>
  <c r="IP222" i="1"/>
  <c r="IP223" i="1"/>
  <c r="IP224" i="1"/>
  <c r="IP225" i="1"/>
  <c r="IP226" i="1"/>
  <c r="IP227" i="1"/>
  <c r="IP228" i="1"/>
  <c r="IP229" i="1"/>
  <c r="IP230" i="1"/>
  <c r="IP231" i="1"/>
  <c r="IP232" i="1"/>
  <c r="IP233" i="1"/>
  <c r="IP234" i="1"/>
  <c r="IP235" i="1"/>
  <c r="IP236" i="1"/>
  <c r="IP237" i="1"/>
  <c r="IP238" i="1"/>
  <c r="IP239" i="1"/>
  <c r="IP240" i="1"/>
  <c r="IP241" i="1"/>
  <c r="IP242" i="1"/>
  <c r="IP243" i="1"/>
  <c r="IP244" i="1"/>
  <c r="IP245" i="1"/>
  <c r="IP246" i="1"/>
  <c r="IP247" i="1"/>
  <c r="IP248" i="1"/>
  <c r="IP249" i="1"/>
  <c r="IP250" i="1"/>
  <c r="IP251" i="1"/>
  <c r="IP252" i="1"/>
  <c r="IP253" i="1"/>
  <c r="IP254" i="1"/>
  <c r="IP255" i="1"/>
  <c r="IP256" i="1"/>
  <c r="IP257" i="1"/>
  <c r="IP258" i="1"/>
  <c r="IP259" i="1"/>
  <c r="IP260" i="1"/>
  <c r="IP261" i="1"/>
  <c r="IP262" i="1"/>
  <c r="IP263" i="1"/>
  <c r="IP264" i="1"/>
  <c r="IP265" i="1"/>
  <c r="IP266" i="1"/>
  <c r="IP267" i="1"/>
  <c r="IP268" i="1"/>
  <c r="IP269" i="1"/>
  <c r="IP270" i="1"/>
  <c r="IP271" i="1"/>
  <c r="IP272" i="1"/>
  <c r="IP273" i="1"/>
  <c r="IP274" i="1"/>
  <c r="IP275" i="1"/>
  <c r="IP276" i="1"/>
  <c r="IP277" i="1"/>
  <c r="IP278" i="1"/>
  <c r="IP279" i="1"/>
  <c r="IP280" i="1"/>
  <c r="IP281" i="1"/>
  <c r="IP282" i="1"/>
  <c r="IP283" i="1"/>
  <c r="IP284" i="1"/>
  <c r="IP285" i="1"/>
  <c r="IP286" i="1"/>
  <c r="IP287" i="1"/>
  <c r="IP288" i="1"/>
  <c r="IP289" i="1"/>
  <c r="IP290" i="1"/>
  <c r="IP291" i="1"/>
  <c r="IP292" i="1"/>
  <c r="IP293" i="1"/>
  <c r="IP294" i="1"/>
  <c r="IP295" i="1"/>
  <c r="IP296" i="1"/>
  <c r="IP297" i="1"/>
  <c r="IP298" i="1"/>
  <c r="IP299" i="1"/>
  <c r="IP300" i="1"/>
  <c r="IP301" i="1"/>
  <c r="IP302" i="1"/>
  <c r="IP303" i="1"/>
  <c r="IP304" i="1"/>
  <c r="IP305" i="1"/>
  <c r="IP306" i="1"/>
  <c r="IP307" i="1"/>
  <c r="IP308" i="1"/>
  <c r="IP309" i="1"/>
  <c r="IP310" i="1"/>
  <c r="IP311" i="1"/>
  <c r="IP312" i="1"/>
  <c r="IP313" i="1"/>
  <c r="IP314" i="1"/>
  <c r="IP315" i="1"/>
  <c r="IP316" i="1"/>
  <c r="IP317" i="1"/>
  <c r="IP318" i="1"/>
  <c r="HW13" i="1"/>
  <c r="HX14" i="1"/>
  <c r="HF13" i="1"/>
  <c r="HG14" i="1"/>
  <c r="DI15" i="1"/>
  <c r="FY14" i="1"/>
  <c r="DZ14" i="1"/>
  <c r="DY13" i="1"/>
  <c r="EQ14" i="1"/>
  <c r="DY12" i="1"/>
  <c r="IO16" i="1"/>
  <c r="GP14" i="1"/>
  <c r="BJ14" i="1"/>
  <c r="BI13" i="1"/>
  <c r="AB14" i="1"/>
  <c r="AB15" i="1"/>
  <c r="AS15" i="1"/>
  <c r="H11" i="1"/>
  <c r="N11" i="1"/>
  <c r="AT17" i="1"/>
  <c r="JE13" i="1"/>
  <c r="JF14" i="1"/>
  <c r="CA14" i="1"/>
  <c r="BZ14" i="1"/>
  <c r="IM14" i="1"/>
  <c r="FG13" i="1"/>
  <c r="CR14" i="1"/>
  <c r="IN13" i="1"/>
  <c r="IN15" i="1"/>
  <c r="IN14" i="1"/>
  <c r="DH14" i="1"/>
  <c r="DH13" i="1"/>
  <c r="HW14" i="1"/>
  <c r="HX15" i="1"/>
  <c r="EQ15" i="1"/>
  <c r="DZ15" i="1"/>
  <c r="DY14" i="1"/>
  <c r="DI16" i="1"/>
  <c r="DH15" i="1"/>
  <c r="FY15" i="1"/>
  <c r="IO17" i="1"/>
  <c r="IN16" i="1"/>
  <c r="HF14" i="1"/>
  <c r="HG15" i="1"/>
  <c r="FH15" i="1"/>
  <c r="FG14" i="1"/>
  <c r="GP15" i="1"/>
  <c r="AS16" i="1"/>
  <c r="BJ15" i="1"/>
  <c r="BI14" i="1"/>
  <c r="H14" i="1"/>
  <c r="N14" i="1"/>
  <c r="H13" i="1"/>
  <c r="N13" i="1"/>
  <c r="AT18" i="1"/>
  <c r="AB16" i="1"/>
  <c r="CA15" i="1"/>
  <c r="BZ15" i="1"/>
  <c r="IM15" i="1"/>
  <c r="JF15" i="1"/>
  <c r="JE14" i="1"/>
  <c r="CQ14" i="1"/>
  <c r="JD14" i="1"/>
  <c r="CR15" i="1"/>
  <c r="HW15" i="1"/>
  <c r="HX16" i="1"/>
  <c r="IO18" i="1"/>
  <c r="IN17" i="1"/>
  <c r="DZ16" i="1"/>
  <c r="DY15" i="1"/>
  <c r="HF15" i="1"/>
  <c r="HG16" i="1"/>
  <c r="FH16" i="1"/>
  <c r="FG15" i="1"/>
  <c r="FY16" i="1"/>
  <c r="DI17" i="1"/>
  <c r="DH16" i="1"/>
  <c r="EQ16" i="1"/>
  <c r="GP16" i="1"/>
  <c r="BJ16" i="1"/>
  <c r="BI15" i="1"/>
  <c r="AS17" i="1"/>
  <c r="H15" i="1"/>
  <c r="N15" i="1"/>
  <c r="CA16" i="1"/>
  <c r="AT19" i="1"/>
  <c r="AB17" i="1"/>
  <c r="JF16" i="1"/>
  <c r="JE15" i="1"/>
  <c r="CR16" i="1"/>
  <c r="CQ15" i="1"/>
  <c r="JD15" i="1"/>
  <c r="HX17" i="1"/>
  <c r="HW16" i="1"/>
  <c r="DI18" i="1"/>
  <c r="DH17" i="1"/>
  <c r="FH17" i="1"/>
  <c r="FG16" i="1"/>
  <c r="IO19" i="1"/>
  <c r="IN18" i="1"/>
  <c r="BZ16" i="1"/>
  <c r="EQ17" i="1"/>
  <c r="FY17" i="1"/>
  <c r="HF16" i="1"/>
  <c r="HG17" i="1"/>
  <c r="DZ17" i="1"/>
  <c r="DY16" i="1"/>
  <c r="GP17" i="1"/>
  <c r="AS18" i="1"/>
  <c r="BJ17" i="1"/>
  <c r="BI16" i="1"/>
  <c r="CA17" i="1"/>
  <c r="H16" i="1"/>
  <c r="N16" i="1"/>
  <c r="AT20" i="1"/>
  <c r="AB18" i="1"/>
  <c r="JE16" i="1"/>
  <c r="JF17" i="1"/>
  <c r="CR17" i="1"/>
  <c r="CQ16" i="1"/>
  <c r="JD16" i="1"/>
  <c r="HW17" i="1"/>
  <c r="HX18" i="1"/>
  <c r="EQ18" i="1"/>
  <c r="FY18" i="1"/>
  <c r="IM16" i="1"/>
  <c r="FH18" i="1"/>
  <c r="FG17" i="1"/>
  <c r="BZ17" i="1"/>
  <c r="IM17" i="1"/>
  <c r="DZ18" i="1"/>
  <c r="DY17" i="1"/>
  <c r="HF17" i="1"/>
  <c r="HG18" i="1"/>
  <c r="IO20" i="1"/>
  <c r="IN19" i="1"/>
  <c r="DI19" i="1"/>
  <c r="DH18" i="1"/>
  <c r="GP18" i="1"/>
  <c r="BJ18" i="1"/>
  <c r="BI17" i="1"/>
  <c r="AS19" i="1"/>
  <c r="H17" i="1"/>
  <c r="N17" i="1"/>
  <c r="P11" i="1"/>
  <c r="CA18" i="1"/>
  <c r="AT21" i="1"/>
  <c r="AB19" i="1"/>
  <c r="JF18" i="1"/>
  <c r="JE17" i="1"/>
  <c r="CR18" i="1"/>
  <c r="CQ17" i="1"/>
  <c r="JD17" i="1"/>
  <c r="HW18" i="1"/>
  <c r="HX19" i="1"/>
  <c r="DI20" i="1"/>
  <c r="DH19" i="1"/>
  <c r="EQ19" i="1"/>
  <c r="FY19" i="1"/>
  <c r="IO21" i="1"/>
  <c r="IN20" i="1"/>
  <c r="DZ19" i="1"/>
  <c r="DY18" i="1"/>
  <c r="FH19" i="1"/>
  <c r="FG18" i="1"/>
  <c r="HG19" i="1"/>
  <c r="HF18" i="1"/>
  <c r="BZ18" i="1"/>
  <c r="IM18" i="1"/>
  <c r="GP19" i="1"/>
  <c r="BJ19" i="1"/>
  <c r="BI18" i="1"/>
  <c r="AS20" i="1"/>
  <c r="H18" i="1"/>
  <c r="N18" i="1"/>
  <c r="CA19" i="1"/>
  <c r="AT22" i="1"/>
  <c r="AB20" i="1"/>
  <c r="JE18" i="1"/>
  <c r="JF19" i="1"/>
  <c r="CR19" i="1"/>
  <c r="CQ18" i="1"/>
  <c r="JD18" i="1"/>
  <c r="HW19" i="1"/>
  <c r="HX20" i="1"/>
  <c r="FH20" i="1"/>
  <c r="FG19" i="1"/>
  <c r="IO22" i="1"/>
  <c r="IN21" i="1"/>
  <c r="EQ20" i="1"/>
  <c r="HF19" i="1"/>
  <c r="HG20" i="1"/>
  <c r="BZ19" i="1"/>
  <c r="IM19" i="1"/>
  <c r="DZ20" i="1"/>
  <c r="DY19" i="1"/>
  <c r="FY20" i="1"/>
  <c r="DI21" i="1"/>
  <c r="DH20" i="1"/>
  <c r="GP20" i="1"/>
  <c r="AS21" i="1"/>
  <c r="BJ20" i="1"/>
  <c r="BI19" i="1"/>
  <c r="H19" i="1"/>
  <c r="N19" i="1"/>
  <c r="CA20" i="1"/>
  <c r="AT23" i="1"/>
  <c r="AB21" i="1"/>
  <c r="JF20" i="1"/>
  <c r="JE19" i="1"/>
  <c r="CR20" i="1"/>
  <c r="CQ19" i="1"/>
  <c r="JD19" i="1"/>
  <c r="HX21" i="1"/>
  <c r="HW20" i="1"/>
  <c r="DZ21" i="1"/>
  <c r="DY20" i="1"/>
  <c r="IO23" i="1"/>
  <c r="IN22" i="1"/>
  <c r="FY21" i="1"/>
  <c r="BZ20" i="1"/>
  <c r="IM20" i="1"/>
  <c r="EQ21" i="1"/>
  <c r="DI22" i="1"/>
  <c r="DH21" i="1"/>
  <c r="HG21" i="1"/>
  <c r="HF20" i="1"/>
  <c r="FH21" i="1"/>
  <c r="FG20" i="1"/>
  <c r="GP21" i="1"/>
  <c r="AS22" i="1"/>
  <c r="BJ21" i="1"/>
  <c r="BI20" i="1"/>
  <c r="CA21" i="1"/>
  <c r="H20" i="1"/>
  <c r="N20" i="1"/>
  <c r="AT24" i="1"/>
  <c r="AB22" i="1"/>
  <c r="JE20" i="1"/>
  <c r="JF21" i="1"/>
  <c r="CR21" i="1"/>
  <c r="CQ20" i="1"/>
  <c r="JD20" i="1"/>
  <c r="HW21" i="1"/>
  <c r="HX22" i="1"/>
  <c r="HF21" i="1"/>
  <c r="HG22" i="1"/>
  <c r="EQ22" i="1"/>
  <c r="IO24" i="1"/>
  <c r="IN23" i="1"/>
  <c r="FY22" i="1"/>
  <c r="BZ21" i="1"/>
  <c r="FH22" i="1"/>
  <c r="FG21" i="1"/>
  <c r="DI23" i="1"/>
  <c r="DH22" i="1"/>
  <c r="DZ22" i="1"/>
  <c r="DY21" i="1"/>
  <c r="GP22" i="1"/>
  <c r="BJ22" i="1"/>
  <c r="BI21" i="1"/>
  <c r="AS23" i="1"/>
  <c r="H21" i="1"/>
  <c r="N21" i="1"/>
  <c r="CA22" i="1"/>
  <c r="AT25" i="1"/>
  <c r="AB23" i="1"/>
  <c r="JF22" i="1"/>
  <c r="JE21" i="1"/>
  <c r="CQ21" i="1"/>
  <c r="JD21" i="1"/>
  <c r="CR22" i="1"/>
  <c r="IM21" i="1"/>
  <c r="HW22" i="1"/>
  <c r="HX23" i="1"/>
  <c r="IO25" i="1"/>
  <c r="IN24" i="1"/>
  <c r="DZ23" i="1"/>
  <c r="DY22" i="1"/>
  <c r="DI24" i="1"/>
  <c r="DH23" i="1"/>
  <c r="HG23" i="1"/>
  <c r="HF22" i="1"/>
  <c r="BZ22" i="1"/>
  <c r="IM22" i="1"/>
  <c r="FH23" i="1"/>
  <c r="FG22" i="1"/>
  <c r="FY23" i="1"/>
  <c r="EQ23" i="1"/>
  <c r="BJ23" i="1"/>
  <c r="BI22" i="1"/>
  <c r="AS24" i="1"/>
  <c r="H22" i="1"/>
  <c r="N22" i="1"/>
  <c r="CA23" i="1"/>
  <c r="AT26" i="1"/>
  <c r="JE22" i="1"/>
  <c r="JF23" i="1"/>
  <c r="CQ22" i="1"/>
  <c r="JD22" i="1"/>
  <c r="CR23" i="1"/>
  <c r="HW23" i="1"/>
  <c r="HX24" i="1"/>
  <c r="EQ24" i="1"/>
  <c r="DY23" i="1"/>
  <c r="DZ24" i="1"/>
  <c r="HF23" i="1"/>
  <c r="HG24" i="1"/>
  <c r="FH24" i="1"/>
  <c r="FG23" i="1"/>
  <c r="DI25" i="1"/>
  <c r="DH24" i="1"/>
  <c r="FY24" i="1"/>
  <c r="IO26" i="1"/>
  <c r="IN25" i="1"/>
  <c r="BZ23" i="1"/>
  <c r="IM23" i="1"/>
  <c r="GP24" i="1"/>
  <c r="GO23" i="1"/>
  <c r="AS25" i="1"/>
  <c r="BJ24" i="1"/>
  <c r="BI23" i="1"/>
  <c r="CA24" i="1"/>
  <c r="H23" i="1"/>
  <c r="N23" i="1"/>
  <c r="AT27" i="1"/>
  <c r="JF24" i="1"/>
  <c r="JE23" i="1"/>
  <c r="CQ23" i="1"/>
  <c r="JD23" i="1"/>
  <c r="CR24" i="1"/>
  <c r="HX25" i="1"/>
  <c r="HW24" i="1"/>
  <c r="FY25" i="1"/>
  <c r="EQ25" i="1"/>
  <c r="IN26" i="1"/>
  <c r="IO27" i="1"/>
  <c r="FH25" i="1"/>
  <c r="FG24" i="1"/>
  <c r="DZ25" i="1"/>
  <c r="DY24" i="1"/>
  <c r="DI26" i="1"/>
  <c r="DH25" i="1"/>
  <c r="HF24" i="1"/>
  <c r="HG25" i="1"/>
  <c r="BZ24" i="1"/>
  <c r="IM24" i="1"/>
  <c r="GP25" i="1"/>
  <c r="GO24" i="1"/>
  <c r="BJ25" i="1"/>
  <c r="BI24" i="1"/>
  <c r="AS26" i="1"/>
  <c r="CA25" i="1"/>
  <c r="H24" i="1"/>
  <c r="N24" i="1"/>
  <c r="P18" i="1"/>
  <c r="AT28" i="1"/>
  <c r="JE24" i="1"/>
  <c r="JF25" i="1"/>
  <c r="CR25" i="1"/>
  <c r="CQ24" i="1"/>
  <c r="JD24" i="1"/>
  <c r="HW25" i="1"/>
  <c r="HX26" i="1"/>
  <c r="EQ26" i="1"/>
  <c r="DZ26" i="1"/>
  <c r="DY25" i="1"/>
  <c r="DH26" i="1"/>
  <c r="DI27" i="1"/>
  <c r="IO28" i="1"/>
  <c r="IN27" i="1"/>
  <c r="HF25" i="1"/>
  <c r="HG26" i="1"/>
  <c r="FG25" i="1"/>
  <c r="FH26" i="1"/>
  <c r="FY26" i="1"/>
  <c r="BZ25" i="1"/>
  <c r="IM25" i="1"/>
  <c r="GP26" i="1"/>
  <c r="GO25" i="1"/>
  <c r="BJ26" i="1"/>
  <c r="BI25" i="1"/>
  <c r="AS27" i="1"/>
  <c r="H25" i="1"/>
  <c r="N25" i="1"/>
  <c r="CA26" i="1"/>
  <c r="AB27" i="1"/>
  <c r="AA27" i="1"/>
  <c r="JF26" i="1"/>
  <c r="JE25" i="1"/>
  <c r="CR26" i="1"/>
  <c r="CQ25" i="1"/>
  <c r="JD25" i="1"/>
  <c r="HW26" i="1"/>
  <c r="HX27" i="1"/>
  <c r="FH27" i="1"/>
  <c r="FG26" i="1"/>
  <c r="HF26" i="1"/>
  <c r="HG27" i="1"/>
  <c r="DH27" i="1"/>
  <c r="DI28" i="1"/>
  <c r="DZ27" i="1"/>
  <c r="DY26" i="1"/>
  <c r="FY27" i="1"/>
  <c r="IO29" i="1"/>
  <c r="IN28" i="1"/>
  <c r="EQ27" i="1"/>
  <c r="BZ26" i="1"/>
  <c r="IM26" i="1"/>
  <c r="GP27" i="1"/>
  <c r="GO26" i="1"/>
  <c r="BJ27" i="1"/>
  <c r="BI26" i="1"/>
  <c r="AS28" i="1"/>
  <c r="H26" i="1"/>
  <c r="N26" i="1"/>
  <c r="CA27" i="1"/>
  <c r="AT30" i="1"/>
  <c r="AB28" i="1"/>
  <c r="AA28" i="1"/>
  <c r="JE26" i="1"/>
  <c r="JF27" i="1"/>
  <c r="CR27" i="1"/>
  <c r="CQ26" i="1"/>
  <c r="JD26" i="1"/>
  <c r="HW27" i="1"/>
  <c r="HX28" i="1"/>
  <c r="DI29" i="1"/>
  <c r="DH28" i="1"/>
  <c r="EQ28" i="1"/>
  <c r="FH28" i="1"/>
  <c r="FG27" i="1"/>
  <c r="IO30" i="1"/>
  <c r="IN29" i="1"/>
  <c r="HF27" i="1"/>
  <c r="HG28" i="1"/>
  <c r="FY28" i="1"/>
  <c r="DY27" i="1"/>
  <c r="DZ28" i="1"/>
  <c r="BZ27" i="1"/>
  <c r="IM27" i="1"/>
  <c r="GP28" i="1"/>
  <c r="GO27" i="1"/>
  <c r="BJ28" i="1"/>
  <c r="BI27" i="1"/>
  <c r="CA28" i="1"/>
  <c r="H27" i="1"/>
  <c r="N27" i="1"/>
  <c r="AT31" i="1"/>
  <c r="AB29" i="1"/>
  <c r="AA29" i="1"/>
  <c r="JF28" i="1"/>
  <c r="JE27" i="1"/>
  <c r="CR28" i="1"/>
  <c r="CQ27" i="1"/>
  <c r="JD27" i="1"/>
  <c r="HX29" i="1"/>
  <c r="HW28" i="1"/>
  <c r="DZ29" i="1"/>
  <c r="DY28" i="1"/>
  <c r="HF28" i="1"/>
  <c r="HG29" i="1"/>
  <c r="FG28" i="1"/>
  <c r="FH29" i="1"/>
  <c r="DI30" i="1"/>
  <c r="DH29" i="1"/>
  <c r="FY29" i="1"/>
  <c r="EQ29" i="1"/>
  <c r="IO31" i="1"/>
  <c r="IN30" i="1"/>
  <c r="BZ28" i="1"/>
  <c r="IM28" i="1"/>
  <c r="GP29" i="1"/>
  <c r="GO28" i="1"/>
  <c r="AS30" i="1"/>
  <c r="AR29" i="1"/>
  <c r="BJ29" i="1"/>
  <c r="BI28" i="1"/>
  <c r="CA29" i="1"/>
  <c r="H28" i="1"/>
  <c r="N28" i="1"/>
  <c r="AT32" i="1"/>
  <c r="AB30" i="1"/>
  <c r="AA30" i="1"/>
  <c r="JE28" i="1"/>
  <c r="JF29" i="1"/>
  <c r="CQ28" i="1"/>
  <c r="JD28" i="1"/>
  <c r="CR29" i="1"/>
  <c r="HW29" i="1"/>
  <c r="HX30" i="1"/>
  <c r="IO32" i="1"/>
  <c r="IN31" i="1"/>
  <c r="EQ30" i="1"/>
  <c r="DI31" i="1"/>
  <c r="DH30" i="1"/>
  <c r="FY30" i="1"/>
  <c r="FG29" i="1"/>
  <c r="FH30" i="1"/>
  <c r="HF29" i="1"/>
  <c r="HG30" i="1"/>
  <c r="DZ30" i="1"/>
  <c r="DY29" i="1"/>
  <c r="BZ29" i="1"/>
  <c r="IM29" i="1"/>
  <c r="GP30" i="1"/>
  <c r="GO29" i="1"/>
  <c r="BJ30" i="1"/>
  <c r="BI29" i="1"/>
  <c r="AS31" i="1"/>
  <c r="AR30" i="1"/>
  <c r="H29" i="1"/>
  <c r="N29" i="1"/>
  <c r="CA30" i="1"/>
  <c r="AT33" i="1"/>
  <c r="AB31" i="1"/>
  <c r="AA31" i="1"/>
  <c r="JF30" i="1"/>
  <c r="JE29" i="1"/>
  <c r="CR30" i="1"/>
  <c r="CQ29" i="1"/>
  <c r="JD29" i="1"/>
  <c r="HW30" i="1"/>
  <c r="HX31" i="1"/>
  <c r="EQ31" i="1"/>
  <c r="HF30" i="1"/>
  <c r="HG31" i="1"/>
  <c r="FY31" i="1"/>
  <c r="FG30" i="1"/>
  <c r="FH31" i="1"/>
  <c r="DZ31" i="1"/>
  <c r="DY30" i="1"/>
  <c r="DI32" i="1"/>
  <c r="DH31" i="1"/>
  <c r="IO33" i="1"/>
  <c r="IN32" i="1"/>
  <c r="BZ30" i="1"/>
  <c r="IM30" i="1"/>
  <c r="GP31" i="1"/>
  <c r="GO30" i="1"/>
  <c r="AS32" i="1"/>
  <c r="AR31" i="1"/>
  <c r="BJ31" i="1"/>
  <c r="BI30" i="1"/>
  <c r="H30" i="1"/>
  <c r="N30" i="1"/>
  <c r="CA31" i="1"/>
  <c r="AT34" i="1"/>
  <c r="AB32" i="1"/>
  <c r="AA32" i="1"/>
  <c r="JE30" i="1"/>
  <c r="JF31" i="1"/>
  <c r="CR31" i="1"/>
  <c r="CQ30" i="1"/>
  <c r="JD30" i="1"/>
  <c r="HW31" i="1"/>
  <c r="HX32" i="1"/>
  <c r="DZ32" i="1"/>
  <c r="DY31" i="1"/>
  <c r="FY32" i="1"/>
  <c r="IO34" i="1"/>
  <c r="IN33" i="1"/>
  <c r="FH32" i="1"/>
  <c r="FG31" i="1"/>
  <c r="EQ32" i="1"/>
  <c r="HF31" i="1"/>
  <c r="HG32" i="1"/>
  <c r="DH32" i="1"/>
  <c r="DI33" i="1"/>
  <c r="BZ31" i="1"/>
  <c r="IM31" i="1"/>
  <c r="GP32" i="1"/>
  <c r="GO31" i="1"/>
  <c r="BJ32" i="1"/>
  <c r="BI31" i="1"/>
  <c r="AS33" i="1"/>
  <c r="AR32" i="1"/>
  <c r="H31" i="1"/>
  <c r="N31" i="1"/>
  <c r="CA32" i="1"/>
  <c r="AT35" i="1"/>
  <c r="AB33" i="1"/>
  <c r="AA33" i="1"/>
  <c r="JF32" i="1"/>
  <c r="JE31" i="1"/>
  <c r="CR32" i="1"/>
  <c r="CQ31" i="1"/>
  <c r="JD31" i="1"/>
  <c r="P25" i="1"/>
  <c r="HX33" i="1"/>
  <c r="HW32" i="1"/>
  <c r="EQ33" i="1"/>
  <c r="HF32" i="1"/>
  <c r="HG33" i="1"/>
  <c r="FY33" i="1"/>
  <c r="DI34" i="1"/>
  <c r="DH33" i="1"/>
  <c r="FH33" i="1"/>
  <c r="FG32" i="1"/>
  <c r="IN34" i="1"/>
  <c r="IO35" i="1"/>
  <c r="DZ33" i="1"/>
  <c r="DY32" i="1"/>
  <c r="BZ32" i="1"/>
  <c r="IM32" i="1"/>
  <c r="GP33" i="1"/>
  <c r="GO32" i="1"/>
  <c r="BJ33" i="1"/>
  <c r="BI32" i="1"/>
  <c r="AS34" i="1"/>
  <c r="AR33" i="1"/>
  <c r="H32" i="1"/>
  <c r="N32" i="1"/>
  <c r="CA33" i="1"/>
  <c r="AT36" i="1"/>
  <c r="AB34" i="1"/>
  <c r="AA34" i="1"/>
  <c r="JE32" i="1"/>
  <c r="JF33" i="1"/>
  <c r="CQ32" i="1"/>
  <c r="JD32" i="1"/>
  <c r="CR33" i="1"/>
  <c r="HW33" i="1"/>
  <c r="HX34" i="1"/>
  <c r="DY33" i="1"/>
  <c r="DZ34" i="1"/>
  <c r="DI35" i="1"/>
  <c r="DH34" i="1"/>
  <c r="IN35" i="1"/>
  <c r="IO36" i="1"/>
  <c r="HF33" i="1"/>
  <c r="HG34" i="1"/>
  <c r="FY34" i="1"/>
  <c r="FH34" i="1"/>
  <c r="FG33" i="1"/>
  <c r="EQ34" i="1"/>
  <c r="BZ33" i="1"/>
  <c r="IM33" i="1"/>
  <c r="GP34" i="1"/>
  <c r="GO33" i="1"/>
  <c r="AS35" i="1"/>
  <c r="AR34" i="1"/>
  <c r="BJ34" i="1"/>
  <c r="BI33" i="1"/>
  <c r="H33" i="1"/>
  <c r="N33" i="1"/>
  <c r="CA34" i="1"/>
  <c r="AT37" i="1"/>
  <c r="AB35" i="1"/>
  <c r="AA35" i="1"/>
  <c r="JF34" i="1"/>
  <c r="JE33" i="1"/>
  <c r="CR34" i="1"/>
  <c r="CQ33" i="1"/>
  <c r="JD33" i="1"/>
  <c r="HW34" i="1"/>
  <c r="HX35" i="1"/>
  <c r="FY35" i="1"/>
  <c r="HG35" i="1"/>
  <c r="HF34" i="1"/>
  <c r="EQ35" i="1"/>
  <c r="DI36" i="1"/>
  <c r="DH35" i="1"/>
  <c r="DY34" i="1"/>
  <c r="DZ35" i="1"/>
  <c r="FH35" i="1"/>
  <c r="FG34" i="1"/>
  <c r="IO37" i="1"/>
  <c r="IN36" i="1"/>
  <c r="BZ34" i="1"/>
  <c r="IM34" i="1"/>
  <c r="GP35" i="1"/>
  <c r="GO34" i="1"/>
  <c r="AS36" i="1"/>
  <c r="AR35" i="1"/>
  <c r="BJ35" i="1"/>
  <c r="BI34" i="1"/>
  <c r="H34" i="1"/>
  <c r="N34" i="1"/>
  <c r="CA35" i="1"/>
  <c r="AT38" i="1"/>
  <c r="AB36" i="1"/>
  <c r="AA36" i="1"/>
  <c r="JE34" i="1"/>
  <c r="JF35" i="1"/>
  <c r="CR35" i="1"/>
  <c r="CQ34" i="1"/>
  <c r="JD34" i="1"/>
  <c r="HW35" i="1"/>
  <c r="HX36" i="1"/>
  <c r="DI37" i="1"/>
  <c r="DH36" i="1"/>
  <c r="HF35" i="1"/>
  <c r="HG36" i="1"/>
  <c r="FH36" i="1"/>
  <c r="FG35" i="1"/>
  <c r="DZ36" i="1"/>
  <c r="DY35" i="1"/>
  <c r="IO38" i="1"/>
  <c r="IN37" i="1"/>
  <c r="FY36" i="1"/>
  <c r="BZ35" i="1"/>
  <c r="IM35" i="1"/>
  <c r="GP36" i="1"/>
  <c r="GO35" i="1"/>
  <c r="BJ36" i="1"/>
  <c r="BI35" i="1"/>
  <c r="AS37" i="1"/>
  <c r="AR36" i="1"/>
  <c r="H35" i="1"/>
  <c r="N35" i="1"/>
  <c r="CA36" i="1"/>
  <c r="AT39" i="1"/>
  <c r="AB37" i="1"/>
  <c r="AA37" i="1"/>
  <c r="JF36" i="1"/>
  <c r="JE35" i="1"/>
  <c r="CR36" i="1"/>
  <c r="CQ35" i="1"/>
  <c r="JD35" i="1"/>
  <c r="HX37" i="1"/>
  <c r="HW36" i="1"/>
  <c r="IO39" i="1"/>
  <c r="IN38" i="1"/>
  <c r="FH37" i="1"/>
  <c r="FG36" i="1"/>
  <c r="DI38" i="1"/>
  <c r="DH37" i="1"/>
  <c r="FY37" i="1"/>
  <c r="EP36" i="1"/>
  <c r="EQ37" i="1"/>
  <c r="HG37" i="1"/>
  <c r="HF36" i="1"/>
  <c r="DY36" i="1"/>
  <c r="DZ37" i="1"/>
  <c r="BZ36" i="1"/>
  <c r="IM36" i="1"/>
  <c r="GP37" i="1"/>
  <c r="GO36" i="1"/>
  <c r="BJ37" i="1"/>
  <c r="BI36" i="1"/>
  <c r="AS38" i="1"/>
  <c r="AR37" i="1"/>
  <c r="H36" i="1"/>
  <c r="N36" i="1"/>
  <c r="CA37" i="1"/>
  <c r="AT40" i="1"/>
  <c r="AB38" i="1"/>
  <c r="AA38" i="1"/>
  <c r="JE36" i="1"/>
  <c r="JF37" i="1"/>
  <c r="CR37" i="1"/>
  <c r="CQ36" i="1"/>
  <c r="JD36" i="1"/>
  <c r="HW37" i="1"/>
  <c r="HX38" i="1"/>
  <c r="HF37" i="1"/>
  <c r="HG38" i="1"/>
  <c r="FY38" i="1"/>
  <c r="FH38" i="1"/>
  <c r="FG37" i="1"/>
  <c r="DY37" i="1"/>
  <c r="DZ38" i="1"/>
  <c r="EP37" i="1"/>
  <c r="EQ38" i="1"/>
  <c r="DI39" i="1"/>
  <c r="DH38" i="1"/>
  <c r="IO40" i="1"/>
  <c r="IN39" i="1"/>
  <c r="BZ37" i="1"/>
  <c r="IM37" i="1"/>
  <c r="GP38" i="1"/>
  <c r="GO37" i="1"/>
  <c r="BJ38" i="1"/>
  <c r="BI37" i="1"/>
  <c r="AS39" i="1"/>
  <c r="AR38" i="1"/>
  <c r="H37" i="1"/>
  <c r="N37" i="1"/>
  <c r="CA38" i="1"/>
  <c r="AT41" i="1"/>
  <c r="AB39" i="1"/>
  <c r="AA39" i="1"/>
  <c r="JF38" i="1"/>
  <c r="JE37" i="1"/>
  <c r="CR38" i="1"/>
  <c r="CQ37" i="1"/>
  <c r="JD37" i="1"/>
  <c r="HW38" i="1"/>
  <c r="HX39" i="1"/>
  <c r="IO41" i="1"/>
  <c r="IN40" i="1"/>
  <c r="EQ39" i="1"/>
  <c r="EP38" i="1"/>
  <c r="FH39" i="1"/>
  <c r="FG38" i="1"/>
  <c r="DZ39" i="1"/>
  <c r="DY38" i="1"/>
  <c r="HG39" i="1"/>
  <c r="HF38" i="1"/>
  <c r="DH39" i="1"/>
  <c r="DI40" i="1"/>
  <c r="FY39" i="1"/>
  <c r="BZ38" i="1"/>
  <c r="IM38" i="1"/>
  <c r="GP39" i="1"/>
  <c r="GO38" i="1"/>
  <c r="AS40" i="1"/>
  <c r="AR39" i="1"/>
  <c r="BJ39" i="1"/>
  <c r="BI38" i="1"/>
  <c r="H38" i="1"/>
  <c r="N38" i="1"/>
  <c r="P32" i="1"/>
  <c r="CA39" i="1"/>
  <c r="AT42" i="1"/>
  <c r="AB40" i="1"/>
  <c r="AA40" i="1"/>
  <c r="JE38" i="1"/>
  <c r="JF39" i="1"/>
  <c r="CR39" i="1"/>
  <c r="CQ38" i="1"/>
  <c r="JD38" i="1"/>
  <c r="HW39" i="1"/>
  <c r="HX40" i="1"/>
  <c r="DH40" i="1"/>
  <c r="DI41" i="1"/>
  <c r="HF39" i="1"/>
  <c r="HG40" i="1"/>
  <c r="FX39" i="1"/>
  <c r="FY40" i="1"/>
  <c r="DY39" i="1"/>
  <c r="DZ40" i="1"/>
  <c r="EP39" i="1"/>
  <c r="EQ40" i="1"/>
  <c r="FG39" i="1"/>
  <c r="FH40" i="1"/>
  <c r="IO42" i="1"/>
  <c r="IN41" i="1"/>
  <c r="BZ39" i="1"/>
  <c r="IM39" i="1"/>
  <c r="GP40" i="1"/>
  <c r="GO39" i="1"/>
  <c r="AS41" i="1"/>
  <c r="AR40" i="1"/>
  <c r="BJ40" i="1"/>
  <c r="BI39" i="1"/>
  <c r="CA40" i="1"/>
  <c r="H39" i="1"/>
  <c r="N39" i="1"/>
  <c r="AT43" i="1"/>
  <c r="AB41" i="1"/>
  <c r="AA41" i="1"/>
  <c r="JF40" i="1"/>
  <c r="JE39" i="1"/>
  <c r="CR40" i="1"/>
  <c r="CQ39" i="1"/>
  <c r="JD39" i="1"/>
  <c r="HX41" i="1"/>
  <c r="HW40" i="1"/>
  <c r="IO43" i="1"/>
  <c r="IN42" i="1"/>
  <c r="DY40" i="1"/>
  <c r="DZ41" i="1"/>
  <c r="HF40" i="1"/>
  <c r="HG41" i="1"/>
  <c r="FH41" i="1"/>
  <c r="FG40" i="1"/>
  <c r="EP40" i="1"/>
  <c r="EQ41" i="1"/>
  <c r="FX40" i="1"/>
  <c r="FY41" i="1"/>
  <c r="DI42" i="1"/>
  <c r="DH41" i="1"/>
  <c r="BZ40" i="1"/>
  <c r="IM40" i="1"/>
  <c r="GP41" i="1"/>
  <c r="GO40" i="1"/>
  <c r="AS42" i="1"/>
  <c r="AR41" i="1"/>
  <c r="BJ41" i="1"/>
  <c r="BI40" i="1"/>
  <c r="CA41" i="1"/>
  <c r="H40" i="1"/>
  <c r="N40" i="1"/>
  <c r="AT44" i="1"/>
  <c r="AT45" i="1"/>
  <c r="AB42" i="1"/>
  <c r="AA42" i="1"/>
  <c r="JE40" i="1"/>
  <c r="JF41" i="1"/>
  <c r="CR41" i="1"/>
  <c r="CQ40" i="1"/>
  <c r="JD40" i="1"/>
  <c r="HW41" i="1"/>
  <c r="HX42" i="1"/>
  <c r="DI43" i="1"/>
  <c r="DH42" i="1"/>
  <c r="FH42" i="1"/>
  <c r="FG41" i="1"/>
  <c r="DY41" i="1"/>
  <c r="DZ42" i="1"/>
  <c r="FY42" i="1"/>
  <c r="FX41" i="1"/>
  <c r="HF41" i="1"/>
  <c r="HG42" i="1"/>
  <c r="EP41" i="1"/>
  <c r="EQ42" i="1"/>
  <c r="IO44" i="1"/>
  <c r="IN43" i="1"/>
  <c r="BZ41" i="1"/>
  <c r="IM41" i="1"/>
  <c r="GP42" i="1"/>
  <c r="GO41" i="1"/>
  <c r="BJ42" i="1"/>
  <c r="BI41" i="1"/>
  <c r="AS43" i="1"/>
  <c r="AR42" i="1"/>
  <c r="H41" i="1"/>
  <c r="N41" i="1"/>
  <c r="CA42" i="1"/>
  <c r="AT46" i="1"/>
  <c r="AB43" i="1"/>
  <c r="AA43" i="1"/>
  <c r="JF42" i="1"/>
  <c r="JE41" i="1"/>
  <c r="CR42" i="1"/>
  <c r="CQ41" i="1"/>
  <c r="JD41" i="1"/>
  <c r="HW42" i="1"/>
  <c r="HX43" i="1"/>
  <c r="IO45" i="1"/>
  <c r="IN44" i="1"/>
  <c r="HF42" i="1"/>
  <c r="HG43" i="1"/>
  <c r="FG42" i="1"/>
  <c r="FH43" i="1"/>
  <c r="FX42" i="1"/>
  <c r="DZ43" i="1"/>
  <c r="DY42" i="1"/>
  <c r="EQ43" i="1"/>
  <c r="EP42" i="1"/>
  <c r="DI44" i="1"/>
  <c r="DH43" i="1"/>
  <c r="BZ42" i="1"/>
  <c r="GP43" i="1"/>
  <c r="GO42" i="1"/>
  <c r="BJ43" i="1"/>
  <c r="BI42" i="1"/>
  <c r="AS44" i="1"/>
  <c r="AR43" i="1"/>
  <c r="H42" i="1"/>
  <c r="N42" i="1"/>
  <c r="CA43" i="1"/>
  <c r="BZ43" i="1"/>
  <c r="AT47" i="1"/>
  <c r="AB44" i="1"/>
  <c r="AA44" i="1"/>
  <c r="JE42" i="1"/>
  <c r="JF43" i="1"/>
  <c r="CQ42" i="1"/>
  <c r="JD42" i="1"/>
  <c r="CR43" i="1"/>
  <c r="HW43" i="1"/>
  <c r="HX44" i="1"/>
  <c r="DI45" i="1"/>
  <c r="DH44" i="1"/>
  <c r="FY44" i="1"/>
  <c r="FX43" i="1"/>
  <c r="FH44" i="1"/>
  <c r="FG43" i="1"/>
  <c r="HF43" i="1"/>
  <c r="HG44" i="1"/>
  <c r="EP43" i="1"/>
  <c r="EQ44" i="1"/>
  <c r="DY43" i="1"/>
  <c r="DZ44" i="1"/>
  <c r="IN45" i="1"/>
  <c r="IO46" i="1"/>
  <c r="IM42" i="1"/>
  <c r="IM43" i="1"/>
  <c r="GP44" i="1"/>
  <c r="GO43" i="1"/>
  <c r="AS45" i="1"/>
  <c r="AR44" i="1"/>
  <c r="BJ44" i="1"/>
  <c r="BI43" i="1"/>
  <c r="H43" i="1"/>
  <c r="N43" i="1"/>
  <c r="CA44" i="1"/>
  <c r="AT48" i="1"/>
  <c r="AB45" i="1"/>
  <c r="AA45" i="1"/>
  <c r="JF44" i="1"/>
  <c r="JE43" i="1"/>
  <c r="CQ43" i="1"/>
  <c r="JD43" i="1"/>
  <c r="CR44" i="1"/>
  <c r="HX45" i="1"/>
  <c r="HW44" i="1"/>
  <c r="DY44" i="1"/>
  <c r="DZ45" i="1"/>
  <c r="IN46" i="1"/>
  <c r="IO47" i="1"/>
  <c r="FH45" i="1"/>
  <c r="FG44" i="1"/>
  <c r="EQ45" i="1"/>
  <c r="EP44" i="1"/>
  <c r="HF44" i="1"/>
  <c r="HG45" i="1"/>
  <c r="FY45" i="1"/>
  <c r="FX44" i="1"/>
  <c r="DI46" i="1"/>
  <c r="DH45" i="1"/>
  <c r="BZ44" i="1"/>
  <c r="IM44" i="1"/>
  <c r="GP45" i="1"/>
  <c r="GO44" i="1"/>
  <c r="AS46" i="1"/>
  <c r="AR45" i="1"/>
  <c r="BJ45" i="1"/>
  <c r="BI44" i="1"/>
  <c r="CA45" i="1"/>
  <c r="H44" i="1"/>
  <c r="N44" i="1"/>
  <c r="AT49" i="1"/>
  <c r="AB46" i="1"/>
  <c r="AA46" i="1"/>
  <c r="JE44" i="1"/>
  <c r="JF45" i="1"/>
  <c r="CQ44" i="1"/>
  <c r="JD44" i="1"/>
  <c r="CR45" i="1"/>
  <c r="HW45" i="1"/>
  <c r="HX46" i="1"/>
  <c r="EP45" i="1"/>
  <c r="EQ46" i="1"/>
  <c r="DI47" i="1"/>
  <c r="DH46" i="1"/>
  <c r="HF45" i="1"/>
  <c r="HG46" i="1"/>
  <c r="FH46" i="1"/>
  <c r="FG45" i="1"/>
  <c r="DZ46" i="1"/>
  <c r="DY45" i="1"/>
  <c r="FY46" i="1"/>
  <c r="FX45" i="1"/>
  <c r="IN47" i="1"/>
  <c r="IO48" i="1"/>
  <c r="BZ45" i="1"/>
  <c r="IM45" i="1"/>
  <c r="GP46" i="1"/>
  <c r="GO45" i="1"/>
  <c r="AS47" i="1"/>
  <c r="AR46" i="1"/>
  <c r="BJ46" i="1"/>
  <c r="BI45" i="1"/>
  <c r="H45" i="1"/>
  <c r="N45" i="1"/>
  <c r="P39" i="1"/>
  <c r="CA46" i="1"/>
  <c r="AT50" i="1"/>
  <c r="AB47" i="1"/>
  <c r="AA47" i="1"/>
  <c r="JF46" i="1"/>
  <c r="JE45" i="1"/>
  <c r="CQ45" i="1"/>
  <c r="JD45" i="1"/>
  <c r="CR46" i="1"/>
  <c r="HW46" i="1"/>
  <c r="HX47" i="1"/>
  <c r="EP46" i="1"/>
  <c r="EQ47" i="1"/>
  <c r="DY46" i="1"/>
  <c r="DZ47" i="1"/>
  <c r="DI48" i="1"/>
  <c r="DH47" i="1"/>
  <c r="FY47" i="1"/>
  <c r="FX46" i="1"/>
  <c r="HF46" i="1"/>
  <c r="HG47" i="1"/>
  <c r="IO49" i="1"/>
  <c r="IN48" i="1"/>
  <c r="FH47" i="1"/>
  <c r="FG46" i="1"/>
  <c r="BZ46" i="1"/>
  <c r="IM46" i="1"/>
  <c r="GP47" i="1"/>
  <c r="GO46" i="1"/>
  <c r="BJ47" i="1"/>
  <c r="BI46" i="1"/>
  <c r="AS48" i="1"/>
  <c r="AR47" i="1"/>
  <c r="H46" i="1"/>
  <c r="N46" i="1"/>
  <c r="CA47" i="1"/>
  <c r="AT51" i="1"/>
  <c r="AB48" i="1"/>
  <c r="AA48" i="1"/>
  <c r="JE46" i="1"/>
  <c r="JF47" i="1"/>
  <c r="CQ46" i="1"/>
  <c r="JD46" i="1"/>
  <c r="CR47" i="1"/>
  <c r="HX48" i="1"/>
  <c r="HW47" i="1"/>
  <c r="FH48" i="1"/>
  <c r="FG47" i="1"/>
  <c r="IO50" i="1"/>
  <c r="IN49" i="1"/>
  <c r="DI49" i="1"/>
  <c r="DH48" i="1"/>
  <c r="DY47" i="1"/>
  <c r="DZ48" i="1"/>
  <c r="FY48" i="1"/>
  <c r="FX47" i="1"/>
  <c r="EP47" i="1"/>
  <c r="EQ48" i="1"/>
  <c r="HF47" i="1"/>
  <c r="HG48" i="1"/>
  <c r="BZ47" i="1"/>
  <c r="IM47" i="1"/>
  <c r="GP48" i="1"/>
  <c r="GO47" i="1"/>
  <c r="AS49" i="1"/>
  <c r="AR48" i="1"/>
  <c r="BJ48" i="1"/>
  <c r="BI47" i="1"/>
  <c r="H47" i="1"/>
  <c r="N47" i="1"/>
  <c r="CA48" i="1"/>
  <c r="AT52" i="1"/>
  <c r="AB49" i="1"/>
  <c r="AA49" i="1"/>
  <c r="JF48" i="1"/>
  <c r="JE47" i="1"/>
  <c r="CQ47" i="1"/>
  <c r="JD47" i="1"/>
  <c r="CR48" i="1"/>
  <c r="HW48" i="1"/>
  <c r="HX49" i="1"/>
  <c r="DY48" i="1"/>
  <c r="DZ49" i="1"/>
  <c r="HG49" i="1"/>
  <c r="HF48" i="1"/>
  <c r="IO51" i="1"/>
  <c r="IN50" i="1"/>
  <c r="FY49" i="1"/>
  <c r="FX48" i="1"/>
  <c r="EP48" i="1"/>
  <c r="EQ49" i="1"/>
  <c r="DI50" i="1"/>
  <c r="DH49" i="1"/>
  <c r="FH49" i="1"/>
  <c r="FG48" i="1"/>
  <c r="BZ48" i="1"/>
  <c r="IM48" i="1"/>
  <c r="GP49" i="1"/>
  <c r="GO48" i="1"/>
  <c r="BJ49" i="1"/>
  <c r="BI48" i="1"/>
  <c r="AS50" i="1"/>
  <c r="AR49" i="1"/>
  <c r="H48" i="1"/>
  <c r="N48" i="1"/>
  <c r="CA49" i="1"/>
  <c r="AT53" i="1"/>
  <c r="AB50" i="1"/>
  <c r="AA50" i="1"/>
  <c r="JE48" i="1"/>
  <c r="JF49" i="1"/>
  <c r="CQ48" i="1"/>
  <c r="JD48" i="1"/>
  <c r="CR49" i="1"/>
  <c r="HW49" i="1"/>
  <c r="HX50" i="1"/>
  <c r="FH50" i="1"/>
  <c r="FG49" i="1"/>
  <c r="IO52" i="1"/>
  <c r="IN51" i="1"/>
  <c r="HF49" i="1"/>
  <c r="HG50" i="1"/>
  <c r="DI51" i="1"/>
  <c r="DH50" i="1"/>
  <c r="EQ50" i="1"/>
  <c r="EP49" i="1"/>
  <c r="FY50" i="1"/>
  <c r="FX49" i="1"/>
  <c r="DZ50" i="1"/>
  <c r="DY49" i="1"/>
  <c r="BZ49" i="1"/>
  <c r="IM49" i="1"/>
  <c r="GP50" i="1"/>
  <c r="GO49" i="1"/>
  <c r="AS51" i="1"/>
  <c r="AR50" i="1"/>
  <c r="BJ50" i="1"/>
  <c r="BI49" i="1"/>
  <c r="H49" i="1"/>
  <c r="N49" i="1"/>
  <c r="CA50" i="1"/>
  <c r="AT54" i="1"/>
  <c r="AB51" i="1"/>
  <c r="AA51" i="1"/>
  <c r="JF50" i="1"/>
  <c r="JE49" i="1"/>
  <c r="CR50" i="1"/>
  <c r="CQ49" i="1"/>
  <c r="JD49" i="1"/>
  <c r="HW50" i="1"/>
  <c r="HX51" i="1"/>
  <c r="HG51" i="1"/>
  <c r="HF50" i="1"/>
  <c r="FY51" i="1"/>
  <c r="FX50" i="1"/>
  <c r="DI52" i="1"/>
  <c r="DH51" i="1"/>
  <c r="DZ51" i="1"/>
  <c r="DY50" i="1"/>
  <c r="EQ51" i="1"/>
  <c r="EP50" i="1"/>
  <c r="IO53" i="1"/>
  <c r="IN52" i="1"/>
  <c r="FH51" i="1"/>
  <c r="FG50" i="1"/>
  <c r="BZ50" i="1"/>
  <c r="IM50" i="1"/>
  <c r="GP51" i="1"/>
  <c r="GO50" i="1"/>
  <c r="BJ51" i="1"/>
  <c r="BI50" i="1"/>
  <c r="AS52" i="1"/>
  <c r="AR51" i="1"/>
  <c r="H50" i="1"/>
  <c r="N50" i="1"/>
  <c r="CA51" i="1"/>
  <c r="AT55" i="1"/>
  <c r="AB52" i="1"/>
  <c r="AA52" i="1"/>
  <c r="JE50" i="1"/>
  <c r="JF51" i="1"/>
  <c r="CR51" i="1"/>
  <c r="CQ50" i="1"/>
  <c r="JD50" i="1"/>
  <c r="HX52" i="1"/>
  <c r="HW51" i="1"/>
  <c r="IO54" i="1"/>
  <c r="IN53" i="1"/>
  <c r="EP51" i="1"/>
  <c r="EQ52" i="1"/>
  <c r="FY52" i="1"/>
  <c r="FX51" i="1"/>
  <c r="FH52" i="1"/>
  <c r="FG51" i="1"/>
  <c r="DY51" i="1"/>
  <c r="DZ52" i="1"/>
  <c r="DI53" i="1"/>
  <c r="DH52" i="1"/>
  <c r="HF51" i="1"/>
  <c r="HG52" i="1"/>
  <c r="BZ51" i="1"/>
  <c r="IM51" i="1"/>
  <c r="GP52" i="1"/>
  <c r="GO51" i="1"/>
  <c r="AS53" i="1"/>
  <c r="AR52" i="1"/>
  <c r="BJ52" i="1"/>
  <c r="BI51" i="1"/>
  <c r="CA52" i="1"/>
  <c r="H51" i="1"/>
  <c r="N51" i="1"/>
  <c r="AT56" i="1"/>
  <c r="AB53" i="1"/>
  <c r="AA53" i="1"/>
  <c r="JF52" i="1"/>
  <c r="JE51" i="1"/>
  <c r="CR52" i="1"/>
  <c r="CQ51" i="1"/>
  <c r="JD51" i="1"/>
  <c r="HW52" i="1"/>
  <c r="HX53" i="1"/>
  <c r="DH53" i="1"/>
  <c r="DI54" i="1"/>
  <c r="EQ53" i="1"/>
  <c r="EP52" i="1"/>
  <c r="HG53" i="1"/>
  <c r="HF52" i="1"/>
  <c r="FY53" i="1"/>
  <c r="FX52" i="1"/>
  <c r="DZ53" i="1"/>
  <c r="DY52" i="1"/>
  <c r="FG52" i="1"/>
  <c r="FH53" i="1"/>
  <c r="IN54" i="1"/>
  <c r="IO55" i="1"/>
  <c r="BZ52" i="1"/>
  <c r="IM52" i="1"/>
  <c r="GP53" i="1"/>
  <c r="GO52" i="1"/>
  <c r="BJ53" i="1"/>
  <c r="BI52" i="1"/>
  <c r="AS54" i="1"/>
  <c r="AR53" i="1"/>
  <c r="H52" i="1"/>
  <c r="N52" i="1"/>
  <c r="P46" i="1"/>
  <c r="CA53" i="1"/>
  <c r="AT57" i="1"/>
  <c r="AB54" i="1"/>
  <c r="AA54" i="1"/>
  <c r="JE52" i="1"/>
  <c r="JF53" i="1"/>
  <c r="CQ52" i="1"/>
  <c r="JD52" i="1"/>
  <c r="CR53" i="1"/>
  <c r="HX54" i="1"/>
  <c r="HW53" i="1"/>
  <c r="IO56" i="1"/>
  <c r="IN55" i="1"/>
  <c r="DZ54" i="1"/>
  <c r="DY53" i="1"/>
  <c r="HF53" i="1"/>
  <c r="HG54" i="1"/>
  <c r="DI55" i="1"/>
  <c r="DH54" i="1"/>
  <c r="FH54" i="1"/>
  <c r="FG53" i="1"/>
  <c r="FX53" i="1"/>
  <c r="FY54" i="1"/>
  <c r="EQ54" i="1"/>
  <c r="EP53" i="1"/>
  <c r="BZ53" i="1"/>
  <c r="GP54" i="1"/>
  <c r="GO53" i="1"/>
  <c r="AS55" i="1"/>
  <c r="AR54" i="1"/>
  <c r="BJ54" i="1"/>
  <c r="BI53" i="1"/>
  <c r="H53" i="1"/>
  <c r="N53" i="1"/>
  <c r="CA54" i="1"/>
  <c r="AT58" i="1"/>
  <c r="AB55" i="1"/>
  <c r="AA55" i="1"/>
  <c r="JF54" i="1"/>
  <c r="JE53" i="1"/>
  <c r="CQ53" i="1"/>
  <c r="JD53" i="1"/>
  <c r="CR54" i="1"/>
  <c r="HW54" i="1"/>
  <c r="HX55" i="1"/>
  <c r="EP54" i="1"/>
  <c r="EQ55" i="1"/>
  <c r="DI56" i="1"/>
  <c r="DH55" i="1"/>
  <c r="FY55" i="1"/>
  <c r="FX54" i="1"/>
  <c r="HG55" i="1"/>
  <c r="HF54" i="1"/>
  <c r="DY54" i="1"/>
  <c r="DZ55" i="1"/>
  <c r="FH55" i="1"/>
  <c r="FG54" i="1"/>
  <c r="IO57" i="1"/>
  <c r="IN56" i="1"/>
  <c r="IM53" i="1"/>
  <c r="BZ54" i="1"/>
  <c r="IM54" i="1"/>
  <c r="GP55" i="1"/>
  <c r="GO54" i="1"/>
  <c r="BJ55" i="1"/>
  <c r="BI54" i="1"/>
  <c r="AS56" i="1"/>
  <c r="AR55" i="1"/>
  <c r="H54" i="1"/>
  <c r="N54" i="1"/>
  <c r="CA55" i="1"/>
  <c r="AT59" i="1"/>
  <c r="AB56" i="1"/>
  <c r="AA56" i="1"/>
  <c r="JE54" i="1"/>
  <c r="JF55" i="1"/>
  <c r="CR55" i="1"/>
  <c r="CQ54" i="1"/>
  <c r="JD54" i="1"/>
  <c r="HX56" i="1"/>
  <c r="HW55" i="1"/>
  <c r="DZ56" i="1"/>
  <c r="DY55" i="1"/>
  <c r="IO58" i="1"/>
  <c r="IN57" i="1"/>
  <c r="FY56" i="1"/>
  <c r="FX55" i="1"/>
  <c r="DI57" i="1"/>
  <c r="DH56" i="1"/>
  <c r="FH56" i="1"/>
  <c r="FG55" i="1"/>
  <c r="EQ56" i="1"/>
  <c r="EP55" i="1"/>
  <c r="HF55" i="1"/>
  <c r="HG56" i="1"/>
  <c r="BZ55" i="1"/>
  <c r="IM55" i="1"/>
  <c r="GP56" i="1"/>
  <c r="GO55" i="1"/>
  <c r="AS57" i="1"/>
  <c r="AR56" i="1"/>
  <c r="BJ56" i="1"/>
  <c r="BI55" i="1"/>
  <c r="CA56" i="1"/>
  <c r="H55" i="1"/>
  <c r="N55" i="1"/>
  <c r="AT60" i="1"/>
  <c r="AB57" i="1"/>
  <c r="AA57" i="1"/>
  <c r="JF56" i="1"/>
  <c r="JE55" i="1"/>
  <c r="CQ55" i="1"/>
  <c r="JD55" i="1"/>
  <c r="CR56" i="1"/>
  <c r="HW56" i="1"/>
  <c r="HX57" i="1"/>
  <c r="HF56" i="1"/>
  <c r="HG57" i="1"/>
  <c r="EQ57" i="1"/>
  <c r="EP56" i="1"/>
  <c r="FH57" i="1"/>
  <c r="FG56" i="1"/>
  <c r="FY57" i="1"/>
  <c r="FX56" i="1"/>
  <c r="DI58" i="1"/>
  <c r="DH57" i="1"/>
  <c r="IO59" i="1"/>
  <c r="IN58" i="1"/>
  <c r="DZ57" i="1"/>
  <c r="DY56" i="1"/>
  <c r="BZ56" i="1"/>
  <c r="IM56" i="1"/>
  <c r="GP57" i="1"/>
  <c r="GO56" i="1"/>
  <c r="BJ57" i="1"/>
  <c r="BI56" i="1"/>
  <c r="AS58" i="1"/>
  <c r="AR57" i="1"/>
  <c r="CA57" i="1"/>
  <c r="H56" i="1"/>
  <c r="N56" i="1"/>
  <c r="AT61" i="1"/>
  <c r="AB58" i="1"/>
  <c r="AA58" i="1"/>
  <c r="JE56" i="1"/>
  <c r="JF57" i="1"/>
  <c r="CR57" i="1"/>
  <c r="CQ56" i="1"/>
  <c r="JD56" i="1"/>
  <c r="HX58" i="1"/>
  <c r="HW57" i="1"/>
  <c r="IO60" i="1"/>
  <c r="IN59" i="1"/>
  <c r="FY58" i="1"/>
  <c r="FX57" i="1"/>
  <c r="EP57" i="1"/>
  <c r="EQ58" i="1"/>
  <c r="HF57" i="1"/>
  <c r="HG58" i="1"/>
  <c r="DY57" i="1"/>
  <c r="DZ58" i="1"/>
  <c r="DI59" i="1"/>
  <c r="DH58" i="1"/>
  <c r="FH58" i="1"/>
  <c r="FG57" i="1"/>
  <c r="BZ57" i="1"/>
  <c r="IM57" i="1"/>
  <c r="GP58" i="1"/>
  <c r="GO57" i="1"/>
  <c r="AS59" i="1"/>
  <c r="AR58" i="1"/>
  <c r="BJ58" i="1"/>
  <c r="BI57" i="1"/>
  <c r="H57" i="1"/>
  <c r="N57" i="1"/>
  <c r="CA58" i="1"/>
  <c r="AT62" i="1"/>
  <c r="AB59" i="1"/>
  <c r="AA59" i="1"/>
  <c r="JF58" i="1"/>
  <c r="JE57" i="1"/>
  <c r="CR58" i="1"/>
  <c r="CQ57" i="1"/>
  <c r="JD57" i="1"/>
  <c r="HW58" i="1"/>
  <c r="HX59" i="1"/>
  <c r="DZ59" i="1"/>
  <c r="DY58" i="1"/>
  <c r="EQ59" i="1"/>
  <c r="EP58" i="1"/>
  <c r="FH59" i="1"/>
  <c r="FG58" i="1"/>
  <c r="DI60" i="1"/>
  <c r="DH59" i="1"/>
  <c r="HF58" i="1"/>
  <c r="HG59" i="1"/>
  <c r="FY59" i="1"/>
  <c r="FX58" i="1"/>
  <c r="IN60" i="1"/>
  <c r="IO61" i="1"/>
  <c r="BZ58" i="1"/>
  <c r="IM58" i="1"/>
  <c r="GP59" i="1"/>
  <c r="GO58" i="1"/>
  <c r="BJ59" i="1"/>
  <c r="BI58" i="1"/>
  <c r="AS60" i="1"/>
  <c r="AR59" i="1"/>
  <c r="H58" i="1"/>
  <c r="N58" i="1"/>
  <c r="CA59" i="1"/>
  <c r="AT63" i="1"/>
  <c r="AB60" i="1"/>
  <c r="AA60" i="1"/>
  <c r="JE58" i="1"/>
  <c r="JF59" i="1"/>
  <c r="CQ58" i="1"/>
  <c r="JD58" i="1"/>
  <c r="CR59" i="1"/>
  <c r="HW59" i="1"/>
  <c r="HX60" i="1"/>
  <c r="IN61" i="1"/>
  <c r="IO62" i="1"/>
  <c r="EQ60" i="1"/>
  <c r="EP59" i="1"/>
  <c r="DI61" i="1"/>
  <c r="DH60" i="1"/>
  <c r="HF59" i="1"/>
  <c r="HG60" i="1"/>
  <c r="FY60" i="1"/>
  <c r="FX59" i="1"/>
  <c r="FH60" i="1"/>
  <c r="FG59" i="1"/>
  <c r="DZ60" i="1"/>
  <c r="DY59" i="1"/>
  <c r="BZ59" i="1"/>
  <c r="IM59" i="1"/>
  <c r="GP60" i="1"/>
  <c r="GO59" i="1"/>
  <c r="AS61" i="1"/>
  <c r="AR60" i="1"/>
  <c r="BJ60" i="1"/>
  <c r="BI59" i="1"/>
  <c r="H59" i="1"/>
  <c r="N59" i="1"/>
  <c r="P53" i="1"/>
  <c r="CA60" i="1"/>
  <c r="AT64" i="1"/>
  <c r="AB61" i="1"/>
  <c r="AA61" i="1"/>
  <c r="JF60" i="1"/>
  <c r="JE59" i="1"/>
  <c r="CR60" i="1"/>
  <c r="CQ59" i="1"/>
  <c r="JD59" i="1"/>
  <c r="HW60" i="1"/>
  <c r="HX61" i="1"/>
  <c r="FH61" i="1"/>
  <c r="FG60" i="1"/>
  <c r="DI62" i="1"/>
  <c r="DH61" i="1"/>
  <c r="EQ61" i="1"/>
  <c r="EP60" i="1"/>
  <c r="HF60" i="1"/>
  <c r="HG61" i="1"/>
  <c r="IN62" i="1"/>
  <c r="IO63" i="1"/>
  <c r="DZ61" i="1"/>
  <c r="DY60" i="1"/>
  <c r="FY61" i="1"/>
  <c r="FX60" i="1"/>
  <c r="BZ60" i="1"/>
  <c r="IM60" i="1"/>
  <c r="GP61" i="1"/>
  <c r="GO60" i="1"/>
  <c r="BJ61" i="1"/>
  <c r="BI60" i="1"/>
  <c r="AS62" i="1"/>
  <c r="AR61" i="1"/>
  <c r="CA61" i="1"/>
  <c r="H60" i="1"/>
  <c r="N60" i="1"/>
  <c r="AT65" i="1"/>
  <c r="AB62" i="1"/>
  <c r="AA62" i="1"/>
  <c r="JE60" i="1"/>
  <c r="JF61" i="1"/>
  <c r="CR61" i="1"/>
  <c r="CQ60" i="1"/>
  <c r="JD60" i="1"/>
  <c r="HW61" i="1"/>
  <c r="HX62" i="1"/>
  <c r="HF61" i="1"/>
  <c r="HG62" i="1"/>
  <c r="DZ62" i="1"/>
  <c r="DY61" i="1"/>
  <c r="DI63" i="1"/>
  <c r="DH62" i="1"/>
  <c r="FH62" i="1"/>
  <c r="FG61" i="1"/>
  <c r="FY62" i="1"/>
  <c r="FX61" i="1"/>
  <c r="IN63" i="1"/>
  <c r="IO64" i="1"/>
  <c r="EQ62" i="1"/>
  <c r="EP61" i="1"/>
  <c r="BZ61" i="1"/>
  <c r="IM61" i="1"/>
  <c r="GP62" i="1"/>
  <c r="GO61" i="1"/>
  <c r="AS63" i="1"/>
  <c r="AR62" i="1"/>
  <c r="BJ62" i="1"/>
  <c r="BI61" i="1"/>
  <c r="H61" i="1"/>
  <c r="N61" i="1"/>
  <c r="CA62" i="1"/>
  <c r="AT66" i="1"/>
  <c r="AB63" i="1"/>
  <c r="AA63" i="1"/>
  <c r="JF62" i="1"/>
  <c r="JE61" i="1"/>
  <c r="CR62" i="1"/>
  <c r="CQ61" i="1"/>
  <c r="JD61" i="1"/>
  <c r="HW62" i="1"/>
  <c r="HX63" i="1"/>
  <c r="EQ63" i="1"/>
  <c r="EP62" i="1"/>
  <c r="FY63" i="1"/>
  <c r="FX62" i="1"/>
  <c r="DI64" i="1"/>
  <c r="DH63" i="1"/>
  <c r="HF62" i="1"/>
  <c r="HG63" i="1"/>
  <c r="IO65" i="1"/>
  <c r="IN64" i="1"/>
  <c r="FH63" i="1"/>
  <c r="FG62" i="1"/>
  <c r="DZ63" i="1"/>
  <c r="DY62" i="1"/>
  <c r="BZ62" i="1"/>
  <c r="IM62" i="1"/>
  <c r="GP63" i="1"/>
  <c r="GO62" i="1"/>
  <c r="BJ63" i="1"/>
  <c r="BI62" i="1"/>
  <c r="AS64" i="1"/>
  <c r="AR63" i="1"/>
  <c r="H62" i="1"/>
  <c r="N62" i="1"/>
  <c r="CA63" i="1"/>
  <c r="AT67" i="1"/>
  <c r="AB64" i="1"/>
  <c r="AA64" i="1"/>
  <c r="JE62" i="1"/>
  <c r="JF63" i="1"/>
  <c r="CR63" i="1"/>
  <c r="CQ62" i="1"/>
  <c r="JD62" i="1"/>
  <c r="HX64" i="1"/>
  <c r="HW63" i="1"/>
  <c r="HF63" i="1"/>
  <c r="HG64" i="1"/>
  <c r="DZ64" i="1"/>
  <c r="DY63" i="1"/>
  <c r="FY64" i="1"/>
  <c r="FX63" i="1"/>
  <c r="FG63" i="1"/>
  <c r="FH64" i="1"/>
  <c r="IO66" i="1"/>
  <c r="IN65" i="1"/>
  <c r="DH64" i="1"/>
  <c r="DI65" i="1"/>
  <c r="EQ64" i="1"/>
  <c r="EP63" i="1"/>
  <c r="BZ63" i="1"/>
  <c r="IM63" i="1"/>
  <c r="GP64" i="1"/>
  <c r="GO63" i="1"/>
  <c r="AS65" i="1"/>
  <c r="AR64" i="1"/>
  <c r="BJ64" i="1"/>
  <c r="BI63" i="1"/>
  <c r="H63" i="1"/>
  <c r="N63" i="1"/>
  <c r="CA64" i="1"/>
  <c r="AT68" i="1"/>
  <c r="AB65" i="1"/>
  <c r="AA65" i="1"/>
  <c r="JF64" i="1"/>
  <c r="JE63" i="1"/>
  <c r="CQ63" i="1"/>
  <c r="JD63" i="1"/>
  <c r="CR64" i="1"/>
  <c r="HW64" i="1"/>
  <c r="HX65" i="1"/>
  <c r="FX64" i="1"/>
  <c r="FY65" i="1"/>
  <c r="DZ65" i="1"/>
  <c r="DY64" i="1"/>
  <c r="EQ65" i="1"/>
  <c r="EP64" i="1"/>
  <c r="IO67" i="1"/>
  <c r="IN66" i="1"/>
  <c r="HG65" i="1"/>
  <c r="HF64" i="1"/>
  <c r="DH65" i="1"/>
  <c r="DI66" i="1"/>
  <c r="FG64" i="1"/>
  <c r="FH65" i="1"/>
  <c r="BZ64" i="1"/>
  <c r="IM64" i="1"/>
  <c r="GP65" i="1"/>
  <c r="GO64" i="1"/>
  <c r="BJ65" i="1"/>
  <c r="BI64" i="1"/>
  <c r="AS66" i="1"/>
  <c r="AR65" i="1"/>
  <c r="H64" i="1"/>
  <c r="N64" i="1"/>
  <c r="CA65" i="1"/>
  <c r="AT69" i="1"/>
  <c r="AB66" i="1"/>
  <c r="AA66" i="1"/>
  <c r="JE64" i="1"/>
  <c r="JF65" i="1"/>
  <c r="CQ64" i="1"/>
  <c r="JD64" i="1"/>
  <c r="CR65" i="1"/>
  <c r="HW65" i="1"/>
  <c r="HX66" i="1"/>
  <c r="IN67" i="1"/>
  <c r="IO68" i="1"/>
  <c r="FH66" i="1"/>
  <c r="FG65" i="1"/>
  <c r="DY65" i="1"/>
  <c r="DZ66" i="1"/>
  <c r="HF65" i="1"/>
  <c r="HG66" i="1"/>
  <c r="EP65" i="1"/>
  <c r="EQ66" i="1"/>
  <c r="FX65" i="1"/>
  <c r="FY66" i="1"/>
  <c r="DI67" i="1"/>
  <c r="DH66" i="1"/>
  <c r="BZ65" i="1"/>
  <c r="IM65" i="1"/>
  <c r="GP66" i="1"/>
  <c r="GO65" i="1"/>
  <c r="AS67" i="1"/>
  <c r="AR66" i="1"/>
  <c r="BJ66" i="1"/>
  <c r="BI65" i="1"/>
  <c r="H65" i="1"/>
  <c r="N65" i="1"/>
  <c r="CA66" i="1"/>
  <c r="AT70" i="1"/>
  <c r="AB67" i="1"/>
  <c r="AA67" i="1"/>
  <c r="JE65" i="1"/>
  <c r="JF66" i="1"/>
  <c r="CR66" i="1"/>
  <c r="CQ65" i="1"/>
  <c r="JD65" i="1"/>
  <c r="HW66" i="1"/>
  <c r="HX67" i="1"/>
  <c r="DZ67" i="1"/>
  <c r="DY66" i="1"/>
  <c r="IN68" i="1"/>
  <c r="IO69" i="1"/>
  <c r="EQ67" i="1"/>
  <c r="EP66" i="1"/>
  <c r="HG67" i="1"/>
  <c r="HF66" i="1"/>
  <c r="DI68" i="1"/>
  <c r="DH67" i="1"/>
  <c r="FY67" i="1"/>
  <c r="FX66" i="1"/>
  <c r="FH67" i="1"/>
  <c r="FG66" i="1"/>
  <c r="BZ66" i="1"/>
  <c r="IM66" i="1"/>
  <c r="GP67" i="1"/>
  <c r="GO66" i="1"/>
  <c r="BJ67" i="1"/>
  <c r="BI66" i="1"/>
  <c r="AS68" i="1"/>
  <c r="AR67" i="1"/>
  <c r="H66" i="1"/>
  <c r="N66" i="1"/>
  <c r="P60" i="1"/>
  <c r="CA67" i="1"/>
  <c r="AT71" i="1"/>
  <c r="AB68" i="1"/>
  <c r="AA68" i="1"/>
  <c r="JE66" i="1"/>
  <c r="JF67" i="1"/>
  <c r="CQ66" i="1"/>
  <c r="JD66" i="1"/>
  <c r="CR67" i="1"/>
  <c r="HX68" i="1"/>
  <c r="HW67" i="1"/>
  <c r="HF67" i="1"/>
  <c r="HG68" i="1"/>
  <c r="FH68" i="1"/>
  <c r="FG67" i="1"/>
  <c r="FY68" i="1"/>
  <c r="FX67" i="1"/>
  <c r="DI69" i="1"/>
  <c r="DH68" i="1"/>
  <c r="EQ68" i="1"/>
  <c r="EP67" i="1"/>
  <c r="IO70" i="1"/>
  <c r="IN69" i="1"/>
  <c r="DZ68" i="1"/>
  <c r="DY67" i="1"/>
  <c r="BZ67" i="1"/>
  <c r="IM67" i="1"/>
  <c r="GP68" i="1"/>
  <c r="GO67" i="1"/>
  <c r="AS69" i="1"/>
  <c r="AR68" i="1"/>
  <c r="BJ68" i="1"/>
  <c r="BI67" i="1"/>
  <c r="H67" i="1"/>
  <c r="N67" i="1"/>
  <c r="CA68" i="1"/>
  <c r="AT72" i="1"/>
  <c r="AB69" i="1"/>
  <c r="AA69" i="1"/>
  <c r="JE67" i="1"/>
  <c r="JF68" i="1"/>
  <c r="CR68" i="1"/>
  <c r="CQ67" i="1"/>
  <c r="JD67" i="1"/>
  <c r="HW68" i="1"/>
  <c r="HX69" i="1"/>
  <c r="DY68" i="1"/>
  <c r="DZ69" i="1"/>
  <c r="EP68" i="1"/>
  <c r="EQ69" i="1"/>
  <c r="FY69" i="1"/>
  <c r="FX68" i="1"/>
  <c r="HG69" i="1"/>
  <c r="HF68" i="1"/>
  <c r="IN70" i="1"/>
  <c r="IO71" i="1"/>
  <c r="DI70" i="1"/>
  <c r="DH69" i="1"/>
  <c r="FH69" i="1"/>
  <c r="FG68" i="1"/>
  <c r="BZ68" i="1"/>
  <c r="IM68" i="1"/>
  <c r="GP69" i="1"/>
  <c r="GO68" i="1"/>
  <c r="BJ69" i="1"/>
  <c r="BI68" i="1"/>
  <c r="AS70" i="1"/>
  <c r="AR69" i="1"/>
  <c r="CA69" i="1"/>
  <c r="H68" i="1"/>
  <c r="N68" i="1"/>
  <c r="AT73" i="1"/>
  <c r="AB70" i="1"/>
  <c r="AA70" i="1"/>
  <c r="JF69" i="1"/>
  <c r="JE68" i="1"/>
  <c r="CR69" i="1"/>
  <c r="CQ68" i="1"/>
  <c r="JD68" i="1"/>
  <c r="HX70" i="1"/>
  <c r="HW69" i="1"/>
  <c r="FH70" i="1"/>
  <c r="FG69" i="1"/>
  <c r="DI71" i="1"/>
  <c r="DH70" i="1"/>
  <c r="HF69" i="1"/>
  <c r="HG70" i="1"/>
  <c r="FY70" i="1"/>
  <c r="FX69" i="1"/>
  <c r="DZ70" i="1"/>
  <c r="DY69" i="1"/>
  <c r="IO72" i="1"/>
  <c r="IN71" i="1"/>
  <c r="EQ70" i="1"/>
  <c r="EP69" i="1"/>
  <c r="BZ69" i="1"/>
  <c r="IM69" i="1"/>
  <c r="GP70" i="1"/>
  <c r="GO69" i="1"/>
  <c r="AS71" i="1"/>
  <c r="AR70" i="1"/>
  <c r="BJ70" i="1"/>
  <c r="BI69" i="1"/>
  <c r="H69" i="1"/>
  <c r="N69" i="1"/>
  <c r="CA70" i="1"/>
  <c r="AT74" i="1"/>
  <c r="AB71" i="1"/>
  <c r="AA71" i="1"/>
  <c r="JE69" i="1"/>
  <c r="JF70" i="1"/>
  <c r="CR70" i="1"/>
  <c r="CQ69" i="1"/>
  <c r="JD69" i="1"/>
  <c r="HW70" i="1"/>
  <c r="HX71" i="1"/>
  <c r="HG71" i="1"/>
  <c r="HF70" i="1"/>
  <c r="DZ71" i="1"/>
  <c r="DY70" i="1"/>
  <c r="EQ71" i="1"/>
  <c r="EP70" i="1"/>
  <c r="IN72" i="1"/>
  <c r="IO73" i="1"/>
  <c r="FY71" i="1"/>
  <c r="FX70" i="1"/>
  <c r="DI72" i="1"/>
  <c r="DH71" i="1"/>
  <c r="FH71" i="1"/>
  <c r="FG70" i="1"/>
  <c r="BZ70" i="1"/>
  <c r="IM70" i="1"/>
  <c r="GP71" i="1"/>
  <c r="GO70" i="1"/>
  <c r="BJ71" i="1"/>
  <c r="BI70" i="1"/>
  <c r="AS72" i="1"/>
  <c r="AR71" i="1"/>
  <c r="H70" i="1"/>
  <c r="N70" i="1"/>
  <c r="CA71" i="1"/>
  <c r="AT75" i="1"/>
  <c r="AB72" i="1"/>
  <c r="AA72" i="1"/>
  <c r="JE70" i="1"/>
  <c r="JF71" i="1"/>
  <c r="CR71" i="1"/>
  <c r="CQ70" i="1"/>
  <c r="JD70" i="1"/>
  <c r="HX72" i="1"/>
  <c r="HW71" i="1"/>
  <c r="EQ72" i="1"/>
  <c r="EP71" i="1"/>
  <c r="FH72" i="1"/>
  <c r="FG71" i="1"/>
  <c r="FY72" i="1"/>
  <c r="FX71" i="1"/>
  <c r="HF71" i="1"/>
  <c r="HG72" i="1"/>
  <c r="DI73" i="1"/>
  <c r="DH72" i="1"/>
  <c r="IN73" i="1"/>
  <c r="IO74" i="1"/>
  <c r="DZ72" i="1"/>
  <c r="DY71" i="1"/>
  <c r="BZ71" i="1"/>
  <c r="IM71" i="1"/>
  <c r="GP72" i="1"/>
  <c r="GO71" i="1"/>
  <c r="AS73" i="1"/>
  <c r="AR72" i="1"/>
  <c r="BJ72" i="1"/>
  <c r="BI71" i="1"/>
  <c r="CA72" i="1"/>
  <c r="H71" i="1"/>
  <c r="N71" i="1"/>
  <c r="AT76" i="1"/>
  <c r="AB73" i="1"/>
  <c r="AA73" i="1"/>
  <c r="JE71" i="1"/>
  <c r="JF72" i="1"/>
  <c r="CR72" i="1"/>
  <c r="CQ71" i="1"/>
  <c r="JD71" i="1"/>
  <c r="HW72" i="1"/>
  <c r="HX73" i="1"/>
  <c r="DZ73" i="1"/>
  <c r="DY72" i="1"/>
  <c r="DI74" i="1"/>
  <c r="DH73" i="1"/>
  <c r="FY73" i="1"/>
  <c r="FX72" i="1"/>
  <c r="EQ73" i="1"/>
  <c r="EP72" i="1"/>
  <c r="IN74" i="1"/>
  <c r="IO75" i="1"/>
  <c r="HF72" i="1"/>
  <c r="HG73" i="1"/>
  <c r="FH73" i="1"/>
  <c r="FG72" i="1"/>
  <c r="BZ72" i="1"/>
  <c r="IM72" i="1"/>
  <c r="GP73" i="1"/>
  <c r="GO72" i="1"/>
  <c r="BJ73" i="1"/>
  <c r="BI72" i="1"/>
  <c r="AS74" i="1"/>
  <c r="AR73" i="1"/>
  <c r="CA73" i="1"/>
  <c r="H72" i="1"/>
  <c r="N72" i="1"/>
  <c r="AT77" i="1"/>
  <c r="AB74" i="1"/>
  <c r="AA74" i="1"/>
  <c r="JE72" i="1"/>
  <c r="JF73" i="1"/>
  <c r="CR73" i="1"/>
  <c r="CQ72" i="1"/>
  <c r="JD72" i="1"/>
  <c r="HX74" i="1"/>
  <c r="HW73" i="1"/>
  <c r="FH74" i="1"/>
  <c r="FG73" i="1"/>
  <c r="EQ74" i="1"/>
  <c r="EP73" i="1"/>
  <c r="DI75" i="1"/>
  <c r="DH74" i="1"/>
  <c r="HF73" i="1"/>
  <c r="HG74" i="1"/>
  <c r="FY74" i="1"/>
  <c r="FX73" i="1"/>
  <c r="IN75" i="1"/>
  <c r="IO76" i="1"/>
  <c r="DZ74" i="1"/>
  <c r="DY73" i="1"/>
  <c r="BZ73" i="1"/>
  <c r="IM73" i="1"/>
  <c r="GP74" i="1"/>
  <c r="GO73" i="1"/>
  <c r="AS75" i="1"/>
  <c r="AR74" i="1"/>
  <c r="BJ74" i="1"/>
  <c r="BI73" i="1"/>
  <c r="H73" i="1"/>
  <c r="N73" i="1"/>
  <c r="P67" i="1"/>
  <c r="CA74" i="1"/>
  <c r="AT78" i="1"/>
  <c r="AB75" i="1"/>
  <c r="AA75" i="1"/>
  <c r="JE73" i="1"/>
  <c r="JF74" i="1"/>
  <c r="CR74" i="1"/>
  <c r="CQ73" i="1"/>
  <c r="JD73" i="1"/>
  <c r="HW74" i="1"/>
  <c r="HX75" i="1"/>
  <c r="IN76" i="1"/>
  <c r="IO77" i="1"/>
  <c r="EQ75" i="1"/>
  <c r="EP74" i="1"/>
  <c r="HF74" i="1"/>
  <c r="HG75" i="1"/>
  <c r="DZ75" i="1"/>
  <c r="DY74" i="1"/>
  <c r="FY75" i="1"/>
  <c r="FX74" i="1"/>
  <c r="DI76" i="1"/>
  <c r="DH75" i="1"/>
  <c r="FH75" i="1"/>
  <c r="FG74" i="1"/>
  <c r="BZ74" i="1"/>
  <c r="IM74" i="1"/>
  <c r="GP75" i="1"/>
  <c r="GO74" i="1"/>
  <c r="BJ75" i="1"/>
  <c r="BI74" i="1"/>
  <c r="AS76" i="1"/>
  <c r="AR75" i="1"/>
  <c r="H74" i="1"/>
  <c r="N74" i="1"/>
  <c r="CA75" i="1"/>
  <c r="AT79" i="1"/>
  <c r="AB76" i="1"/>
  <c r="AA76" i="1"/>
  <c r="JE74" i="1"/>
  <c r="JF75" i="1"/>
  <c r="CR75" i="1"/>
  <c r="CQ74" i="1"/>
  <c r="JD74" i="1"/>
  <c r="HW75" i="1"/>
  <c r="HX76" i="1"/>
  <c r="FH76" i="1"/>
  <c r="FG75" i="1"/>
  <c r="DZ76" i="1"/>
  <c r="DY75" i="1"/>
  <c r="EQ76" i="1"/>
  <c r="EP75" i="1"/>
  <c r="DI77" i="1"/>
  <c r="DH76" i="1"/>
  <c r="FY76" i="1"/>
  <c r="FX75" i="1"/>
  <c r="HF75" i="1"/>
  <c r="HG76" i="1"/>
  <c r="IN77" i="1"/>
  <c r="IO78" i="1"/>
  <c r="BZ75" i="1"/>
  <c r="IM75" i="1"/>
  <c r="GP76" i="1"/>
  <c r="GO75" i="1"/>
  <c r="AS77" i="1"/>
  <c r="AR76" i="1"/>
  <c r="BJ76" i="1"/>
  <c r="BI75" i="1"/>
  <c r="H75" i="1"/>
  <c r="N75" i="1"/>
  <c r="CA76" i="1"/>
  <c r="AT80" i="1"/>
  <c r="AB77" i="1"/>
  <c r="AA77" i="1"/>
  <c r="JE75" i="1"/>
  <c r="JF76" i="1"/>
  <c r="CQ75" i="1"/>
  <c r="JD75" i="1"/>
  <c r="CR76" i="1"/>
  <c r="HW76" i="1"/>
  <c r="HX77" i="1"/>
  <c r="FY77" i="1"/>
  <c r="FX76" i="1"/>
  <c r="EQ77" i="1"/>
  <c r="EP76" i="1"/>
  <c r="HF76" i="1"/>
  <c r="HG77" i="1"/>
  <c r="DI78" i="1"/>
  <c r="DH77" i="1"/>
  <c r="IO79" i="1"/>
  <c r="IN78" i="1"/>
  <c r="DZ77" i="1"/>
  <c r="DY76" i="1"/>
  <c r="FH77" i="1"/>
  <c r="FG76" i="1"/>
  <c r="BZ76" i="1"/>
  <c r="IM76" i="1"/>
  <c r="GP77" i="1"/>
  <c r="GO76" i="1"/>
  <c r="BJ77" i="1"/>
  <c r="BI76" i="1"/>
  <c r="AS78" i="1"/>
  <c r="AR77" i="1"/>
  <c r="CA77" i="1"/>
  <c r="H76" i="1"/>
  <c r="N76" i="1"/>
  <c r="AT81" i="1"/>
  <c r="AB78" i="1"/>
  <c r="AA78" i="1"/>
  <c r="JE76" i="1"/>
  <c r="JF77" i="1"/>
  <c r="CQ76" i="1"/>
  <c r="JD76" i="1"/>
  <c r="CR77" i="1"/>
  <c r="HW77" i="1"/>
  <c r="HX78" i="1"/>
  <c r="HF77" i="1"/>
  <c r="HG78" i="1"/>
  <c r="DZ78" i="1"/>
  <c r="DY77" i="1"/>
  <c r="DI79" i="1"/>
  <c r="DH78" i="1"/>
  <c r="EQ78" i="1"/>
  <c r="EP77" i="1"/>
  <c r="FH78" i="1"/>
  <c r="FG77" i="1"/>
  <c r="IN79" i="1"/>
  <c r="IO80" i="1"/>
  <c r="FY78" i="1"/>
  <c r="FX77" i="1"/>
  <c r="BZ77" i="1"/>
  <c r="IM77" i="1"/>
  <c r="GP78" i="1"/>
  <c r="GO77" i="1"/>
  <c r="AS79" i="1"/>
  <c r="AR78" i="1"/>
  <c r="BJ78" i="1"/>
  <c r="BI77" i="1"/>
  <c r="H77" i="1"/>
  <c r="N77" i="1"/>
  <c r="CA78" i="1"/>
  <c r="AT82" i="1"/>
  <c r="AB79" i="1"/>
  <c r="AA79" i="1"/>
  <c r="JE77" i="1"/>
  <c r="JF78" i="1"/>
  <c r="CR78" i="1"/>
  <c r="CQ77" i="1"/>
  <c r="JD77" i="1"/>
  <c r="HW78" i="1"/>
  <c r="HX79" i="1"/>
  <c r="EQ79" i="1"/>
  <c r="EP78" i="1"/>
  <c r="DZ79" i="1"/>
  <c r="DY78" i="1"/>
  <c r="FY79" i="1"/>
  <c r="FX78" i="1"/>
  <c r="FH79" i="1"/>
  <c r="FG78" i="1"/>
  <c r="DI80" i="1"/>
  <c r="DH79" i="1"/>
  <c r="HF78" i="1"/>
  <c r="HG79" i="1"/>
  <c r="IN80" i="1"/>
  <c r="IO81" i="1"/>
  <c r="BZ78" i="1"/>
  <c r="IM78" i="1"/>
  <c r="GP79" i="1"/>
  <c r="GO78" i="1"/>
  <c r="BJ79" i="1"/>
  <c r="BI78" i="1"/>
  <c r="AS80" i="1"/>
  <c r="AR79" i="1"/>
  <c r="H78" i="1"/>
  <c r="N78" i="1"/>
  <c r="CA79" i="1"/>
  <c r="AT83" i="1"/>
  <c r="AB80" i="1"/>
  <c r="AA80" i="1"/>
  <c r="JE78" i="1"/>
  <c r="JF79" i="1"/>
  <c r="CR79" i="1"/>
  <c r="CQ78" i="1"/>
  <c r="JD78" i="1"/>
  <c r="HX80" i="1"/>
  <c r="HW79" i="1"/>
  <c r="FH80" i="1"/>
  <c r="FG79" i="1"/>
  <c r="FY80" i="1"/>
  <c r="FX79" i="1"/>
  <c r="IO82" i="1"/>
  <c r="IN81" i="1"/>
  <c r="EP79" i="1"/>
  <c r="EQ80" i="1"/>
  <c r="DI81" i="1"/>
  <c r="DH80" i="1"/>
  <c r="HF79" i="1"/>
  <c r="HG80" i="1"/>
  <c r="DY79" i="1"/>
  <c r="DZ80" i="1"/>
  <c r="BZ79" i="1"/>
  <c r="IM79" i="1"/>
  <c r="GP80" i="1"/>
  <c r="GO79" i="1"/>
  <c r="AS81" i="1"/>
  <c r="AR80" i="1"/>
  <c r="BJ80" i="1"/>
  <c r="BI79" i="1"/>
  <c r="H79" i="1"/>
  <c r="N79" i="1"/>
  <c r="CA80" i="1"/>
  <c r="AT84" i="1"/>
  <c r="AB81" i="1"/>
  <c r="AA81" i="1"/>
  <c r="JE79" i="1"/>
  <c r="JF80" i="1"/>
  <c r="CQ79" i="1"/>
  <c r="JD79" i="1"/>
  <c r="CR80" i="1"/>
  <c r="HW80" i="1"/>
  <c r="HX81" i="1"/>
  <c r="DY80" i="1"/>
  <c r="DZ81" i="1"/>
  <c r="EP80" i="1"/>
  <c r="EQ81" i="1"/>
  <c r="FY81" i="1"/>
  <c r="FX80" i="1"/>
  <c r="HG81" i="1"/>
  <c r="HF80" i="1"/>
  <c r="DH81" i="1"/>
  <c r="DI82" i="1"/>
  <c r="IN82" i="1"/>
  <c r="IO83" i="1"/>
  <c r="FH81" i="1"/>
  <c r="FG80" i="1"/>
  <c r="BZ80" i="1"/>
  <c r="IM80" i="1"/>
  <c r="GP81" i="1"/>
  <c r="GO80" i="1"/>
  <c r="BJ81" i="1"/>
  <c r="BI80" i="1"/>
  <c r="AS82" i="1"/>
  <c r="AR81" i="1"/>
  <c r="H80" i="1"/>
  <c r="N80" i="1"/>
  <c r="P74" i="1"/>
  <c r="CA81" i="1"/>
  <c r="AT85" i="1"/>
  <c r="AB82" i="1"/>
  <c r="AA82" i="1"/>
  <c r="JE80" i="1"/>
  <c r="JF81" i="1"/>
  <c r="CR81" i="1"/>
  <c r="CQ80" i="1"/>
  <c r="JD80" i="1"/>
  <c r="HW81" i="1"/>
  <c r="HX82" i="1"/>
  <c r="DI83" i="1"/>
  <c r="DH82" i="1"/>
  <c r="HF81" i="1"/>
  <c r="HG82" i="1"/>
  <c r="FX81" i="1"/>
  <c r="FY82" i="1"/>
  <c r="FH82" i="1"/>
  <c r="FG81" i="1"/>
  <c r="IN83" i="1"/>
  <c r="IO84" i="1"/>
  <c r="DZ82" i="1"/>
  <c r="DY81" i="1"/>
  <c r="EQ82" i="1"/>
  <c r="EP81" i="1"/>
  <c r="BZ81" i="1"/>
  <c r="IM81" i="1"/>
  <c r="GP82" i="1"/>
  <c r="GO81" i="1"/>
  <c r="AS83" i="1"/>
  <c r="AR82" i="1"/>
  <c r="BJ82" i="1"/>
  <c r="BI81" i="1"/>
  <c r="H81" i="1"/>
  <c r="N81" i="1"/>
  <c r="CA82" i="1"/>
  <c r="AT86" i="1"/>
  <c r="AB83" i="1"/>
  <c r="AA83" i="1"/>
  <c r="JE81" i="1"/>
  <c r="JF82" i="1"/>
  <c r="CQ81" i="1"/>
  <c r="JD81" i="1"/>
  <c r="CR82" i="1"/>
  <c r="HW82" i="1"/>
  <c r="HX83" i="1"/>
  <c r="EQ83" i="1"/>
  <c r="EP82" i="1"/>
  <c r="IN84" i="1"/>
  <c r="IO85" i="1"/>
  <c r="HG83" i="1"/>
  <c r="HF82" i="1"/>
  <c r="FH83" i="1"/>
  <c r="FG82" i="1"/>
  <c r="FY83" i="1"/>
  <c r="FX82" i="1"/>
  <c r="DZ83" i="1"/>
  <c r="DY82" i="1"/>
  <c r="DI84" i="1"/>
  <c r="DH83" i="1"/>
  <c r="BZ82" i="1"/>
  <c r="IM82" i="1"/>
  <c r="GP83" i="1"/>
  <c r="GO82" i="1"/>
  <c r="BJ83" i="1"/>
  <c r="BI82" i="1"/>
  <c r="AS84" i="1"/>
  <c r="AR83" i="1"/>
  <c r="H82" i="1"/>
  <c r="N82" i="1"/>
  <c r="CA83" i="1"/>
  <c r="AT87" i="1"/>
  <c r="AB84" i="1"/>
  <c r="AA84" i="1"/>
  <c r="JE82" i="1"/>
  <c r="JF83" i="1"/>
  <c r="CR83" i="1"/>
  <c r="CQ82" i="1"/>
  <c r="JD82" i="1"/>
  <c r="HX84" i="1"/>
  <c r="HW83" i="1"/>
  <c r="IO86" i="1"/>
  <c r="IN85" i="1"/>
  <c r="FY84" i="1"/>
  <c r="FX83" i="1"/>
  <c r="DI85" i="1"/>
  <c r="DH84" i="1"/>
  <c r="DY83" i="1"/>
  <c r="DZ84" i="1"/>
  <c r="FH84" i="1"/>
  <c r="FG83" i="1"/>
  <c r="HF83" i="1"/>
  <c r="HG84" i="1"/>
  <c r="EQ84" i="1"/>
  <c r="EP83" i="1"/>
  <c r="BZ83" i="1"/>
  <c r="IM83" i="1"/>
  <c r="GP84" i="1"/>
  <c r="GO83" i="1"/>
  <c r="AS85" i="1"/>
  <c r="AR84" i="1"/>
  <c r="BJ84" i="1"/>
  <c r="BI83" i="1"/>
  <c r="H83" i="1"/>
  <c r="N83" i="1"/>
  <c r="CA84" i="1"/>
  <c r="AT88" i="1"/>
  <c r="AB85" i="1"/>
  <c r="AA85" i="1"/>
  <c r="JE83" i="1"/>
  <c r="JF84" i="1"/>
  <c r="CQ83" i="1"/>
  <c r="JD83" i="1"/>
  <c r="CR84" i="1"/>
  <c r="HW84" i="1"/>
  <c r="HX85" i="1"/>
  <c r="DZ85" i="1"/>
  <c r="DY84" i="1"/>
  <c r="IO87" i="1"/>
  <c r="IN86" i="1"/>
  <c r="EQ85" i="1"/>
  <c r="EP84" i="1"/>
  <c r="FH85" i="1"/>
  <c r="FG84" i="1"/>
  <c r="HG85" i="1"/>
  <c r="HF84" i="1"/>
  <c r="DI86" i="1"/>
  <c r="DH85" i="1"/>
  <c r="FY85" i="1"/>
  <c r="FX84" i="1"/>
  <c r="BZ84" i="1"/>
  <c r="IM84" i="1"/>
  <c r="GP85" i="1"/>
  <c r="GO84" i="1"/>
  <c r="BJ85" i="1"/>
  <c r="BI84" i="1"/>
  <c r="AS86" i="1"/>
  <c r="AR85" i="1"/>
  <c r="CA85" i="1"/>
  <c r="H84" i="1"/>
  <c r="N84" i="1"/>
  <c r="AT89" i="1"/>
  <c r="AB86" i="1"/>
  <c r="AA86" i="1"/>
  <c r="JE84" i="1"/>
  <c r="JF85" i="1"/>
  <c r="CQ84" i="1"/>
  <c r="JD84" i="1"/>
  <c r="CR85" i="1"/>
  <c r="HX86" i="1"/>
  <c r="HW85" i="1"/>
  <c r="FY86" i="1"/>
  <c r="FX85" i="1"/>
  <c r="HF85" i="1"/>
  <c r="HG86" i="1"/>
  <c r="EP85" i="1"/>
  <c r="EQ86" i="1"/>
  <c r="DI87" i="1"/>
  <c r="DH86" i="1"/>
  <c r="FH86" i="1"/>
  <c r="FG85" i="1"/>
  <c r="IN87" i="1"/>
  <c r="IO88" i="1"/>
  <c r="DY85" i="1"/>
  <c r="DZ86" i="1"/>
  <c r="BZ85" i="1"/>
  <c r="IM85" i="1"/>
  <c r="GP86" i="1"/>
  <c r="GO85" i="1"/>
  <c r="AS87" i="1"/>
  <c r="AR86" i="1"/>
  <c r="BJ86" i="1"/>
  <c r="BI85" i="1"/>
  <c r="H85" i="1"/>
  <c r="N85" i="1"/>
  <c r="CA86" i="1"/>
  <c r="AT90" i="1"/>
  <c r="AB87" i="1"/>
  <c r="AA87" i="1"/>
  <c r="JE85" i="1"/>
  <c r="JF86" i="1"/>
  <c r="CR86" i="1"/>
  <c r="CQ85" i="1"/>
  <c r="JD85" i="1"/>
  <c r="HW86" i="1"/>
  <c r="HX87" i="1"/>
  <c r="IN88" i="1"/>
  <c r="IO89" i="1"/>
  <c r="HG87" i="1"/>
  <c r="HF86" i="1"/>
  <c r="DI88" i="1"/>
  <c r="DH87" i="1"/>
  <c r="DZ87" i="1"/>
  <c r="DY86" i="1"/>
  <c r="EQ87" i="1"/>
  <c r="EP86" i="1"/>
  <c r="FH87" i="1"/>
  <c r="FG86" i="1"/>
  <c r="FY87" i="1"/>
  <c r="FX86" i="1"/>
  <c r="BZ86" i="1"/>
  <c r="IM86" i="1"/>
  <c r="GP87" i="1"/>
  <c r="GO86" i="1"/>
  <c r="BJ87" i="1"/>
  <c r="BI86" i="1"/>
  <c r="AS88" i="1"/>
  <c r="AR87" i="1"/>
  <c r="H86" i="1"/>
  <c r="N86" i="1"/>
  <c r="CA87" i="1"/>
  <c r="AT91" i="1"/>
  <c r="AB88" i="1"/>
  <c r="AA88" i="1"/>
  <c r="JE86" i="1"/>
  <c r="JF87" i="1"/>
  <c r="CQ86" i="1"/>
  <c r="JD86" i="1"/>
  <c r="CR87" i="1"/>
  <c r="HW87" i="1"/>
  <c r="HX88" i="1"/>
  <c r="FH88" i="1"/>
  <c r="FG87" i="1"/>
  <c r="DI89" i="1"/>
  <c r="DH88" i="1"/>
  <c r="FY88" i="1"/>
  <c r="FX87" i="1"/>
  <c r="EQ88" i="1"/>
  <c r="EP87" i="1"/>
  <c r="IN89" i="1"/>
  <c r="IO90" i="1"/>
  <c r="DZ88" i="1"/>
  <c r="DY87" i="1"/>
  <c r="HF87" i="1"/>
  <c r="HG88" i="1"/>
  <c r="BZ87" i="1"/>
  <c r="IM87" i="1"/>
  <c r="GP88" i="1"/>
  <c r="GO87" i="1"/>
  <c r="AS89" i="1"/>
  <c r="AR88" i="1"/>
  <c r="BJ88" i="1"/>
  <c r="BI87" i="1"/>
  <c r="CA88" i="1"/>
  <c r="H87" i="1"/>
  <c r="N87" i="1"/>
  <c r="P81" i="1"/>
  <c r="AT92" i="1"/>
  <c r="AB89" i="1"/>
  <c r="AA89" i="1"/>
  <c r="JE87" i="1"/>
  <c r="JF88" i="1"/>
  <c r="CR88" i="1"/>
  <c r="CQ87" i="1"/>
  <c r="JD87" i="1"/>
  <c r="HW88" i="1"/>
  <c r="HX89" i="1"/>
  <c r="HF88" i="1"/>
  <c r="HG89" i="1"/>
  <c r="DZ89" i="1"/>
  <c r="DY88" i="1"/>
  <c r="EQ89" i="1"/>
  <c r="EP88" i="1"/>
  <c r="IN90" i="1"/>
  <c r="IO91" i="1"/>
  <c r="FY89" i="1"/>
  <c r="FX88" i="1"/>
  <c r="DI90" i="1"/>
  <c r="DH89" i="1"/>
  <c r="FH89" i="1"/>
  <c r="FG88" i="1"/>
  <c r="BZ88" i="1"/>
  <c r="IM88" i="1"/>
  <c r="GP89" i="1"/>
  <c r="GO88" i="1"/>
  <c r="BJ89" i="1"/>
  <c r="BI88" i="1"/>
  <c r="AS90" i="1"/>
  <c r="AR89" i="1"/>
  <c r="CA89" i="1"/>
  <c r="H88" i="1"/>
  <c r="N88" i="1"/>
  <c r="AT93" i="1"/>
  <c r="AB90" i="1"/>
  <c r="AA90" i="1"/>
  <c r="JE88" i="1"/>
  <c r="JF89" i="1"/>
  <c r="CR89" i="1"/>
  <c r="CQ88" i="1"/>
  <c r="JD88" i="1"/>
  <c r="HX90" i="1"/>
  <c r="HW89" i="1"/>
  <c r="FH90" i="1"/>
  <c r="FG89" i="1"/>
  <c r="FY90" i="1"/>
  <c r="FX89" i="1"/>
  <c r="DZ90" i="1"/>
  <c r="DY89" i="1"/>
  <c r="EQ90" i="1"/>
  <c r="EP89" i="1"/>
  <c r="HF89" i="1"/>
  <c r="HG90" i="1"/>
  <c r="DI91" i="1"/>
  <c r="DH90" i="1"/>
  <c r="IO92" i="1"/>
  <c r="IN91" i="1"/>
  <c r="BZ89" i="1"/>
  <c r="IM89" i="1"/>
  <c r="GP90" i="1"/>
  <c r="GO89" i="1"/>
  <c r="AS91" i="1"/>
  <c r="AR90" i="1"/>
  <c r="BJ90" i="1"/>
  <c r="BI89" i="1"/>
  <c r="H89" i="1"/>
  <c r="N89" i="1"/>
  <c r="CA90" i="1"/>
  <c r="AT94" i="1"/>
  <c r="AB91" i="1"/>
  <c r="AA91" i="1"/>
  <c r="JE89" i="1"/>
  <c r="JF90" i="1"/>
  <c r="CR90" i="1"/>
  <c r="CQ89" i="1"/>
  <c r="JD89" i="1"/>
  <c r="HW90" i="1"/>
  <c r="HX91" i="1"/>
  <c r="DI92" i="1"/>
  <c r="DH91" i="1"/>
  <c r="EP90" i="1"/>
  <c r="EQ91" i="1"/>
  <c r="HF90" i="1"/>
  <c r="HG91" i="1"/>
  <c r="DY90" i="1"/>
  <c r="DZ91" i="1"/>
  <c r="FH91" i="1"/>
  <c r="FG90" i="1"/>
  <c r="IO93" i="1"/>
  <c r="IN92" i="1"/>
  <c r="FY91" i="1"/>
  <c r="FX90" i="1"/>
  <c r="BZ90" i="1"/>
  <c r="IM90" i="1"/>
  <c r="GP91" i="1"/>
  <c r="GO90" i="1"/>
  <c r="BJ91" i="1"/>
  <c r="BI90" i="1"/>
  <c r="AS92" i="1"/>
  <c r="AR91" i="1"/>
  <c r="H90" i="1"/>
  <c r="N90" i="1"/>
  <c r="CA91" i="1"/>
  <c r="AT95" i="1"/>
  <c r="AB92" i="1"/>
  <c r="AA92" i="1"/>
  <c r="JE90" i="1"/>
  <c r="JF91" i="1"/>
  <c r="CR91" i="1"/>
  <c r="CQ90" i="1"/>
  <c r="JD90" i="1"/>
  <c r="HW91" i="1"/>
  <c r="HX92" i="1"/>
  <c r="FY92" i="1"/>
  <c r="FX91" i="1"/>
  <c r="IN93" i="1"/>
  <c r="IO94" i="1"/>
  <c r="DZ92" i="1"/>
  <c r="DY91" i="1"/>
  <c r="EQ92" i="1"/>
  <c r="EP91" i="1"/>
  <c r="FH92" i="1"/>
  <c r="FG91" i="1"/>
  <c r="HF91" i="1"/>
  <c r="HG92" i="1"/>
  <c r="DI93" i="1"/>
  <c r="DH92" i="1"/>
  <c r="BZ91" i="1"/>
  <c r="IM91" i="1"/>
  <c r="GP92" i="1"/>
  <c r="GO91" i="1"/>
  <c r="AS93" i="1"/>
  <c r="AR92" i="1"/>
  <c r="BJ92" i="1"/>
  <c r="BI91" i="1"/>
  <c r="H91" i="1"/>
  <c r="N91" i="1"/>
  <c r="CA92" i="1"/>
  <c r="AT96" i="1"/>
  <c r="AB93" i="1"/>
  <c r="AA93" i="1"/>
  <c r="JE91" i="1"/>
  <c r="JF92" i="1"/>
  <c r="CQ91" i="1"/>
  <c r="JD91" i="1"/>
  <c r="CR92" i="1"/>
  <c r="HW92" i="1"/>
  <c r="HX93" i="1"/>
  <c r="EQ93" i="1"/>
  <c r="EP92" i="1"/>
  <c r="IN94" i="1"/>
  <c r="IO95" i="1"/>
  <c r="DI94" i="1"/>
  <c r="DH93" i="1"/>
  <c r="FH93" i="1"/>
  <c r="FG92" i="1"/>
  <c r="HF92" i="1"/>
  <c r="HG93" i="1"/>
  <c r="DZ93" i="1"/>
  <c r="DY92" i="1"/>
  <c r="FY93" i="1"/>
  <c r="FX92" i="1"/>
  <c r="BZ92" i="1"/>
  <c r="IM92" i="1"/>
  <c r="GP93" i="1"/>
  <c r="GO92" i="1"/>
  <c r="BJ93" i="1"/>
  <c r="BI92" i="1"/>
  <c r="AS94" i="1"/>
  <c r="AR93" i="1"/>
  <c r="CA93" i="1"/>
  <c r="H92" i="1"/>
  <c r="N92" i="1"/>
  <c r="AT97" i="1"/>
  <c r="AB94" i="1"/>
  <c r="AA94" i="1"/>
  <c r="JE92" i="1"/>
  <c r="JF93" i="1"/>
  <c r="CR93" i="1"/>
  <c r="CQ92" i="1"/>
  <c r="JD92" i="1"/>
  <c r="HW93" i="1"/>
  <c r="HX94" i="1"/>
  <c r="DZ94" i="1"/>
  <c r="DY93" i="1"/>
  <c r="DH94" i="1"/>
  <c r="DI95" i="1"/>
  <c r="EQ94" i="1"/>
  <c r="EP93" i="1"/>
  <c r="FY94" i="1"/>
  <c r="FX93" i="1"/>
  <c r="HF93" i="1"/>
  <c r="HG94" i="1"/>
  <c r="IO96" i="1"/>
  <c r="IN95" i="1"/>
  <c r="FH94" i="1"/>
  <c r="FG93" i="1"/>
  <c r="BZ93" i="1"/>
  <c r="IM93" i="1"/>
  <c r="GP94" i="1"/>
  <c r="GO93" i="1"/>
  <c r="AS95" i="1"/>
  <c r="AR94" i="1"/>
  <c r="BJ94" i="1"/>
  <c r="BI93" i="1"/>
  <c r="H93" i="1"/>
  <c r="N93" i="1"/>
  <c r="CA94" i="1"/>
  <c r="AT98" i="1"/>
  <c r="AB95" i="1"/>
  <c r="AA95" i="1"/>
  <c r="JE93" i="1"/>
  <c r="JF94" i="1"/>
  <c r="CR94" i="1"/>
  <c r="CQ93" i="1"/>
  <c r="JD93" i="1"/>
  <c r="HW94" i="1"/>
  <c r="HX95" i="1"/>
  <c r="FG94" i="1"/>
  <c r="FH95" i="1"/>
  <c r="EQ95" i="1"/>
  <c r="EP94" i="1"/>
  <c r="DH95" i="1"/>
  <c r="DI96" i="1"/>
  <c r="IN96" i="1"/>
  <c r="IO97" i="1"/>
  <c r="FY95" i="1"/>
  <c r="FX94" i="1"/>
  <c r="HF94" i="1"/>
  <c r="HG95" i="1"/>
  <c r="DZ95" i="1"/>
  <c r="DY94" i="1"/>
  <c r="BZ94" i="1"/>
  <c r="IM94" i="1"/>
  <c r="GP95" i="1"/>
  <c r="GO94" i="1"/>
  <c r="BJ95" i="1"/>
  <c r="BI94" i="1"/>
  <c r="AS96" i="1"/>
  <c r="AR95" i="1"/>
  <c r="H94" i="1"/>
  <c r="N94" i="1"/>
  <c r="P88" i="1"/>
  <c r="CA95" i="1"/>
  <c r="AT99" i="1"/>
  <c r="AB96" i="1"/>
  <c r="AA96" i="1"/>
  <c r="JE94" i="1"/>
  <c r="JF95" i="1"/>
  <c r="CQ94" i="1"/>
  <c r="JD94" i="1"/>
  <c r="CR95" i="1"/>
  <c r="HW95" i="1"/>
  <c r="HX96" i="1"/>
  <c r="HF95" i="1"/>
  <c r="HG96" i="1"/>
  <c r="IN97" i="1"/>
  <c r="IO98" i="1"/>
  <c r="DI97" i="1"/>
  <c r="DH96" i="1"/>
  <c r="EQ96" i="1"/>
  <c r="EP95" i="1"/>
  <c r="FH96" i="1"/>
  <c r="FG95" i="1"/>
  <c r="DZ96" i="1"/>
  <c r="DY95" i="1"/>
  <c r="FX95" i="1"/>
  <c r="FY96" i="1"/>
  <c r="BZ95" i="1"/>
  <c r="IM95" i="1"/>
  <c r="GP96" i="1"/>
  <c r="GO95" i="1"/>
  <c r="AS97" i="1"/>
  <c r="AR96" i="1"/>
  <c r="BJ96" i="1"/>
  <c r="BI95" i="1"/>
  <c r="H95" i="1"/>
  <c r="N95" i="1"/>
  <c r="CA96" i="1"/>
  <c r="AT100" i="1"/>
  <c r="AB97" i="1"/>
  <c r="AA97" i="1"/>
  <c r="JE95" i="1"/>
  <c r="JF96" i="1"/>
  <c r="CR96" i="1"/>
  <c r="CQ95" i="1"/>
  <c r="JD95" i="1"/>
  <c r="HW96" i="1"/>
  <c r="HX97" i="1"/>
  <c r="IN98" i="1"/>
  <c r="IO99" i="1"/>
  <c r="FY97" i="1"/>
  <c r="FX96" i="1"/>
  <c r="DZ97" i="1"/>
  <c r="DY96" i="1"/>
  <c r="EQ97" i="1"/>
  <c r="EP96" i="1"/>
  <c r="HG97" i="1"/>
  <c r="HF96" i="1"/>
  <c r="FH97" i="1"/>
  <c r="FG96" i="1"/>
  <c r="DI98" i="1"/>
  <c r="DH97" i="1"/>
  <c r="BZ96" i="1"/>
  <c r="IM96" i="1"/>
  <c r="GP97" i="1"/>
  <c r="GO96" i="1"/>
  <c r="BJ97" i="1"/>
  <c r="BI96" i="1"/>
  <c r="AS98" i="1"/>
  <c r="AR97" i="1"/>
  <c r="H96" i="1"/>
  <c r="N96" i="1"/>
  <c r="CA97" i="1"/>
  <c r="AT101" i="1"/>
  <c r="AB98" i="1"/>
  <c r="AA98" i="1"/>
  <c r="JE96" i="1"/>
  <c r="JF97" i="1"/>
  <c r="CR97" i="1"/>
  <c r="CQ96" i="1"/>
  <c r="JD96" i="1"/>
  <c r="HW97" i="1"/>
  <c r="HX98" i="1"/>
  <c r="FH98" i="1"/>
  <c r="FG97" i="1"/>
  <c r="IO100" i="1"/>
  <c r="IN99" i="1"/>
  <c r="DZ98" i="1"/>
  <c r="DY97" i="1"/>
  <c r="DI99" i="1"/>
  <c r="DH98" i="1"/>
  <c r="HF97" i="1"/>
  <c r="HG98" i="1"/>
  <c r="EQ98" i="1"/>
  <c r="EP97" i="1"/>
  <c r="FY98" i="1"/>
  <c r="FX97" i="1"/>
  <c r="BZ97" i="1"/>
  <c r="IM97" i="1"/>
  <c r="GP98" i="1"/>
  <c r="GO97" i="1"/>
  <c r="AS99" i="1"/>
  <c r="AR98" i="1"/>
  <c r="BJ98" i="1"/>
  <c r="BI97" i="1"/>
  <c r="H97" i="1"/>
  <c r="N97" i="1"/>
  <c r="CA98" i="1"/>
  <c r="AT102" i="1"/>
  <c r="AB99" i="1"/>
  <c r="AA99" i="1"/>
  <c r="JE97" i="1"/>
  <c r="JF98" i="1"/>
  <c r="CR98" i="1"/>
  <c r="CQ97" i="1"/>
  <c r="JD97" i="1"/>
  <c r="HW98" i="1"/>
  <c r="HX99" i="1"/>
  <c r="FY99" i="1"/>
  <c r="FX98" i="1"/>
  <c r="DY98" i="1"/>
  <c r="DZ99" i="1"/>
  <c r="EP98" i="1"/>
  <c r="EQ99" i="1"/>
  <c r="DI100" i="1"/>
  <c r="DH99" i="1"/>
  <c r="HG99" i="1"/>
  <c r="HF98" i="1"/>
  <c r="IN100" i="1"/>
  <c r="IO101" i="1"/>
  <c r="FH99" i="1"/>
  <c r="FG98" i="1"/>
  <c r="BZ98" i="1"/>
  <c r="IM98" i="1"/>
  <c r="GP99" i="1"/>
  <c r="GO98" i="1"/>
  <c r="BJ99" i="1"/>
  <c r="BI98" i="1"/>
  <c r="AS100" i="1"/>
  <c r="AR99" i="1"/>
  <c r="H98" i="1"/>
  <c r="N98" i="1"/>
  <c r="CA99" i="1"/>
  <c r="AT103" i="1"/>
  <c r="AB100" i="1"/>
  <c r="AA100" i="1"/>
  <c r="JE98" i="1"/>
  <c r="JF99" i="1"/>
  <c r="CR99" i="1"/>
  <c r="CQ98" i="1"/>
  <c r="JD98" i="1"/>
  <c r="HX100" i="1"/>
  <c r="HW99" i="1"/>
  <c r="DI101" i="1"/>
  <c r="DH100" i="1"/>
  <c r="DZ100" i="1"/>
  <c r="DY99" i="1"/>
  <c r="EQ100" i="1"/>
  <c r="EP99" i="1"/>
  <c r="FH100" i="1"/>
  <c r="FG99" i="1"/>
  <c r="HF99" i="1"/>
  <c r="HG100" i="1"/>
  <c r="IN101" i="1"/>
  <c r="IO102" i="1"/>
  <c r="FY100" i="1"/>
  <c r="FX99" i="1"/>
  <c r="BZ99" i="1"/>
  <c r="IM99" i="1"/>
  <c r="GP100" i="1"/>
  <c r="GO99" i="1"/>
  <c r="AS101" i="1"/>
  <c r="AR100" i="1"/>
  <c r="BJ100" i="1"/>
  <c r="BI99" i="1"/>
  <c r="CA100" i="1"/>
  <c r="H99" i="1"/>
  <c r="N99" i="1"/>
  <c r="AT104" i="1"/>
  <c r="AB101" i="1"/>
  <c r="AA101" i="1"/>
  <c r="JE99" i="1"/>
  <c r="JF100" i="1"/>
  <c r="CQ99" i="1"/>
  <c r="JD99" i="1"/>
  <c r="CR100" i="1"/>
  <c r="HW100" i="1"/>
  <c r="HX101" i="1"/>
  <c r="IO103" i="1"/>
  <c r="IN102" i="1"/>
  <c r="DZ101" i="1"/>
  <c r="DY100" i="1"/>
  <c r="FY101" i="1"/>
  <c r="FX100" i="1"/>
  <c r="FH101" i="1"/>
  <c r="FG100" i="1"/>
  <c r="EQ101" i="1"/>
  <c r="EP100" i="1"/>
  <c r="HG101" i="1"/>
  <c r="HF100" i="1"/>
  <c r="DI102" i="1"/>
  <c r="DH101" i="1"/>
  <c r="BZ100" i="1"/>
  <c r="IM100" i="1"/>
  <c r="GP101" i="1"/>
  <c r="GO100" i="1"/>
  <c r="BJ101" i="1"/>
  <c r="BI100" i="1"/>
  <c r="AS102" i="1"/>
  <c r="AR101" i="1"/>
  <c r="CA101" i="1"/>
  <c r="H100" i="1"/>
  <c r="N100" i="1"/>
  <c r="AT105" i="1"/>
  <c r="AB102" i="1"/>
  <c r="AA102" i="1"/>
  <c r="JE100" i="1"/>
  <c r="JF101" i="1"/>
  <c r="CR101" i="1"/>
  <c r="CQ100" i="1"/>
  <c r="JD100" i="1"/>
  <c r="HX102" i="1"/>
  <c r="HW101" i="1"/>
  <c r="HF101" i="1"/>
  <c r="HG102" i="1"/>
  <c r="FH102" i="1"/>
  <c r="FG101" i="1"/>
  <c r="DY101" i="1"/>
  <c r="DZ102" i="1"/>
  <c r="DI103" i="1"/>
  <c r="DH102" i="1"/>
  <c r="EP101" i="1"/>
  <c r="EQ102" i="1"/>
  <c r="FY102" i="1"/>
  <c r="FX101" i="1"/>
  <c r="IN103" i="1"/>
  <c r="IO104" i="1"/>
  <c r="BZ101" i="1"/>
  <c r="IM101" i="1"/>
  <c r="GP102" i="1"/>
  <c r="GO101" i="1"/>
  <c r="AS103" i="1"/>
  <c r="AR102" i="1"/>
  <c r="BJ102" i="1"/>
  <c r="BI101" i="1"/>
  <c r="H101" i="1"/>
  <c r="N101" i="1"/>
  <c r="P95" i="1"/>
  <c r="CA102" i="1"/>
  <c r="AT106" i="1"/>
  <c r="AB103" i="1"/>
  <c r="AA103" i="1"/>
  <c r="JE101" i="1"/>
  <c r="JF102" i="1"/>
  <c r="CR102" i="1"/>
  <c r="CQ101" i="1"/>
  <c r="JD101" i="1"/>
  <c r="HW102" i="1"/>
  <c r="HX103" i="1"/>
  <c r="FH103" i="1"/>
  <c r="FG102" i="1"/>
  <c r="FY103" i="1"/>
  <c r="FX102" i="1"/>
  <c r="DI104" i="1"/>
  <c r="DH103" i="1"/>
  <c r="DZ103" i="1"/>
  <c r="DY102" i="1"/>
  <c r="HG103" i="1"/>
  <c r="HF102" i="1"/>
  <c r="IN104" i="1"/>
  <c r="IO105" i="1"/>
  <c r="EQ103" i="1"/>
  <c r="EP102" i="1"/>
  <c r="BZ102" i="1"/>
  <c r="IM102" i="1"/>
  <c r="GP103" i="1"/>
  <c r="GO102" i="1"/>
  <c r="BJ103" i="1"/>
  <c r="BI102" i="1"/>
  <c r="AS104" i="1"/>
  <c r="AR103" i="1"/>
  <c r="H102" i="1"/>
  <c r="N102" i="1"/>
  <c r="CA103" i="1"/>
  <c r="AT107" i="1"/>
  <c r="AB104" i="1"/>
  <c r="AA104" i="1"/>
  <c r="JE102" i="1"/>
  <c r="JF103" i="1"/>
  <c r="CQ102" i="1"/>
  <c r="JD102" i="1"/>
  <c r="CR103" i="1"/>
  <c r="HW103" i="1"/>
  <c r="HX104" i="1"/>
  <c r="EQ104" i="1"/>
  <c r="EP103" i="1"/>
  <c r="HF103" i="1"/>
  <c r="HG104" i="1"/>
  <c r="IN105" i="1"/>
  <c r="IO106" i="1"/>
  <c r="DI105" i="1"/>
  <c r="DH104" i="1"/>
  <c r="FH104" i="1"/>
  <c r="FG103" i="1"/>
  <c r="DZ104" i="1"/>
  <c r="DY103" i="1"/>
  <c r="FY104" i="1"/>
  <c r="FX103" i="1"/>
  <c r="BZ103" i="1"/>
  <c r="IM103" i="1"/>
  <c r="GP104" i="1"/>
  <c r="GO103" i="1"/>
  <c r="AS105" i="1"/>
  <c r="AR104" i="1"/>
  <c r="BJ104" i="1"/>
  <c r="BI103" i="1"/>
  <c r="CA104" i="1"/>
  <c r="H103" i="1"/>
  <c r="N103" i="1"/>
  <c r="AT108" i="1"/>
  <c r="AB105" i="1"/>
  <c r="AA105" i="1"/>
  <c r="JE103" i="1"/>
  <c r="JF104" i="1"/>
  <c r="CR104" i="1"/>
  <c r="CQ103" i="1"/>
  <c r="JD103" i="1"/>
  <c r="HW104" i="1"/>
  <c r="HX105" i="1"/>
  <c r="FY105" i="1"/>
  <c r="FX104" i="1"/>
  <c r="HF104" i="1"/>
  <c r="HG105" i="1"/>
  <c r="DI106" i="1"/>
  <c r="DH105" i="1"/>
  <c r="IN106" i="1"/>
  <c r="IO107" i="1"/>
  <c r="DZ105" i="1"/>
  <c r="DY104" i="1"/>
  <c r="FH105" i="1"/>
  <c r="FG104" i="1"/>
  <c r="EQ105" i="1"/>
  <c r="EP104" i="1"/>
  <c r="BZ104" i="1"/>
  <c r="IM104" i="1"/>
  <c r="GP105" i="1"/>
  <c r="GO104" i="1"/>
  <c r="BJ105" i="1"/>
  <c r="BI104" i="1"/>
  <c r="AS106" i="1"/>
  <c r="AR105" i="1"/>
  <c r="CA105" i="1"/>
  <c r="H104" i="1"/>
  <c r="N104" i="1"/>
  <c r="AT109" i="1"/>
  <c r="AB106" i="1"/>
  <c r="AA106" i="1"/>
  <c r="JE104" i="1"/>
  <c r="JF105" i="1"/>
  <c r="CR105" i="1"/>
  <c r="CQ104" i="1"/>
  <c r="JD104" i="1"/>
  <c r="HX106" i="1"/>
  <c r="HW105" i="1"/>
  <c r="FH106" i="1"/>
  <c r="FG105" i="1"/>
  <c r="IN107" i="1"/>
  <c r="IO108" i="1"/>
  <c r="HF105" i="1"/>
  <c r="HG106" i="1"/>
  <c r="DI107" i="1"/>
  <c r="DH106" i="1"/>
  <c r="EQ106" i="1"/>
  <c r="EP105" i="1"/>
  <c r="DZ106" i="1"/>
  <c r="DY105" i="1"/>
  <c r="FY106" i="1"/>
  <c r="FX105" i="1"/>
  <c r="BZ105" i="1"/>
  <c r="IM105" i="1"/>
  <c r="GP106" i="1"/>
  <c r="GO105" i="1"/>
  <c r="AS107" i="1"/>
  <c r="AR106" i="1"/>
  <c r="BJ106" i="1"/>
  <c r="BI105" i="1"/>
  <c r="H105" i="1"/>
  <c r="N105" i="1"/>
  <c r="CA106" i="1"/>
  <c r="AT110" i="1"/>
  <c r="AB107" i="1"/>
  <c r="AA107" i="1"/>
  <c r="JE105" i="1"/>
  <c r="JF106" i="1"/>
  <c r="CR106" i="1"/>
  <c r="CQ105" i="1"/>
  <c r="JD105" i="1"/>
  <c r="HW106" i="1"/>
  <c r="HX107" i="1"/>
  <c r="IN108" i="1"/>
  <c r="IO109" i="1"/>
  <c r="DZ107" i="1"/>
  <c r="DY106" i="1"/>
  <c r="DI108" i="1"/>
  <c r="DH107" i="1"/>
  <c r="FY107" i="1"/>
  <c r="FX106" i="1"/>
  <c r="HF106" i="1"/>
  <c r="HG107" i="1"/>
  <c r="EQ107" i="1"/>
  <c r="EP106" i="1"/>
  <c r="FH107" i="1"/>
  <c r="FG106" i="1"/>
  <c r="BZ106" i="1"/>
  <c r="IM106" i="1"/>
  <c r="GP107" i="1"/>
  <c r="GO106" i="1"/>
  <c r="BJ107" i="1"/>
  <c r="BI106" i="1"/>
  <c r="AS108" i="1"/>
  <c r="AR107" i="1"/>
  <c r="H106" i="1"/>
  <c r="N106" i="1"/>
  <c r="CA107" i="1"/>
  <c r="AT111" i="1"/>
  <c r="AB108" i="1"/>
  <c r="AA108" i="1"/>
  <c r="JE106" i="1"/>
  <c r="JF107" i="1"/>
  <c r="CR107" i="1"/>
  <c r="CQ106" i="1"/>
  <c r="JD106" i="1"/>
  <c r="HW107" i="1"/>
  <c r="HX108" i="1"/>
  <c r="EQ108" i="1"/>
  <c r="EP107" i="1"/>
  <c r="DI109" i="1"/>
  <c r="DH108" i="1"/>
  <c r="IN109" i="1"/>
  <c r="IO110" i="1"/>
  <c r="HF107" i="1"/>
  <c r="HG108" i="1"/>
  <c r="FH108" i="1"/>
  <c r="FG107" i="1"/>
  <c r="FY108" i="1"/>
  <c r="FX107" i="1"/>
  <c r="DZ108" i="1"/>
  <c r="DY107" i="1"/>
  <c r="BZ107" i="1"/>
  <c r="IM107" i="1"/>
  <c r="GP108" i="1"/>
  <c r="GO107" i="1"/>
  <c r="AS109" i="1"/>
  <c r="AR108" i="1"/>
  <c r="BJ108" i="1"/>
  <c r="BI107" i="1"/>
  <c r="H107" i="1"/>
  <c r="N107" i="1"/>
  <c r="CA108" i="1"/>
  <c r="AT112" i="1"/>
  <c r="AB109" i="1"/>
  <c r="AA109" i="1"/>
  <c r="JE107" i="1"/>
  <c r="JF108" i="1"/>
  <c r="CR108" i="1"/>
  <c r="CQ107" i="1"/>
  <c r="JD107" i="1"/>
  <c r="HW108" i="1"/>
  <c r="HX109" i="1"/>
  <c r="IN110" i="1"/>
  <c r="IO111" i="1"/>
  <c r="DZ109" i="1"/>
  <c r="DY108" i="1"/>
  <c r="FH109" i="1"/>
  <c r="FG108" i="1"/>
  <c r="HF108" i="1"/>
  <c r="HG109" i="1"/>
  <c r="FY109" i="1"/>
  <c r="FX108" i="1"/>
  <c r="DI110" i="1"/>
  <c r="DH109" i="1"/>
  <c r="EQ109" i="1"/>
  <c r="EP108" i="1"/>
  <c r="BZ108" i="1"/>
  <c r="IM108" i="1"/>
  <c r="GP109" i="1"/>
  <c r="GO108" i="1"/>
  <c r="BJ109" i="1"/>
  <c r="BI108" i="1"/>
  <c r="AS110" i="1"/>
  <c r="AR109" i="1"/>
  <c r="CA109" i="1"/>
  <c r="H108" i="1"/>
  <c r="N108" i="1"/>
  <c r="P102" i="1"/>
  <c r="AT113" i="1"/>
  <c r="AB110" i="1"/>
  <c r="AA110" i="1"/>
  <c r="JE108" i="1"/>
  <c r="JF109" i="1"/>
  <c r="CR109" i="1"/>
  <c r="CQ108" i="1"/>
  <c r="JD108" i="1"/>
  <c r="HW109" i="1"/>
  <c r="HX110" i="1"/>
  <c r="DI111" i="1"/>
  <c r="DH110" i="1"/>
  <c r="DZ110" i="1"/>
  <c r="DY109" i="1"/>
  <c r="EQ110" i="1"/>
  <c r="EP109" i="1"/>
  <c r="FY110" i="1"/>
  <c r="FX109" i="1"/>
  <c r="FH110" i="1"/>
  <c r="FG109" i="1"/>
  <c r="IN111" i="1"/>
  <c r="IO112" i="1"/>
  <c r="HF109" i="1"/>
  <c r="HG110" i="1"/>
  <c r="BZ109" i="1"/>
  <c r="IM109" i="1"/>
  <c r="GP110" i="1"/>
  <c r="GO109" i="1"/>
  <c r="AS111" i="1"/>
  <c r="AR110" i="1"/>
  <c r="BJ110" i="1"/>
  <c r="BI109" i="1"/>
  <c r="H109" i="1"/>
  <c r="N109" i="1"/>
  <c r="CA110" i="1"/>
  <c r="AT114" i="1"/>
  <c r="AB111" i="1"/>
  <c r="AA111" i="1"/>
  <c r="JE109" i="1"/>
  <c r="JF110" i="1"/>
  <c r="CQ109" i="1"/>
  <c r="JD109" i="1"/>
  <c r="CR110" i="1"/>
  <c r="HW110" i="1"/>
  <c r="HX111" i="1"/>
  <c r="EQ111" i="1"/>
  <c r="EP110" i="1"/>
  <c r="HF110" i="1"/>
  <c r="HG111" i="1"/>
  <c r="FH111" i="1"/>
  <c r="FG110" i="1"/>
  <c r="FY111" i="1"/>
  <c r="FX110" i="1"/>
  <c r="IN112" i="1"/>
  <c r="IO113" i="1"/>
  <c r="DZ111" i="1"/>
  <c r="DY110" i="1"/>
  <c r="DI112" i="1"/>
  <c r="DH111" i="1"/>
  <c r="BZ110" i="1"/>
  <c r="IM110" i="1"/>
  <c r="GP111" i="1"/>
  <c r="GO110" i="1"/>
  <c r="BJ111" i="1"/>
  <c r="BI110" i="1"/>
  <c r="AS112" i="1"/>
  <c r="AR111" i="1"/>
  <c r="H110" i="1"/>
  <c r="N110" i="1"/>
  <c r="CA111" i="1"/>
  <c r="AT115" i="1"/>
  <c r="AB112" i="1"/>
  <c r="AA112" i="1"/>
  <c r="JE110" i="1"/>
  <c r="JF111" i="1"/>
  <c r="CR111" i="1"/>
  <c r="CQ110" i="1"/>
  <c r="JD110" i="1"/>
  <c r="HW111" i="1"/>
  <c r="HX112" i="1"/>
  <c r="DZ112" i="1"/>
  <c r="DY111" i="1"/>
  <c r="FY112" i="1"/>
  <c r="FX111" i="1"/>
  <c r="EQ112" i="1"/>
  <c r="EP111" i="1"/>
  <c r="DI113" i="1"/>
  <c r="DH112" i="1"/>
  <c r="IN113" i="1"/>
  <c r="IO114" i="1"/>
  <c r="HF111" i="1"/>
  <c r="HG112" i="1"/>
  <c r="FH112" i="1"/>
  <c r="FG111" i="1"/>
  <c r="BZ111" i="1"/>
  <c r="IM111" i="1"/>
  <c r="GP112" i="1"/>
  <c r="GO111" i="1"/>
  <c r="AS113" i="1"/>
  <c r="AR112" i="1"/>
  <c r="BJ112" i="1"/>
  <c r="BI111" i="1"/>
  <c r="CA112" i="1"/>
  <c r="H111" i="1"/>
  <c r="N111" i="1"/>
  <c r="AT116" i="1"/>
  <c r="AB113" i="1"/>
  <c r="AA113" i="1"/>
  <c r="JE111" i="1"/>
  <c r="JF112" i="1"/>
  <c r="CR112" i="1"/>
  <c r="CQ111" i="1"/>
  <c r="JD111" i="1"/>
  <c r="HW112" i="1"/>
  <c r="HX113" i="1"/>
  <c r="FH113" i="1"/>
  <c r="FG112" i="1"/>
  <c r="EQ113" i="1"/>
  <c r="EP112" i="1"/>
  <c r="FY113" i="1"/>
  <c r="FX112" i="1"/>
  <c r="HG113" i="1"/>
  <c r="HF112" i="1"/>
  <c r="DI114" i="1"/>
  <c r="DH113" i="1"/>
  <c r="IN114" i="1"/>
  <c r="IO115" i="1"/>
  <c r="DZ113" i="1"/>
  <c r="DY112" i="1"/>
  <c r="BZ112" i="1"/>
  <c r="IM112" i="1"/>
  <c r="GP113" i="1"/>
  <c r="GO112" i="1"/>
  <c r="BJ113" i="1"/>
  <c r="BI112" i="1"/>
  <c r="AS114" i="1"/>
  <c r="AR113" i="1"/>
  <c r="CA113" i="1"/>
  <c r="H112" i="1"/>
  <c r="N112" i="1"/>
  <c r="AT117" i="1"/>
  <c r="AB114" i="1"/>
  <c r="AA114" i="1"/>
  <c r="JE112" i="1"/>
  <c r="JF113" i="1"/>
  <c r="CR113" i="1"/>
  <c r="CQ112" i="1"/>
  <c r="JD112" i="1"/>
  <c r="HW113" i="1"/>
  <c r="HX114" i="1"/>
  <c r="IN115" i="1"/>
  <c r="IO116" i="1"/>
  <c r="DI115" i="1"/>
  <c r="DH114" i="1"/>
  <c r="EQ114" i="1"/>
  <c r="EP113" i="1"/>
  <c r="DZ114" i="1"/>
  <c r="DY113" i="1"/>
  <c r="HF113" i="1"/>
  <c r="HG114" i="1"/>
  <c r="FY114" i="1"/>
  <c r="FX113" i="1"/>
  <c r="FH114" i="1"/>
  <c r="FG113" i="1"/>
  <c r="BZ113" i="1"/>
  <c r="IM113" i="1"/>
  <c r="GP114" i="1"/>
  <c r="GO113" i="1"/>
  <c r="AS115" i="1"/>
  <c r="AR114" i="1"/>
  <c r="BJ114" i="1"/>
  <c r="BI113" i="1"/>
  <c r="H113" i="1"/>
  <c r="N113" i="1"/>
  <c r="CA114" i="1"/>
  <c r="AT118" i="1"/>
  <c r="AB115" i="1"/>
  <c r="AA115" i="1"/>
  <c r="JE113" i="1"/>
  <c r="JF114" i="1"/>
  <c r="CQ113" i="1"/>
  <c r="JD113" i="1"/>
  <c r="CR114" i="1"/>
  <c r="HW114" i="1"/>
  <c r="HX115" i="1"/>
  <c r="FY115" i="1"/>
  <c r="FX114" i="1"/>
  <c r="HG115" i="1"/>
  <c r="HF114" i="1"/>
  <c r="EQ115" i="1"/>
  <c r="EP114" i="1"/>
  <c r="DI116" i="1"/>
  <c r="DH115" i="1"/>
  <c r="FH115" i="1"/>
  <c r="FG114" i="1"/>
  <c r="IN116" i="1"/>
  <c r="IO117" i="1"/>
  <c r="DZ115" i="1"/>
  <c r="DY114" i="1"/>
  <c r="BZ114" i="1"/>
  <c r="IM114" i="1"/>
  <c r="GP115" i="1"/>
  <c r="GO114" i="1"/>
  <c r="BJ115" i="1"/>
  <c r="BI114" i="1"/>
  <c r="AS116" i="1"/>
  <c r="AR115" i="1"/>
  <c r="H114" i="1"/>
  <c r="N114" i="1"/>
  <c r="CA115" i="1"/>
  <c r="AT119" i="1"/>
  <c r="AB116" i="1"/>
  <c r="AA116" i="1"/>
  <c r="JE114" i="1"/>
  <c r="JF115" i="1"/>
  <c r="CR115" i="1"/>
  <c r="CQ114" i="1"/>
  <c r="JD114" i="1"/>
  <c r="HX116" i="1"/>
  <c r="HW115" i="1"/>
  <c r="DZ116" i="1"/>
  <c r="DY115" i="1"/>
  <c r="FH116" i="1"/>
  <c r="FG115" i="1"/>
  <c r="EQ116" i="1"/>
  <c r="EP115" i="1"/>
  <c r="IN117" i="1"/>
  <c r="IO118" i="1"/>
  <c r="DI117" i="1"/>
  <c r="DH116" i="1"/>
  <c r="HF115" i="1"/>
  <c r="HG116" i="1"/>
  <c r="FY116" i="1"/>
  <c r="FX115" i="1"/>
  <c r="BZ115" i="1"/>
  <c r="IM115" i="1"/>
  <c r="GP116" i="1"/>
  <c r="GO115" i="1"/>
  <c r="AS117" i="1"/>
  <c r="AR116" i="1"/>
  <c r="BJ116" i="1"/>
  <c r="BI115" i="1"/>
  <c r="H115" i="1"/>
  <c r="N115" i="1"/>
  <c r="P109" i="1"/>
  <c r="CA116" i="1"/>
  <c r="AT120" i="1"/>
  <c r="AB117" i="1"/>
  <c r="AA117" i="1"/>
  <c r="JE115" i="1"/>
  <c r="JF116" i="1"/>
  <c r="CR116" i="1"/>
  <c r="CQ115" i="1"/>
  <c r="JD115" i="1"/>
  <c r="HW116" i="1"/>
  <c r="HX117" i="1"/>
  <c r="FH117" i="1"/>
  <c r="FG116" i="1"/>
  <c r="FY117" i="1"/>
  <c r="FX116" i="1"/>
  <c r="DI118" i="1"/>
  <c r="DH117" i="1"/>
  <c r="EQ117" i="1"/>
  <c r="EP116" i="1"/>
  <c r="HG117" i="1"/>
  <c r="HF116" i="1"/>
  <c r="IN118" i="1"/>
  <c r="IO119" i="1"/>
  <c r="DZ117" i="1"/>
  <c r="DY116" i="1"/>
  <c r="BZ116" i="1"/>
  <c r="IM116" i="1"/>
  <c r="GP117" i="1"/>
  <c r="GO116" i="1"/>
  <c r="BJ117" i="1"/>
  <c r="BI116" i="1"/>
  <c r="AS118" i="1"/>
  <c r="AR117" i="1"/>
  <c r="H116" i="1"/>
  <c r="N116" i="1"/>
  <c r="CA117" i="1"/>
  <c r="AT121" i="1"/>
  <c r="AB118" i="1"/>
  <c r="AA118" i="1"/>
  <c r="JE116" i="1"/>
  <c r="JF117" i="1"/>
  <c r="CQ116" i="1"/>
  <c r="JD116" i="1"/>
  <c r="CR117" i="1"/>
  <c r="HX118" i="1"/>
  <c r="HW117" i="1"/>
  <c r="IN119" i="1"/>
  <c r="IO120" i="1"/>
  <c r="EQ118" i="1"/>
  <c r="EP117" i="1"/>
  <c r="DI119" i="1"/>
  <c r="DH118" i="1"/>
  <c r="FH118" i="1"/>
  <c r="FG117" i="1"/>
  <c r="DZ118" i="1"/>
  <c r="DY117" i="1"/>
  <c r="HF117" i="1"/>
  <c r="HG118" i="1"/>
  <c r="FY118" i="1"/>
  <c r="FX117" i="1"/>
  <c r="BZ117" i="1"/>
  <c r="IM117" i="1"/>
  <c r="GP118" i="1"/>
  <c r="GO117" i="1"/>
  <c r="AS119" i="1"/>
  <c r="AR118" i="1"/>
  <c r="BJ118" i="1"/>
  <c r="BI117" i="1"/>
  <c r="H117" i="1"/>
  <c r="N117" i="1"/>
  <c r="CA118" i="1"/>
  <c r="AT122" i="1"/>
  <c r="AB119" i="1"/>
  <c r="AA119" i="1"/>
  <c r="JE117" i="1"/>
  <c r="JF118" i="1"/>
  <c r="CQ117" i="1"/>
  <c r="JD117" i="1"/>
  <c r="CR118" i="1"/>
  <c r="HW118" i="1"/>
  <c r="HX119" i="1"/>
  <c r="FY119" i="1"/>
  <c r="FX118" i="1"/>
  <c r="FH119" i="1"/>
  <c r="FG118" i="1"/>
  <c r="EQ119" i="1"/>
  <c r="EP118" i="1"/>
  <c r="IN120" i="1"/>
  <c r="IO121" i="1"/>
  <c r="HG119" i="1"/>
  <c r="HF118" i="1"/>
  <c r="DZ119" i="1"/>
  <c r="DY118" i="1"/>
  <c r="DI120" i="1"/>
  <c r="DH119" i="1"/>
  <c r="BZ118" i="1"/>
  <c r="IM118" i="1"/>
  <c r="GP119" i="1"/>
  <c r="GO118" i="1"/>
  <c r="BJ119" i="1"/>
  <c r="BI118" i="1"/>
  <c r="AS120" i="1"/>
  <c r="AR119" i="1"/>
  <c r="H118" i="1"/>
  <c r="N118" i="1"/>
  <c r="CA119" i="1"/>
  <c r="AT123" i="1"/>
  <c r="AB120" i="1"/>
  <c r="AA120" i="1"/>
  <c r="JE118" i="1"/>
  <c r="JF119" i="1"/>
  <c r="CR119" i="1"/>
  <c r="CQ118" i="1"/>
  <c r="JD118" i="1"/>
  <c r="HW119" i="1"/>
  <c r="HX120" i="1"/>
  <c r="IN121" i="1"/>
  <c r="IO122" i="1"/>
  <c r="DZ120" i="1"/>
  <c r="DY119" i="1"/>
  <c r="FH120" i="1"/>
  <c r="FG119" i="1"/>
  <c r="DI121" i="1"/>
  <c r="DH120" i="1"/>
  <c r="HF119" i="1"/>
  <c r="HG120" i="1"/>
  <c r="EQ120" i="1"/>
  <c r="EP119" i="1"/>
  <c r="FY120" i="1"/>
  <c r="FX119" i="1"/>
  <c r="BZ119" i="1"/>
  <c r="IM119" i="1"/>
  <c r="GP120" i="1"/>
  <c r="GO119" i="1"/>
  <c r="AS121" i="1"/>
  <c r="AR120" i="1"/>
  <c r="BJ120" i="1"/>
  <c r="BI119" i="1"/>
  <c r="H119" i="1"/>
  <c r="N119" i="1"/>
  <c r="CA120" i="1"/>
  <c r="AT124" i="1"/>
  <c r="AB121" i="1"/>
  <c r="AA121" i="1"/>
  <c r="JE119" i="1"/>
  <c r="JF120" i="1"/>
  <c r="CR120" i="1"/>
  <c r="CQ119" i="1"/>
  <c r="JD119" i="1"/>
  <c r="HW120" i="1"/>
  <c r="HX121" i="1"/>
  <c r="EQ121" i="1"/>
  <c r="EP120" i="1"/>
  <c r="FH121" i="1"/>
  <c r="FG120" i="1"/>
  <c r="DZ121" i="1"/>
  <c r="DY120" i="1"/>
  <c r="FY121" i="1"/>
  <c r="FX120" i="1"/>
  <c r="DI122" i="1"/>
  <c r="DH121" i="1"/>
  <c r="IN122" i="1"/>
  <c r="IO123" i="1"/>
  <c r="HF120" i="1"/>
  <c r="HG121" i="1"/>
  <c r="BZ120" i="1"/>
  <c r="IM120" i="1"/>
  <c r="GP121" i="1"/>
  <c r="GO120" i="1"/>
  <c r="BJ121" i="1"/>
  <c r="BI120" i="1"/>
  <c r="AS122" i="1"/>
  <c r="AR121" i="1"/>
  <c r="CA121" i="1"/>
  <c r="H120" i="1"/>
  <c r="N120" i="1"/>
  <c r="AT125" i="1"/>
  <c r="AB122" i="1"/>
  <c r="AA122" i="1"/>
  <c r="JE120" i="1"/>
  <c r="JF121" i="1"/>
  <c r="CR121" i="1"/>
  <c r="CQ120" i="1"/>
  <c r="JD120" i="1"/>
  <c r="HX122" i="1"/>
  <c r="HW121" i="1"/>
  <c r="DI123" i="1"/>
  <c r="DH122" i="1"/>
  <c r="FY122" i="1"/>
  <c r="FX121" i="1"/>
  <c r="HF121" i="1"/>
  <c r="HG122" i="1"/>
  <c r="FH122" i="1"/>
  <c r="FG121" i="1"/>
  <c r="IN123" i="1"/>
  <c r="IO124" i="1"/>
  <c r="DZ122" i="1"/>
  <c r="DY121" i="1"/>
  <c r="EQ122" i="1"/>
  <c r="EP121" i="1"/>
  <c r="BZ121" i="1"/>
  <c r="IM121" i="1"/>
  <c r="GP122" i="1"/>
  <c r="GO121" i="1"/>
  <c r="AS123" i="1"/>
  <c r="AR122" i="1"/>
  <c r="BJ122" i="1"/>
  <c r="BI121" i="1"/>
  <c r="H121" i="1"/>
  <c r="N121" i="1"/>
  <c r="CA122" i="1"/>
  <c r="AT126" i="1"/>
  <c r="AB123" i="1"/>
  <c r="AA123" i="1"/>
  <c r="JE121" i="1"/>
  <c r="JF122" i="1"/>
  <c r="CR122" i="1"/>
  <c r="CQ121" i="1"/>
  <c r="JD121" i="1"/>
  <c r="HW122" i="1"/>
  <c r="HX123" i="1"/>
  <c r="DZ123" i="1"/>
  <c r="DY122" i="1"/>
  <c r="FH123" i="1"/>
  <c r="FG122" i="1"/>
  <c r="FY123" i="1"/>
  <c r="FX122" i="1"/>
  <c r="EQ123" i="1"/>
  <c r="EP122" i="1"/>
  <c r="IN124" i="1"/>
  <c r="IO125" i="1"/>
  <c r="HF122" i="1"/>
  <c r="HG123" i="1"/>
  <c r="DI124" i="1"/>
  <c r="DH123" i="1"/>
  <c r="BZ122" i="1"/>
  <c r="IM122" i="1"/>
  <c r="GP123" i="1"/>
  <c r="GO122" i="1"/>
  <c r="BJ123" i="1"/>
  <c r="BI122" i="1"/>
  <c r="AS124" i="1"/>
  <c r="AR123" i="1"/>
  <c r="H122" i="1"/>
  <c r="N122" i="1"/>
  <c r="P116" i="1"/>
  <c r="CA123" i="1"/>
  <c r="AT127" i="1"/>
  <c r="AB124" i="1"/>
  <c r="AA124" i="1"/>
  <c r="JE122" i="1"/>
  <c r="JF123" i="1"/>
  <c r="CR123" i="1"/>
  <c r="CQ122" i="1"/>
  <c r="JD122" i="1"/>
  <c r="HW123" i="1"/>
  <c r="HX124" i="1"/>
  <c r="FY124" i="1"/>
  <c r="FX123" i="1"/>
  <c r="HF123" i="1"/>
  <c r="HG124" i="1"/>
  <c r="DI125" i="1"/>
  <c r="DH124" i="1"/>
  <c r="EQ124" i="1"/>
  <c r="EP123" i="1"/>
  <c r="FH124" i="1"/>
  <c r="FG123" i="1"/>
  <c r="IN125" i="1"/>
  <c r="IO126" i="1"/>
  <c r="DZ124" i="1"/>
  <c r="DY123" i="1"/>
  <c r="BZ123" i="1"/>
  <c r="IM123" i="1"/>
  <c r="GP124" i="1"/>
  <c r="GO123" i="1"/>
  <c r="AS125" i="1"/>
  <c r="AR124" i="1"/>
  <c r="BJ124" i="1"/>
  <c r="BI123" i="1"/>
  <c r="H123" i="1"/>
  <c r="N123" i="1"/>
  <c r="CA124" i="1"/>
  <c r="AT128" i="1"/>
  <c r="AB125" i="1"/>
  <c r="AA125" i="1"/>
  <c r="JE123" i="1"/>
  <c r="JF124" i="1"/>
  <c r="CQ123" i="1"/>
  <c r="JD123" i="1"/>
  <c r="CR124" i="1"/>
  <c r="HW124" i="1"/>
  <c r="HX125" i="1"/>
  <c r="IN126" i="1"/>
  <c r="IO127" i="1"/>
  <c r="HF124" i="1"/>
  <c r="HG125" i="1"/>
  <c r="EQ125" i="1"/>
  <c r="EP124" i="1"/>
  <c r="FY125" i="1"/>
  <c r="FX124" i="1"/>
  <c r="DZ125" i="1"/>
  <c r="DY124" i="1"/>
  <c r="FH125" i="1"/>
  <c r="FG124" i="1"/>
  <c r="DI126" i="1"/>
  <c r="DH125" i="1"/>
  <c r="BZ124" i="1"/>
  <c r="IM124" i="1"/>
  <c r="GP125" i="1"/>
  <c r="GO124" i="1"/>
  <c r="BJ125" i="1"/>
  <c r="BI124" i="1"/>
  <c r="AS126" i="1"/>
  <c r="AR125" i="1"/>
  <c r="H124" i="1"/>
  <c r="N124" i="1"/>
  <c r="CA125" i="1"/>
  <c r="AT129" i="1"/>
  <c r="AB126" i="1"/>
  <c r="AA126" i="1"/>
  <c r="JE124" i="1"/>
  <c r="JF125" i="1"/>
  <c r="CR125" i="1"/>
  <c r="CQ124" i="1"/>
  <c r="JD124" i="1"/>
  <c r="HW125" i="1"/>
  <c r="HX126" i="1"/>
  <c r="FH126" i="1"/>
  <c r="FG125" i="1"/>
  <c r="HF125" i="1"/>
  <c r="HG126" i="1"/>
  <c r="FY126" i="1"/>
  <c r="FX125" i="1"/>
  <c r="DI127" i="1"/>
  <c r="DH126" i="1"/>
  <c r="IN127" i="1"/>
  <c r="IO128" i="1"/>
  <c r="DZ126" i="1"/>
  <c r="DY125" i="1"/>
  <c r="EQ126" i="1"/>
  <c r="EP125" i="1"/>
  <c r="BZ125" i="1"/>
  <c r="IM125" i="1"/>
  <c r="GP126" i="1"/>
  <c r="GO125" i="1"/>
  <c r="AS127" i="1"/>
  <c r="AR126" i="1"/>
  <c r="BJ126" i="1"/>
  <c r="BI125" i="1"/>
  <c r="H125" i="1"/>
  <c r="N125" i="1"/>
  <c r="CA126" i="1"/>
  <c r="AT130" i="1"/>
  <c r="AB127" i="1"/>
  <c r="AA127" i="1"/>
  <c r="JE125" i="1"/>
  <c r="JF126" i="1"/>
  <c r="CR126" i="1"/>
  <c r="CQ125" i="1"/>
  <c r="JD125" i="1"/>
  <c r="HW126" i="1"/>
  <c r="HX127" i="1"/>
  <c r="DZ127" i="1"/>
  <c r="DY126" i="1"/>
  <c r="DI128" i="1"/>
  <c r="DH127" i="1"/>
  <c r="FY127" i="1"/>
  <c r="FX126" i="1"/>
  <c r="FH127" i="1"/>
  <c r="FG126" i="1"/>
  <c r="EQ127" i="1"/>
  <c r="EP126" i="1"/>
  <c r="IN128" i="1"/>
  <c r="IO129" i="1"/>
  <c r="HF126" i="1"/>
  <c r="HG127" i="1"/>
  <c r="BZ126" i="1"/>
  <c r="IM126" i="1"/>
  <c r="GP127" i="1"/>
  <c r="GO126" i="1"/>
  <c r="BJ127" i="1"/>
  <c r="BI126" i="1"/>
  <c r="AS128" i="1"/>
  <c r="AR127" i="1"/>
  <c r="H126" i="1"/>
  <c r="N126" i="1"/>
  <c r="CA127" i="1"/>
  <c r="AT131" i="1"/>
  <c r="AB128" i="1"/>
  <c r="AA128" i="1"/>
  <c r="JE126" i="1"/>
  <c r="JF127" i="1"/>
  <c r="CR127" i="1"/>
  <c r="CQ126" i="1"/>
  <c r="JD126" i="1"/>
  <c r="HW127" i="1"/>
  <c r="HX128" i="1"/>
  <c r="FH128" i="1"/>
  <c r="FG127" i="1"/>
  <c r="DI129" i="1"/>
  <c r="DH128" i="1"/>
  <c r="HF127" i="1"/>
  <c r="HG128" i="1"/>
  <c r="EQ128" i="1"/>
  <c r="EP127" i="1"/>
  <c r="FY128" i="1"/>
  <c r="FX127" i="1"/>
  <c r="IN129" i="1"/>
  <c r="IO130" i="1"/>
  <c r="DZ128" i="1"/>
  <c r="DY127" i="1"/>
  <c r="BZ127" i="1"/>
  <c r="IM127" i="1"/>
  <c r="GP128" i="1"/>
  <c r="GO127" i="1"/>
  <c r="AS129" i="1"/>
  <c r="AR128" i="1"/>
  <c r="BJ128" i="1"/>
  <c r="BI127" i="1"/>
  <c r="H127" i="1"/>
  <c r="N127" i="1"/>
  <c r="CA128" i="1"/>
  <c r="AT132" i="1"/>
  <c r="AB129" i="1"/>
  <c r="AA129" i="1"/>
  <c r="JE127" i="1"/>
  <c r="JF128" i="1"/>
  <c r="CR128" i="1"/>
  <c r="CQ127" i="1"/>
  <c r="JD127" i="1"/>
  <c r="HW128" i="1"/>
  <c r="HX129" i="1"/>
  <c r="IN130" i="1"/>
  <c r="IO131" i="1"/>
  <c r="HG129" i="1"/>
  <c r="HF128" i="1"/>
  <c r="EQ129" i="1"/>
  <c r="EP128" i="1"/>
  <c r="FH129" i="1"/>
  <c r="FG128" i="1"/>
  <c r="DZ129" i="1"/>
  <c r="DY128" i="1"/>
  <c r="FY129" i="1"/>
  <c r="FX128" i="1"/>
  <c r="DI130" i="1"/>
  <c r="DH129" i="1"/>
  <c r="BZ128" i="1"/>
  <c r="IM128" i="1"/>
  <c r="GP129" i="1"/>
  <c r="GO128" i="1"/>
  <c r="BJ129" i="1"/>
  <c r="BI128" i="1"/>
  <c r="AS130" i="1"/>
  <c r="AR129" i="1"/>
  <c r="CA129" i="1"/>
  <c r="H128" i="1"/>
  <c r="N128" i="1"/>
  <c r="AT133" i="1"/>
  <c r="AB130" i="1"/>
  <c r="AA130" i="1"/>
  <c r="JE128" i="1"/>
  <c r="JF129" i="1"/>
  <c r="CR129" i="1"/>
  <c r="CQ128" i="1"/>
  <c r="JD128" i="1"/>
  <c r="HW129" i="1"/>
  <c r="HX130" i="1"/>
  <c r="DI131" i="1"/>
  <c r="DH130" i="1"/>
  <c r="FY130" i="1"/>
  <c r="FX129" i="1"/>
  <c r="FH130" i="1"/>
  <c r="FG129" i="1"/>
  <c r="HF129" i="1"/>
  <c r="HG130" i="1"/>
  <c r="IN131" i="1"/>
  <c r="IO132" i="1"/>
  <c r="DZ130" i="1"/>
  <c r="DY129" i="1"/>
  <c r="EQ130" i="1"/>
  <c r="EP129" i="1"/>
  <c r="BZ129" i="1"/>
  <c r="IM129" i="1"/>
  <c r="GP130" i="1"/>
  <c r="GO129" i="1"/>
  <c r="AS131" i="1"/>
  <c r="AR130" i="1"/>
  <c r="BJ130" i="1"/>
  <c r="BI129" i="1"/>
  <c r="H129" i="1"/>
  <c r="N129" i="1"/>
  <c r="P123" i="1"/>
  <c r="CA130" i="1"/>
  <c r="AT134" i="1"/>
  <c r="AB131" i="1"/>
  <c r="AA131" i="1"/>
  <c r="JE129" i="1"/>
  <c r="JF130" i="1"/>
  <c r="CR130" i="1"/>
  <c r="CQ129" i="1"/>
  <c r="JD129" i="1"/>
  <c r="HW130" i="1"/>
  <c r="HX131" i="1"/>
  <c r="HG131" i="1"/>
  <c r="HF130" i="1"/>
  <c r="DZ131" i="1"/>
  <c r="DY130" i="1"/>
  <c r="FY131" i="1"/>
  <c r="FX130" i="1"/>
  <c r="EQ131" i="1"/>
  <c r="EP130" i="1"/>
  <c r="IN132" i="1"/>
  <c r="IO133" i="1"/>
  <c r="FH131" i="1"/>
  <c r="FG130" i="1"/>
  <c r="DI132" i="1"/>
  <c r="DH131" i="1"/>
  <c r="BZ130" i="1"/>
  <c r="IM130" i="1"/>
  <c r="GP131" i="1"/>
  <c r="GO130" i="1"/>
  <c r="BJ131" i="1"/>
  <c r="BI130" i="1"/>
  <c r="AS132" i="1"/>
  <c r="AR131" i="1"/>
  <c r="H130" i="1"/>
  <c r="N130" i="1"/>
  <c r="CA131" i="1"/>
  <c r="AT135" i="1"/>
  <c r="AB132" i="1"/>
  <c r="AA132" i="1"/>
  <c r="JE130" i="1"/>
  <c r="JF131" i="1"/>
  <c r="CR131" i="1"/>
  <c r="CQ130" i="1"/>
  <c r="JD130" i="1"/>
  <c r="HX132" i="1"/>
  <c r="HW131" i="1"/>
  <c r="FH132" i="1"/>
  <c r="FG131" i="1"/>
  <c r="FY132" i="1"/>
  <c r="FX131" i="1"/>
  <c r="DZ132" i="1"/>
  <c r="DY131" i="1"/>
  <c r="DI133" i="1"/>
  <c r="DH132" i="1"/>
  <c r="EQ132" i="1"/>
  <c r="EP131" i="1"/>
  <c r="IN133" i="1"/>
  <c r="IO134" i="1"/>
  <c r="HF131" i="1"/>
  <c r="HG132" i="1"/>
  <c r="BZ131" i="1"/>
  <c r="IM131" i="1"/>
  <c r="GP132" i="1"/>
  <c r="GO131" i="1"/>
  <c r="AS133" i="1"/>
  <c r="AR132" i="1"/>
  <c r="BJ132" i="1"/>
  <c r="BI131" i="1"/>
  <c r="H131" i="1"/>
  <c r="N131" i="1"/>
  <c r="CA132" i="1"/>
  <c r="AT136" i="1"/>
  <c r="AB133" i="1"/>
  <c r="AA133" i="1"/>
  <c r="JE131" i="1"/>
  <c r="JF132" i="1"/>
  <c r="CR132" i="1"/>
  <c r="CQ131" i="1"/>
  <c r="JD131" i="1"/>
  <c r="HW132" i="1"/>
  <c r="HX133" i="1"/>
  <c r="EQ133" i="1"/>
  <c r="EP132" i="1"/>
  <c r="DI134" i="1"/>
  <c r="DH133" i="1"/>
  <c r="HG133" i="1"/>
  <c r="HF132" i="1"/>
  <c r="FY133" i="1"/>
  <c r="FX132" i="1"/>
  <c r="IN134" i="1"/>
  <c r="IO135" i="1"/>
  <c r="DZ133" i="1"/>
  <c r="DY132" i="1"/>
  <c r="FH133" i="1"/>
  <c r="FG132" i="1"/>
  <c r="BZ132" i="1"/>
  <c r="IM132" i="1"/>
  <c r="GP133" i="1"/>
  <c r="GO132" i="1"/>
  <c r="BJ133" i="1"/>
  <c r="BI132" i="1"/>
  <c r="AS134" i="1"/>
  <c r="AR133" i="1"/>
  <c r="H132" i="1"/>
  <c r="N132" i="1"/>
  <c r="CA133" i="1"/>
  <c r="AT137" i="1"/>
  <c r="AB134" i="1"/>
  <c r="AA134" i="1"/>
  <c r="JE132" i="1"/>
  <c r="JF133" i="1"/>
  <c r="CR133" i="1"/>
  <c r="CQ132" i="1"/>
  <c r="JD132" i="1"/>
  <c r="HX134" i="1"/>
  <c r="HW133" i="1"/>
  <c r="DZ134" i="1"/>
  <c r="DY133" i="1"/>
  <c r="FY134" i="1"/>
  <c r="FX133" i="1"/>
  <c r="DI135" i="1"/>
  <c r="DH134" i="1"/>
  <c r="FH134" i="1"/>
  <c r="FG133" i="1"/>
  <c r="IN135" i="1"/>
  <c r="IO136" i="1"/>
  <c r="HF133" i="1"/>
  <c r="HG134" i="1"/>
  <c r="EQ134" i="1"/>
  <c r="EP133" i="1"/>
  <c r="BZ133" i="1"/>
  <c r="IM133" i="1"/>
  <c r="GP134" i="1"/>
  <c r="GO133" i="1"/>
  <c r="AS135" i="1"/>
  <c r="AR134" i="1"/>
  <c r="BJ134" i="1"/>
  <c r="BI133" i="1"/>
  <c r="H133" i="1"/>
  <c r="N133" i="1"/>
  <c r="CA134" i="1"/>
  <c r="AT138" i="1"/>
  <c r="AB135" i="1"/>
  <c r="AA135" i="1"/>
  <c r="JE133" i="1"/>
  <c r="JF134" i="1"/>
  <c r="CR134" i="1"/>
  <c r="CQ133" i="1"/>
  <c r="JD133" i="1"/>
  <c r="HW134" i="1"/>
  <c r="HX135" i="1"/>
  <c r="DI136" i="1"/>
  <c r="DH135" i="1"/>
  <c r="EQ135" i="1"/>
  <c r="EP134" i="1"/>
  <c r="FH135" i="1"/>
  <c r="FG134" i="1"/>
  <c r="FY135" i="1"/>
  <c r="FX134" i="1"/>
  <c r="HG135" i="1"/>
  <c r="HF134" i="1"/>
  <c r="IN136" i="1"/>
  <c r="IO137" i="1"/>
  <c r="DZ135" i="1"/>
  <c r="DY134" i="1"/>
  <c r="BZ134" i="1"/>
  <c r="IM134" i="1"/>
  <c r="GP135" i="1"/>
  <c r="GO134" i="1"/>
  <c r="BJ135" i="1"/>
  <c r="BI134" i="1"/>
  <c r="AS136" i="1"/>
  <c r="AR135" i="1"/>
  <c r="H134" i="1"/>
  <c r="N134" i="1"/>
  <c r="CA135" i="1"/>
  <c r="AT139" i="1"/>
  <c r="AB136" i="1"/>
  <c r="AA136" i="1"/>
  <c r="JE134" i="1"/>
  <c r="JF135" i="1"/>
  <c r="CR135" i="1"/>
  <c r="CQ134" i="1"/>
  <c r="JD134" i="1"/>
  <c r="HX136" i="1"/>
  <c r="HW135" i="1"/>
  <c r="IN137" i="1"/>
  <c r="IO138" i="1"/>
  <c r="FY136" i="1"/>
  <c r="FX135" i="1"/>
  <c r="DZ136" i="1"/>
  <c r="DY135" i="1"/>
  <c r="HF135" i="1"/>
  <c r="HG136" i="1"/>
  <c r="FH136" i="1"/>
  <c r="FG135" i="1"/>
  <c r="EQ136" i="1"/>
  <c r="EP135" i="1"/>
  <c r="DI137" i="1"/>
  <c r="DH136" i="1"/>
  <c r="BZ135" i="1"/>
  <c r="IM135" i="1"/>
  <c r="GP136" i="1"/>
  <c r="GO135" i="1"/>
  <c r="AS137" i="1"/>
  <c r="AR136" i="1"/>
  <c r="BJ136" i="1"/>
  <c r="BI135" i="1"/>
  <c r="CA136" i="1"/>
  <c r="H135" i="1"/>
  <c r="N135" i="1"/>
  <c r="AT140" i="1"/>
  <c r="AB137" i="1"/>
  <c r="AA137" i="1"/>
  <c r="JE135" i="1"/>
  <c r="JF136" i="1"/>
  <c r="CR136" i="1"/>
  <c r="CQ135" i="1"/>
  <c r="JD135" i="1"/>
  <c r="HW136" i="1"/>
  <c r="HX137" i="1"/>
  <c r="EQ137" i="1"/>
  <c r="EP136" i="1"/>
  <c r="FY137" i="1"/>
  <c r="FX136" i="1"/>
  <c r="DI138" i="1"/>
  <c r="DH137" i="1"/>
  <c r="FH137" i="1"/>
  <c r="FG136" i="1"/>
  <c r="IN138" i="1"/>
  <c r="IO139" i="1"/>
  <c r="HF136" i="1"/>
  <c r="HG137" i="1"/>
  <c r="DZ137" i="1"/>
  <c r="DY136" i="1"/>
  <c r="BZ136" i="1"/>
  <c r="IM136" i="1"/>
  <c r="GP137" i="1"/>
  <c r="GO136" i="1"/>
  <c r="BJ137" i="1"/>
  <c r="BI136" i="1"/>
  <c r="AS138" i="1"/>
  <c r="AR137" i="1"/>
  <c r="CA137" i="1"/>
  <c r="H136" i="1"/>
  <c r="N136" i="1"/>
  <c r="P130" i="1"/>
  <c r="AT141" i="1"/>
  <c r="AB138" i="1"/>
  <c r="AA138" i="1"/>
  <c r="JE136" i="1"/>
  <c r="JF137" i="1"/>
  <c r="CQ136" i="1"/>
  <c r="JD136" i="1"/>
  <c r="CR137" i="1"/>
  <c r="HX138" i="1"/>
  <c r="HW137" i="1"/>
  <c r="IN139" i="1"/>
  <c r="IO140" i="1"/>
  <c r="DZ138" i="1"/>
  <c r="DY137" i="1"/>
  <c r="DI139" i="1"/>
  <c r="DH138" i="1"/>
  <c r="HF137" i="1"/>
  <c r="HG138" i="1"/>
  <c r="FH138" i="1"/>
  <c r="FG137" i="1"/>
  <c r="FY138" i="1"/>
  <c r="FX137" i="1"/>
  <c r="EQ138" i="1"/>
  <c r="EP137" i="1"/>
  <c r="BZ137" i="1"/>
  <c r="IM137" i="1"/>
  <c r="GP138" i="1"/>
  <c r="GO137" i="1"/>
  <c r="AS139" i="1"/>
  <c r="AR138" i="1"/>
  <c r="BJ138" i="1"/>
  <c r="BI137" i="1"/>
  <c r="H137" i="1"/>
  <c r="N137" i="1"/>
  <c r="CA138" i="1"/>
  <c r="AT142" i="1"/>
  <c r="AB139" i="1"/>
  <c r="AA139" i="1"/>
  <c r="JE137" i="1"/>
  <c r="JF138" i="1"/>
  <c r="CR138" i="1"/>
  <c r="CQ137" i="1"/>
  <c r="JD137" i="1"/>
  <c r="HW138" i="1"/>
  <c r="HX139" i="1"/>
  <c r="FY139" i="1"/>
  <c r="FX138" i="1"/>
  <c r="DZ139" i="1"/>
  <c r="DY138" i="1"/>
  <c r="EQ139" i="1"/>
  <c r="EP138" i="1"/>
  <c r="FH139" i="1"/>
  <c r="FG138" i="1"/>
  <c r="DI140" i="1"/>
  <c r="DH139" i="1"/>
  <c r="IN140" i="1"/>
  <c r="IO141" i="1"/>
  <c r="HF138" i="1"/>
  <c r="HG139" i="1"/>
  <c r="BZ138" i="1"/>
  <c r="IM138" i="1"/>
  <c r="GP139" i="1"/>
  <c r="GO138" i="1"/>
  <c r="BJ139" i="1"/>
  <c r="BI138" i="1"/>
  <c r="AS140" i="1"/>
  <c r="AR139" i="1"/>
  <c r="H138" i="1"/>
  <c r="N138" i="1"/>
  <c r="CA139" i="1"/>
  <c r="AT143" i="1"/>
  <c r="AB140" i="1"/>
  <c r="AA140" i="1"/>
  <c r="JE138" i="1"/>
  <c r="JF139" i="1"/>
  <c r="CR139" i="1"/>
  <c r="CQ138" i="1"/>
  <c r="JD138" i="1"/>
  <c r="HW139" i="1"/>
  <c r="HX140" i="1"/>
  <c r="EQ140" i="1"/>
  <c r="EP139" i="1"/>
  <c r="HF139" i="1"/>
  <c r="HG140" i="1"/>
  <c r="DI141" i="1"/>
  <c r="DH140" i="1"/>
  <c r="FH140" i="1"/>
  <c r="FG139" i="1"/>
  <c r="IN141" i="1"/>
  <c r="IO142" i="1"/>
  <c r="DZ140" i="1"/>
  <c r="DY139" i="1"/>
  <c r="FY140" i="1"/>
  <c r="FX139" i="1"/>
  <c r="BZ139" i="1"/>
  <c r="IM139" i="1"/>
  <c r="GP140" i="1"/>
  <c r="GO139" i="1"/>
  <c r="AS141" i="1"/>
  <c r="AR140" i="1"/>
  <c r="BJ140" i="1"/>
  <c r="BI139" i="1"/>
  <c r="H139" i="1"/>
  <c r="N139" i="1"/>
  <c r="CA140" i="1"/>
  <c r="AT144" i="1"/>
  <c r="AB141" i="1"/>
  <c r="AA141" i="1"/>
  <c r="JE139" i="1"/>
  <c r="JF140" i="1"/>
  <c r="CR140" i="1"/>
  <c r="CQ139" i="1"/>
  <c r="JD139" i="1"/>
  <c r="HW140" i="1"/>
  <c r="HX141" i="1"/>
  <c r="DZ141" i="1"/>
  <c r="DY140" i="1"/>
  <c r="FH141" i="1"/>
  <c r="FG140" i="1"/>
  <c r="EQ141" i="1"/>
  <c r="EP140" i="1"/>
  <c r="FY141" i="1"/>
  <c r="FX140" i="1"/>
  <c r="IN142" i="1"/>
  <c r="IO143" i="1"/>
  <c r="HF140" i="1"/>
  <c r="HG141" i="1"/>
  <c r="DI142" i="1"/>
  <c r="DH141" i="1"/>
  <c r="BZ140" i="1"/>
  <c r="IM140" i="1"/>
  <c r="GP141" i="1"/>
  <c r="GO140" i="1"/>
  <c r="BJ141" i="1"/>
  <c r="BI140" i="1"/>
  <c r="AS142" i="1"/>
  <c r="AR141" i="1"/>
  <c r="H140" i="1"/>
  <c r="N140" i="1"/>
  <c r="CA141" i="1"/>
  <c r="AT145" i="1"/>
  <c r="AB142" i="1"/>
  <c r="AA142" i="1"/>
  <c r="JE140" i="1"/>
  <c r="JF141" i="1"/>
  <c r="CR141" i="1"/>
  <c r="CQ140" i="1"/>
  <c r="JD140" i="1"/>
  <c r="HW141" i="1"/>
  <c r="HX142" i="1"/>
  <c r="DI143" i="1"/>
  <c r="DH142" i="1"/>
  <c r="EQ142" i="1"/>
  <c r="EP141" i="1"/>
  <c r="FH142" i="1"/>
  <c r="FG141" i="1"/>
  <c r="HF141" i="1"/>
  <c r="HG142" i="1"/>
  <c r="FY142" i="1"/>
  <c r="FX141" i="1"/>
  <c r="IN143" i="1"/>
  <c r="IO144" i="1"/>
  <c r="DZ142" i="1"/>
  <c r="DY141" i="1"/>
  <c r="BZ141" i="1"/>
  <c r="IM141" i="1"/>
  <c r="GP142" i="1"/>
  <c r="GO141" i="1"/>
  <c r="AS143" i="1"/>
  <c r="AR142" i="1"/>
  <c r="BJ142" i="1"/>
  <c r="BI141" i="1"/>
  <c r="H141" i="1"/>
  <c r="N141" i="1"/>
  <c r="CA142" i="1"/>
  <c r="AT146" i="1"/>
  <c r="AB143" i="1"/>
  <c r="AA143" i="1"/>
  <c r="JE141" i="1"/>
  <c r="JF142" i="1"/>
  <c r="CR142" i="1"/>
  <c r="CQ141" i="1"/>
  <c r="JD141" i="1"/>
  <c r="HW142" i="1"/>
  <c r="HX143" i="1"/>
  <c r="IN144" i="1"/>
  <c r="IO145" i="1"/>
  <c r="HF142" i="1"/>
  <c r="HG143" i="1"/>
  <c r="FY143" i="1"/>
  <c r="FX142" i="1"/>
  <c r="EQ143" i="1"/>
  <c r="EP142" i="1"/>
  <c r="DZ143" i="1"/>
  <c r="DY142" i="1"/>
  <c r="FH143" i="1"/>
  <c r="FG142" i="1"/>
  <c r="DI144" i="1"/>
  <c r="DH143" i="1"/>
  <c r="BZ142" i="1"/>
  <c r="GP143" i="1"/>
  <c r="GO142" i="1"/>
  <c r="BJ143" i="1"/>
  <c r="BI142" i="1"/>
  <c r="AS144" i="1"/>
  <c r="AR143" i="1"/>
  <c r="H142" i="1"/>
  <c r="N142" i="1"/>
  <c r="CA143" i="1"/>
  <c r="AT147" i="1"/>
  <c r="AB144" i="1"/>
  <c r="AA144" i="1"/>
  <c r="JE142" i="1"/>
  <c r="JF143" i="1"/>
  <c r="CR143" i="1"/>
  <c r="CQ142" i="1"/>
  <c r="JD142" i="1"/>
  <c r="HW143" i="1"/>
  <c r="HX144" i="1"/>
  <c r="EQ144" i="1"/>
  <c r="EP143" i="1"/>
  <c r="DI145" i="1"/>
  <c r="DH144" i="1"/>
  <c r="IN145" i="1"/>
  <c r="IO146" i="1"/>
  <c r="FH144" i="1"/>
  <c r="FG143" i="1"/>
  <c r="HF143" i="1"/>
  <c r="HG144" i="1"/>
  <c r="DZ144" i="1"/>
  <c r="DY143" i="1"/>
  <c r="FY144" i="1"/>
  <c r="FX143" i="1"/>
  <c r="IM142" i="1"/>
  <c r="BZ143" i="1"/>
  <c r="IM143" i="1"/>
  <c r="GP144" i="1"/>
  <c r="GO143" i="1"/>
  <c r="AS145" i="1"/>
  <c r="AR144" i="1"/>
  <c r="BJ144" i="1"/>
  <c r="BI143" i="1"/>
  <c r="CA144" i="1"/>
  <c r="H143" i="1"/>
  <c r="N143" i="1"/>
  <c r="P137" i="1"/>
  <c r="AT148" i="1"/>
  <c r="AB145" i="1"/>
  <c r="AA145" i="1"/>
  <c r="JE143" i="1"/>
  <c r="JF144" i="1"/>
  <c r="CR144" i="1"/>
  <c r="CQ143" i="1"/>
  <c r="JD143" i="1"/>
  <c r="HW144" i="1"/>
  <c r="HX145" i="1"/>
  <c r="IN146" i="1"/>
  <c r="IO147" i="1"/>
  <c r="FY145" i="1"/>
  <c r="FX144" i="1"/>
  <c r="HG145" i="1"/>
  <c r="HF144" i="1"/>
  <c r="DZ145" i="1"/>
  <c r="DY144" i="1"/>
  <c r="DI146" i="1"/>
  <c r="DH145" i="1"/>
  <c r="FH145" i="1"/>
  <c r="FG144" i="1"/>
  <c r="EQ145" i="1"/>
  <c r="EP144" i="1"/>
  <c r="BZ144" i="1"/>
  <c r="IM144" i="1"/>
  <c r="GP145" i="1"/>
  <c r="GO144" i="1"/>
  <c r="BJ145" i="1"/>
  <c r="BI144" i="1"/>
  <c r="AS146" i="1"/>
  <c r="AR145" i="1"/>
  <c r="CA145" i="1"/>
  <c r="H144" i="1"/>
  <c r="N144" i="1"/>
  <c r="AT149" i="1"/>
  <c r="AB146" i="1"/>
  <c r="AA146" i="1"/>
  <c r="JE144" i="1"/>
  <c r="JF145" i="1"/>
  <c r="CR145" i="1"/>
  <c r="CQ144" i="1"/>
  <c r="JD144" i="1"/>
  <c r="HW145" i="1"/>
  <c r="HX146" i="1"/>
  <c r="DI147" i="1"/>
  <c r="DH146" i="1"/>
  <c r="DZ146" i="1"/>
  <c r="DY145" i="1"/>
  <c r="FY146" i="1"/>
  <c r="FX145" i="1"/>
  <c r="EQ146" i="1"/>
  <c r="EP145" i="1"/>
  <c r="FH146" i="1"/>
  <c r="FG145" i="1"/>
  <c r="IN147" i="1"/>
  <c r="IO148" i="1"/>
  <c r="HF145" i="1"/>
  <c r="HG146" i="1"/>
  <c r="BZ145" i="1"/>
  <c r="IM145" i="1"/>
  <c r="GP146" i="1"/>
  <c r="GO145" i="1"/>
  <c r="AS147" i="1"/>
  <c r="AR146" i="1"/>
  <c r="BJ146" i="1"/>
  <c r="BI145" i="1"/>
  <c r="H145" i="1"/>
  <c r="N145" i="1"/>
  <c r="CA146" i="1"/>
  <c r="AT150" i="1"/>
  <c r="AB147" i="1"/>
  <c r="AA147" i="1"/>
  <c r="JE145" i="1"/>
  <c r="JF146" i="1"/>
  <c r="CR146" i="1"/>
  <c r="CQ145" i="1"/>
  <c r="JD145" i="1"/>
  <c r="HW146" i="1"/>
  <c r="HX147" i="1"/>
  <c r="HG147" i="1"/>
  <c r="HF146" i="1"/>
  <c r="DZ147" i="1"/>
  <c r="DY146" i="1"/>
  <c r="EQ147" i="1"/>
  <c r="EP146" i="1"/>
  <c r="FY147" i="1"/>
  <c r="FX146" i="1"/>
  <c r="FH147" i="1"/>
  <c r="FG146" i="1"/>
  <c r="IN148" i="1"/>
  <c r="IO149" i="1"/>
  <c r="DI148" i="1"/>
  <c r="DH147" i="1"/>
  <c r="BZ146" i="1"/>
  <c r="IM146" i="1"/>
  <c r="GP147" i="1"/>
  <c r="GO146" i="1"/>
  <c r="BJ147" i="1"/>
  <c r="BI146" i="1"/>
  <c r="AS148" i="1"/>
  <c r="AR147" i="1"/>
  <c r="H146" i="1"/>
  <c r="N146" i="1"/>
  <c r="CA147" i="1"/>
  <c r="AT151" i="1"/>
  <c r="AB148" i="1"/>
  <c r="AA148" i="1"/>
  <c r="JE146" i="1"/>
  <c r="JF147" i="1"/>
  <c r="CR147" i="1"/>
  <c r="CQ146" i="1"/>
  <c r="JD146" i="1"/>
  <c r="HW147" i="1"/>
  <c r="HX148" i="1"/>
  <c r="DI149" i="1"/>
  <c r="DH148" i="1"/>
  <c r="FH148" i="1"/>
  <c r="FG147" i="1"/>
  <c r="EQ148" i="1"/>
  <c r="EP147" i="1"/>
  <c r="FY148" i="1"/>
  <c r="FX147" i="1"/>
  <c r="IN149" i="1"/>
  <c r="IO150" i="1"/>
  <c r="DZ148" i="1"/>
  <c r="DY147" i="1"/>
  <c r="HF147" i="1"/>
  <c r="HG148" i="1"/>
  <c r="BZ147" i="1"/>
  <c r="GP148" i="1"/>
  <c r="GO147" i="1"/>
  <c r="AS149" i="1"/>
  <c r="AR148" i="1"/>
  <c r="BJ148" i="1"/>
  <c r="BI147" i="1"/>
  <c r="H147" i="1"/>
  <c r="N147" i="1"/>
  <c r="CA148" i="1"/>
  <c r="AT152" i="1"/>
  <c r="AB149" i="1"/>
  <c r="AA149" i="1"/>
  <c r="JE147" i="1"/>
  <c r="JF148" i="1"/>
  <c r="CR148" i="1"/>
  <c r="CQ147" i="1"/>
  <c r="JD147" i="1"/>
  <c r="HW148" i="1"/>
  <c r="HX149" i="1"/>
  <c r="HG149" i="1"/>
  <c r="HF148" i="1"/>
  <c r="DZ149" i="1"/>
  <c r="DY148" i="1"/>
  <c r="EQ149" i="1"/>
  <c r="EP148" i="1"/>
  <c r="DI150" i="1"/>
  <c r="DH149" i="1"/>
  <c r="IN150" i="1"/>
  <c r="IO151" i="1"/>
  <c r="FY149" i="1"/>
  <c r="FX148" i="1"/>
  <c r="FH149" i="1"/>
  <c r="FG148" i="1"/>
  <c r="IM147" i="1"/>
  <c r="BZ148" i="1"/>
  <c r="IM148" i="1"/>
  <c r="GP149" i="1"/>
  <c r="GO148" i="1"/>
  <c r="BJ149" i="1"/>
  <c r="BI148" i="1"/>
  <c r="AS150" i="1"/>
  <c r="AR149" i="1"/>
  <c r="H148" i="1"/>
  <c r="N148" i="1"/>
  <c r="CA149" i="1"/>
  <c r="AT153" i="1"/>
  <c r="AB150" i="1"/>
  <c r="AA150" i="1"/>
  <c r="JE148" i="1"/>
  <c r="JF149" i="1"/>
  <c r="CR149" i="1"/>
  <c r="CQ148" i="1"/>
  <c r="JD148" i="1"/>
  <c r="HX150" i="1"/>
  <c r="HW149" i="1"/>
  <c r="DZ150" i="1"/>
  <c r="DY149" i="1"/>
  <c r="EQ150" i="1"/>
  <c r="EP149" i="1"/>
  <c r="FY150" i="1"/>
  <c r="FX149" i="1"/>
  <c r="DI151" i="1"/>
  <c r="DH150" i="1"/>
  <c r="FH150" i="1"/>
  <c r="FG149" i="1"/>
  <c r="IN151" i="1"/>
  <c r="IO152" i="1"/>
  <c r="HF149" i="1"/>
  <c r="HG150" i="1"/>
  <c r="BZ149" i="1"/>
  <c r="IM149" i="1"/>
  <c r="GP150" i="1"/>
  <c r="GO149" i="1"/>
  <c r="AS151" i="1"/>
  <c r="AR150" i="1"/>
  <c r="BJ150" i="1"/>
  <c r="BI149" i="1"/>
  <c r="H149" i="1"/>
  <c r="N149" i="1"/>
  <c r="CA150" i="1"/>
  <c r="AT154" i="1"/>
  <c r="AB151" i="1"/>
  <c r="AA151" i="1"/>
  <c r="JE149" i="1"/>
  <c r="JF150" i="1"/>
  <c r="CR150" i="1"/>
  <c r="CQ149" i="1"/>
  <c r="JD149" i="1"/>
  <c r="HW150" i="1"/>
  <c r="HX151" i="1"/>
  <c r="HG151" i="1"/>
  <c r="HF150" i="1"/>
  <c r="FY151" i="1"/>
  <c r="FX150" i="1"/>
  <c r="EQ151" i="1"/>
  <c r="EP150" i="1"/>
  <c r="FH151" i="1"/>
  <c r="FG150" i="1"/>
  <c r="DI152" i="1"/>
  <c r="DH151" i="1"/>
  <c r="IN152" i="1"/>
  <c r="IO153" i="1"/>
  <c r="DZ151" i="1"/>
  <c r="DY150" i="1"/>
  <c r="BZ150" i="1"/>
  <c r="IM150" i="1"/>
  <c r="GP151" i="1"/>
  <c r="GO150" i="1"/>
  <c r="BJ151" i="1"/>
  <c r="BI150" i="1"/>
  <c r="AS152" i="1"/>
  <c r="AR151" i="1"/>
  <c r="H150" i="1"/>
  <c r="N150" i="1"/>
  <c r="P144" i="1"/>
  <c r="CA151" i="1"/>
  <c r="AT155" i="1"/>
  <c r="AB152" i="1"/>
  <c r="AA152" i="1"/>
  <c r="JE150" i="1"/>
  <c r="JF151" i="1"/>
  <c r="CR151" i="1"/>
  <c r="CQ150" i="1"/>
  <c r="JD150" i="1"/>
  <c r="HX152" i="1"/>
  <c r="HW151" i="1"/>
  <c r="IN153" i="1"/>
  <c r="IO154" i="1"/>
  <c r="FH152" i="1"/>
  <c r="FG151" i="1"/>
  <c r="FY152" i="1"/>
  <c r="FX151" i="1"/>
  <c r="DZ152" i="1"/>
  <c r="DY151" i="1"/>
  <c r="DI153" i="1"/>
  <c r="DH152" i="1"/>
  <c r="EQ152" i="1"/>
  <c r="EP151" i="1"/>
  <c r="HF151" i="1"/>
  <c r="HG152" i="1"/>
  <c r="BZ151" i="1"/>
  <c r="IM151" i="1"/>
  <c r="GP152" i="1"/>
  <c r="GO151" i="1"/>
  <c r="AS153" i="1"/>
  <c r="AR152" i="1"/>
  <c r="BJ152" i="1"/>
  <c r="BI151" i="1"/>
  <c r="CA152" i="1"/>
  <c r="H151" i="1"/>
  <c r="N151" i="1"/>
  <c r="AT156" i="1"/>
  <c r="AB153" i="1"/>
  <c r="AA153" i="1"/>
  <c r="JE151" i="1"/>
  <c r="JF152" i="1"/>
  <c r="CR152" i="1"/>
  <c r="CQ151" i="1"/>
  <c r="JD151" i="1"/>
  <c r="HW152" i="1"/>
  <c r="HX153" i="1"/>
  <c r="EP152" i="1"/>
  <c r="EQ153" i="1"/>
  <c r="HF152" i="1"/>
  <c r="HG153" i="1"/>
  <c r="FY153" i="1"/>
  <c r="FX152" i="1"/>
  <c r="DI154" i="1"/>
  <c r="DH153" i="1"/>
  <c r="IN154" i="1"/>
  <c r="IO155" i="1"/>
  <c r="DY152" i="1"/>
  <c r="DZ153" i="1"/>
  <c r="FH153" i="1"/>
  <c r="FG152" i="1"/>
  <c r="BZ152" i="1"/>
  <c r="IM152" i="1"/>
  <c r="GP153" i="1"/>
  <c r="GO152" i="1"/>
  <c r="BJ153" i="1"/>
  <c r="BI152" i="1"/>
  <c r="AS154" i="1"/>
  <c r="AR153" i="1"/>
  <c r="CA153" i="1"/>
  <c r="H152" i="1"/>
  <c r="N152" i="1"/>
  <c r="AT157" i="1"/>
  <c r="AB154" i="1"/>
  <c r="AA154" i="1"/>
  <c r="JE152" i="1"/>
  <c r="JF153" i="1"/>
  <c r="CQ152" i="1"/>
  <c r="JD152" i="1"/>
  <c r="CR153" i="1"/>
  <c r="HX154" i="1"/>
  <c r="HW153" i="1"/>
  <c r="DH154" i="1"/>
  <c r="DI155" i="1"/>
  <c r="FY154" i="1"/>
  <c r="FX153" i="1"/>
  <c r="DY153" i="1"/>
  <c r="DZ154" i="1"/>
  <c r="FH154" i="1"/>
  <c r="FG153" i="1"/>
  <c r="IN155" i="1"/>
  <c r="IO156" i="1"/>
  <c r="HF153" i="1"/>
  <c r="HG154" i="1"/>
  <c r="EP153" i="1"/>
  <c r="EQ154" i="1"/>
  <c r="BZ153" i="1"/>
  <c r="IM153" i="1"/>
  <c r="GP154" i="1"/>
  <c r="GO153" i="1"/>
  <c r="AS155" i="1"/>
  <c r="AR154" i="1"/>
  <c r="BJ154" i="1"/>
  <c r="BI153" i="1"/>
  <c r="H153" i="1"/>
  <c r="N153" i="1"/>
  <c r="CA154" i="1"/>
  <c r="AT158" i="1"/>
  <c r="AB155" i="1"/>
  <c r="AA155" i="1"/>
  <c r="JE153" i="1"/>
  <c r="JF154" i="1"/>
  <c r="CQ153" i="1"/>
  <c r="JD153" i="1"/>
  <c r="CR154" i="1"/>
  <c r="HW154" i="1"/>
  <c r="HX155" i="1"/>
  <c r="FH155" i="1"/>
  <c r="FG154" i="1"/>
  <c r="HF154" i="1"/>
  <c r="HG155" i="1"/>
  <c r="IO157" i="1"/>
  <c r="IN156" i="1"/>
  <c r="FY155" i="1"/>
  <c r="FX154" i="1"/>
  <c r="DZ155" i="1"/>
  <c r="DY154" i="1"/>
  <c r="DI156" i="1"/>
  <c r="DH155" i="1"/>
  <c r="EP154" i="1"/>
  <c r="EQ155" i="1"/>
  <c r="BZ154" i="1"/>
  <c r="IM154" i="1"/>
  <c r="GP155" i="1"/>
  <c r="GO154" i="1"/>
  <c r="BJ155" i="1"/>
  <c r="BI154" i="1"/>
  <c r="AS156" i="1"/>
  <c r="AR155" i="1"/>
  <c r="H154" i="1"/>
  <c r="N154" i="1"/>
  <c r="CA155" i="1"/>
  <c r="AT159" i="1"/>
  <c r="AB156" i="1"/>
  <c r="AA156" i="1"/>
  <c r="JE154" i="1"/>
  <c r="JF155" i="1"/>
  <c r="CQ154" i="1"/>
  <c r="JD154" i="1"/>
  <c r="CR155" i="1"/>
  <c r="HW155" i="1"/>
  <c r="HX156" i="1"/>
  <c r="DY155" i="1"/>
  <c r="DZ156" i="1"/>
  <c r="IN157" i="1"/>
  <c r="IO158" i="1"/>
  <c r="DI157" i="1"/>
  <c r="DH156" i="1"/>
  <c r="HF155" i="1"/>
  <c r="HG156" i="1"/>
  <c r="EP155" i="1"/>
  <c r="EQ156" i="1"/>
  <c r="FY156" i="1"/>
  <c r="FX155" i="1"/>
  <c r="FH156" i="1"/>
  <c r="FG155" i="1"/>
  <c r="BZ155" i="1"/>
  <c r="IM155" i="1"/>
  <c r="GP156" i="1"/>
  <c r="GO155" i="1"/>
  <c r="AS157" i="1"/>
  <c r="AR156" i="1"/>
  <c r="BJ156" i="1"/>
  <c r="BI155" i="1"/>
  <c r="H155" i="1"/>
  <c r="N155" i="1"/>
  <c r="CA156" i="1"/>
  <c r="AT160" i="1"/>
  <c r="AB157" i="1"/>
  <c r="AA157" i="1"/>
  <c r="JE155" i="1"/>
  <c r="JF156" i="1"/>
  <c r="CQ155" i="1"/>
  <c r="JD155" i="1"/>
  <c r="CR156" i="1"/>
  <c r="HW156" i="1"/>
  <c r="HX157" i="1"/>
  <c r="EQ157" i="1"/>
  <c r="EP156" i="1"/>
  <c r="FY157" i="1"/>
  <c r="FX156" i="1"/>
  <c r="FH157" i="1"/>
  <c r="FG156" i="1"/>
  <c r="DI158" i="1"/>
  <c r="DH157" i="1"/>
  <c r="DZ157" i="1"/>
  <c r="DY156" i="1"/>
  <c r="HF156" i="1"/>
  <c r="HG157" i="1"/>
  <c r="IN158" i="1"/>
  <c r="IO159" i="1"/>
  <c r="BZ156" i="1"/>
  <c r="IM156" i="1"/>
  <c r="GP157" i="1"/>
  <c r="GO156" i="1"/>
  <c r="BJ157" i="1"/>
  <c r="BI156" i="1"/>
  <c r="AS158" i="1"/>
  <c r="AR157" i="1"/>
  <c r="H156" i="1"/>
  <c r="N156" i="1"/>
  <c r="CA157" i="1"/>
  <c r="AT161" i="1"/>
  <c r="AB158" i="1"/>
  <c r="AA158" i="1"/>
  <c r="JE156" i="1"/>
  <c r="JF157" i="1"/>
  <c r="CQ156" i="1"/>
  <c r="JD156" i="1"/>
  <c r="CR157" i="1"/>
  <c r="HW157" i="1"/>
  <c r="HX158" i="1"/>
  <c r="IO160" i="1"/>
  <c r="IN159" i="1"/>
  <c r="DY157" i="1"/>
  <c r="DZ158" i="1"/>
  <c r="FH158" i="1"/>
  <c r="FG157" i="1"/>
  <c r="EP157" i="1"/>
  <c r="EQ158" i="1"/>
  <c r="HF157" i="1"/>
  <c r="HG158" i="1"/>
  <c r="DI159" i="1"/>
  <c r="DH158" i="1"/>
  <c r="FY158" i="1"/>
  <c r="FX157" i="1"/>
  <c r="BZ157" i="1"/>
  <c r="IM157" i="1"/>
  <c r="GP158" i="1"/>
  <c r="GO157" i="1"/>
  <c r="AS159" i="1"/>
  <c r="AR158" i="1"/>
  <c r="BJ158" i="1"/>
  <c r="BI157" i="1"/>
  <c r="H157" i="1"/>
  <c r="N157" i="1"/>
  <c r="P151" i="1"/>
  <c r="CA158" i="1"/>
  <c r="AT162" i="1"/>
  <c r="AB159" i="1"/>
  <c r="AA159" i="1"/>
  <c r="JE157" i="1"/>
  <c r="JF158" i="1"/>
  <c r="CR158" i="1"/>
  <c r="CQ157" i="1"/>
  <c r="JD157" i="1"/>
  <c r="HW158" i="1"/>
  <c r="HX159" i="1"/>
  <c r="DI160" i="1"/>
  <c r="DH159" i="1"/>
  <c r="DY158" i="1"/>
  <c r="DZ159" i="1"/>
  <c r="HF158" i="1"/>
  <c r="HG159" i="1"/>
  <c r="FH159" i="1"/>
  <c r="FG158" i="1"/>
  <c r="FY159" i="1"/>
  <c r="FX158" i="1"/>
  <c r="EP158" i="1"/>
  <c r="EQ159" i="1"/>
  <c r="IN160" i="1"/>
  <c r="IO161" i="1"/>
  <c r="BZ158" i="1"/>
  <c r="IM158" i="1"/>
  <c r="GP159" i="1"/>
  <c r="GO158" i="1"/>
  <c r="BJ159" i="1"/>
  <c r="BI158" i="1"/>
  <c r="AS160" i="1"/>
  <c r="AR159" i="1"/>
  <c r="H158" i="1"/>
  <c r="N158" i="1"/>
  <c r="CA159" i="1"/>
  <c r="AT163" i="1"/>
  <c r="AB160" i="1"/>
  <c r="AA160" i="1"/>
  <c r="JE158" i="1"/>
  <c r="JF159" i="1"/>
  <c r="CR159" i="1"/>
  <c r="CQ158" i="1"/>
  <c r="JD158" i="1"/>
  <c r="HW159" i="1"/>
  <c r="HX160" i="1"/>
  <c r="FY160" i="1"/>
  <c r="FX159" i="1"/>
  <c r="IN161" i="1"/>
  <c r="IO162" i="1"/>
  <c r="EP159" i="1"/>
  <c r="EQ160" i="1"/>
  <c r="HF159" i="1"/>
  <c r="HG160" i="1"/>
  <c r="DI161" i="1"/>
  <c r="DH160" i="1"/>
  <c r="FH160" i="1"/>
  <c r="FG159" i="1"/>
  <c r="DY159" i="1"/>
  <c r="DZ160" i="1"/>
  <c r="BZ159" i="1"/>
  <c r="IM159" i="1"/>
  <c r="GP160" i="1"/>
  <c r="GO159" i="1"/>
  <c r="AS161" i="1"/>
  <c r="AR160" i="1"/>
  <c r="BJ160" i="1"/>
  <c r="BI159" i="1"/>
  <c r="CA160" i="1"/>
  <c r="H159" i="1"/>
  <c r="N159" i="1"/>
  <c r="AT164" i="1"/>
  <c r="AB161" i="1"/>
  <c r="AA161" i="1"/>
  <c r="JE159" i="1"/>
  <c r="JF160" i="1"/>
  <c r="CQ159" i="1"/>
  <c r="JD159" i="1"/>
  <c r="CR160" i="1"/>
  <c r="HW160" i="1"/>
  <c r="HX161" i="1"/>
  <c r="HG161" i="1"/>
  <c r="HF160" i="1"/>
  <c r="FH161" i="1"/>
  <c r="FG160" i="1"/>
  <c r="DY160" i="1"/>
  <c r="DZ161" i="1"/>
  <c r="EP160" i="1"/>
  <c r="EQ161" i="1"/>
  <c r="IN162" i="1"/>
  <c r="IO163" i="1"/>
  <c r="DI162" i="1"/>
  <c r="DH161" i="1"/>
  <c r="FY161" i="1"/>
  <c r="FX160" i="1"/>
  <c r="BZ160" i="1"/>
  <c r="IM160" i="1"/>
  <c r="GP161" i="1"/>
  <c r="GO160" i="1"/>
  <c r="AS162" i="1"/>
  <c r="AR161" i="1"/>
  <c r="BJ161" i="1"/>
  <c r="BI160" i="1"/>
  <c r="CA161" i="1"/>
  <c r="H160" i="1"/>
  <c r="N160" i="1"/>
  <c r="AT165" i="1"/>
  <c r="AB162" i="1"/>
  <c r="AA162" i="1"/>
  <c r="JE160" i="1"/>
  <c r="JF161" i="1"/>
  <c r="CQ160" i="1"/>
  <c r="JD160" i="1"/>
  <c r="CR161" i="1"/>
  <c r="HW161" i="1"/>
  <c r="HX162" i="1"/>
  <c r="FY162" i="1"/>
  <c r="FX161" i="1"/>
  <c r="FH162" i="1"/>
  <c r="FG161" i="1"/>
  <c r="IN163" i="1"/>
  <c r="IO164" i="1"/>
  <c r="EQ162" i="1"/>
  <c r="EP161" i="1"/>
  <c r="DZ162" i="1"/>
  <c r="DY161" i="1"/>
  <c r="DI163" i="1"/>
  <c r="DH162" i="1"/>
  <c r="HF161" i="1"/>
  <c r="HG162" i="1"/>
  <c r="BZ161" i="1"/>
  <c r="IM161" i="1"/>
  <c r="GP162" i="1"/>
  <c r="GO161" i="1"/>
  <c r="BJ162" i="1"/>
  <c r="BI161" i="1"/>
  <c r="AS163" i="1"/>
  <c r="AR162" i="1"/>
  <c r="H161" i="1"/>
  <c r="N161" i="1"/>
  <c r="CA162" i="1"/>
  <c r="AT166" i="1"/>
  <c r="AB163" i="1"/>
  <c r="AA163" i="1"/>
  <c r="JE161" i="1"/>
  <c r="JF162" i="1"/>
  <c r="CQ161" i="1"/>
  <c r="JD161" i="1"/>
  <c r="CR162" i="1"/>
  <c r="HW162" i="1"/>
  <c r="HX163" i="1"/>
  <c r="HG163" i="1"/>
  <c r="HF162" i="1"/>
  <c r="EP162" i="1"/>
  <c r="EQ163" i="1"/>
  <c r="FH163" i="1"/>
  <c r="FG162" i="1"/>
  <c r="IN164" i="1"/>
  <c r="IO165" i="1"/>
  <c r="DY162" i="1"/>
  <c r="DZ163" i="1"/>
  <c r="FY163" i="1"/>
  <c r="FX162" i="1"/>
  <c r="DI164" i="1"/>
  <c r="DH163" i="1"/>
  <c r="BZ162" i="1"/>
  <c r="IM162" i="1"/>
  <c r="GP163" i="1"/>
  <c r="GO162" i="1"/>
  <c r="AS164" i="1"/>
  <c r="AR163" i="1"/>
  <c r="BJ163" i="1"/>
  <c r="BI162" i="1"/>
  <c r="H162" i="1"/>
  <c r="N162" i="1"/>
  <c r="CA163" i="1"/>
  <c r="AT167" i="1"/>
  <c r="AB164" i="1"/>
  <c r="AA164" i="1"/>
  <c r="JE162" i="1"/>
  <c r="JF163" i="1"/>
  <c r="CQ162" i="1"/>
  <c r="JD162" i="1"/>
  <c r="CR163" i="1"/>
  <c r="HW163" i="1"/>
  <c r="HX164" i="1"/>
  <c r="IN165" i="1"/>
  <c r="IO166" i="1"/>
  <c r="DI165" i="1"/>
  <c r="DH164" i="1"/>
  <c r="FY164" i="1"/>
  <c r="FX163" i="1"/>
  <c r="DY163" i="1"/>
  <c r="DZ164" i="1"/>
  <c r="EQ164" i="1"/>
  <c r="EP163" i="1"/>
  <c r="FH164" i="1"/>
  <c r="FG163" i="1"/>
  <c r="HF163" i="1"/>
  <c r="HG164" i="1"/>
  <c r="BZ163" i="1"/>
  <c r="IM163" i="1"/>
  <c r="GP164" i="1"/>
  <c r="GO163" i="1"/>
  <c r="BJ164" i="1"/>
  <c r="BI163" i="1"/>
  <c r="AS165" i="1"/>
  <c r="AR164" i="1"/>
  <c r="H163" i="1"/>
  <c r="N163" i="1"/>
  <c r="CA164" i="1"/>
  <c r="AT168" i="1"/>
  <c r="AB165" i="1"/>
  <c r="AA165" i="1"/>
  <c r="JE163" i="1"/>
  <c r="JF164" i="1"/>
  <c r="CR164" i="1"/>
  <c r="CQ163" i="1"/>
  <c r="JD163" i="1"/>
  <c r="HW164" i="1"/>
  <c r="HX165" i="1"/>
  <c r="HG165" i="1"/>
  <c r="HF164" i="1"/>
  <c r="EP164" i="1"/>
  <c r="EQ165" i="1"/>
  <c r="FY165" i="1"/>
  <c r="FX164" i="1"/>
  <c r="DI166" i="1"/>
  <c r="DH165" i="1"/>
  <c r="IN166" i="1"/>
  <c r="IO167" i="1"/>
  <c r="FH165" i="1"/>
  <c r="FG164" i="1"/>
  <c r="DY164" i="1"/>
  <c r="DZ165" i="1"/>
  <c r="BZ164" i="1"/>
  <c r="IM164" i="1"/>
  <c r="GP165" i="1"/>
  <c r="GO164" i="1"/>
  <c r="AS166" i="1"/>
  <c r="AR165" i="1"/>
  <c r="BJ165" i="1"/>
  <c r="BI164" i="1"/>
  <c r="CA165" i="1"/>
  <c r="H164" i="1"/>
  <c r="N164" i="1"/>
  <c r="P158" i="1"/>
  <c r="AT169" i="1"/>
  <c r="AB166" i="1"/>
  <c r="AA166" i="1"/>
  <c r="JE164" i="1"/>
  <c r="JF165" i="1"/>
  <c r="CR165" i="1"/>
  <c r="CQ164" i="1"/>
  <c r="JD164" i="1"/>
  <c r="HX166" i="1"/>
  <c r="HW165" i="1"/>
  <c r="FH166" i="1"/>
  <c r="FG165" i="1"/>
  <c r="DI167" i="1"/>
  <c r="DH166" i="1"/>
  <c r="FY166" i="1"/>
  <c r="FX165" i="1"/>
  <c r="DZ166" i="1"/>
  <c r="DY165" i="1"/>
  <c r="IN167" i="1"/>
  <c r="IO168" i="1"/>
  <c r="EP165" i="1"/>
  <c r="EQ166" i="1"/>
  <c r="HF165" i="1"/>
  <c r="HG166" i="1"/>
  <c r="BZ165" i="1"/>
  <c r="IM165" i="1"/>
  <c r="GP166" i="1"/>
  <c r="GO165" i="1"/>
  <c r="AS167" i="1"/>
  <c r="AR166" i="1"/>
  <c r="BJ166" i="1"/>
  <c r="BI165" i="1"/>
  <c r="H165" i="1"/>
  <c r="N165" i="1"/>
  <c r="CA166" i="1"/>
  <c r="AT170" i="1"/>
  <c r="AB167" i="1"/>
  <c r="AA167" i="1"/>
  <c r="JE165" i="1"/>
  <c r="JF166" i="1"/>
  <c r="CQ165" i="1"/>
  <c r="JD165" i="1"/>
  <c r="CR166" i="1"/>
  <c r="HW166" i="1"/>
  <c r="HX167" i="1"/>
  <c r="HF166" i="1"/>
  <c r="HG167" i="1"/>
  <c r="EQ167" i="1"/>
  <c r="EP166" i="1"/>
  <c r="FY167" i="1"/>
  <c r="FX166" i="1"/>
  <c r="FH167" i="1"/>
  <c r="FG166" i="1"/>
  <c r="IO169" i="1"/>
  <c r="IN168" i="1"/>
  <c r="DY166" i="1"/>
  <c r="DZ167" i="1"/>
  <c r="DI168" i="1"/>
  <c r="DH167" i="1"/>
  <c r="BZ166" i="1"/>
  <c r="IM166" i="1"/>
  <c r="GP167" i="1"/>
  <c r="GO166" i="1"/>
  <c r="BJ167" i="1"/>
  <c r="BI166" i="1"/>
  <c r="AS168" i="1"/>
  <c r="AR167" i="1"/>
  <c r="H166" i="1"/>
  <c r="N166" i="1"/>
  <c r="CA167" i="1"/>
  <c r="AT171" i="1"/>
  <c r="AB168" i="1"/>
  <c r="AA168" i="1"/>
  <c r="JE166" i="1"/>
  <c r="JF167" i="1"/>
  <c r="CR167" i="1"/>
  <c r="CQ166" i="1"/>
  <c r="JD166" i="1"/>
  <c r="HX168" i="1"/>
  <c r="HW167" i="1"/>
  <c r="DI169" i="1"/>
  <c r="DH168" i="1"/>
  <c r="IO170" i="1"/>
  <c r="IN169" i="1"/>
  <c r="FH168" i="1"/>
  <c r="FG167" i="1"/>
  <c r="EP167" i="1"/>
  <c r="EQ168" i="1"/>
  <c r="DY167" i="1"/>
  <c r="DZ168" i="1"/>
  <c r="HG168" i="1"/>
  <c r="HF167" i="1"/>
  <c r="FY168" i="1"/>
  <c r="FX167" i="1"/>
  <c r="BZ167" i="1"/>
  <c r="IM167" i="1"/>
  <c r="GP168" i="1"/>
  <c r="GO167" i="1"/>
  <c r="AS169" i="1"/>
  <c r="AR168" i="1"/>
  <c r="BJ168" i="1"/>
  <c r="BI167" i="1"/>
  <c r="CA168" i="1"/>
  <c r="H167" i="1"/>
  <c r="N167" i="1"/>
  <c r="AT172" i="1"/>
  <c r="AB169" i="1"/>
  <c r="AA169" i="1"/>
  <c r="JE167" i="1"/>
  <c r="JF168" i="1"/>
  <c r="CQ167" i="1"/>
  <c r="JD167" i="1"/>
  <c r="CR168" i="1"/>
  <c r="HW168" i="1"/>
  <c r="HX169" i="1"/>
  <c r="DY168" i="1"/>
  <c r="DZ169" i="1"/>
  <c r="FH169" i="1"/>
  <c r="FG168" i="1"/>
  <c r="FY169" i="1"/>
  <c r="FX168" i="1"/>
  <c r="HF168" i="1"/>
  <c r="HG169" i="1"/>
  <c r="EP168" i="1"/>
  <c r="EQ169" i="1"/>
  <c r="IO171" i="1"/>
  <c r="IN170" i="1"/>
  <c r="DH169" i="1"/>
  <c r="DI170" i="1"/>
  <c r="BZ168" i="1"/>
  <c r="GP169" i="1"/>
  <c r="GO168" i="1"/>
  <c r="BJ169" i="1"/>
  <c r="BI168" i="1"/>
  <c r="AS170" i="1"/>
  <c r="AR169" i="1"/>
  <c r="CA169" i="1"/>
  <c r="H168" i="1"/>
  <c r="N168" i="1"/>
  <c r="AT173" i="1"/>
  <c r="AB170" i="1"/>
  <c r="AA170" i="1"/>
  <c r="JE168" i="1"/>
  <c r="JF169" i="1"/>
  <c r="CQ168" i="1"/>
  <c r="JD168" i="1"/>
  <c r="CR169" i="1"/>
  <c r="HX170" i="1"/>
  <c r="HW169" i="1"/>
  <c r="DI171" i="1"/>
  <c r="DH170" i="1"/>
  <c r="FY170" i="1"/>
  <c r="FX169" i="1"/>
  <c r="HG170" i="1"/>
  <c r="HF169" i="1"/>
  <c r="FH170" i="1"/>
  <c r="FG169" i="1"/>
  <c r="DY169" i="1"/>
  <c r="DZ170" i="1"/>
  <c r="IO172" i="1"/>
  <c r="IN171" i="1"/>
  <c r="EP169" i="1"/>
  <c r="EQ170" i="1"/>
  <c r="IM168" i="1"/>
  <c r="BZ169" i="1"/>
  <c r="IM169" i="1"/>
  <c r="GP170" i="1"/>
  <c r="GO169" i="1"/>
  <c r="BJ170" i="1"/>
  <c r="BI169" i="1"/>
  <c r="AS171" i="1"/>
  <c r="AR170" i="1"/>
  <c r="H169" i="1"/>
  <c r="N169" i="1"/>
  <c r="CA170" i="1"/>
  <c r="AT174" i="1"/>
  <c r="AB171" i="1"/>
  <c r="AA171" i="1"/>
  <c r="JE169" i="1"/>
  <c r="JF170" i="1"/>
  <c r="CQ169" i="1"/>
  <c r="JD169" i="1"/>
  <c r="CR170" i="1"/>
  <c r="HW170" i="1"/>
  <c r="HX171" i="1"/>
  <c r="DY170" i="1"/>
  <c r="DZ171" i="1"/>
  <c r="HF170" i="1"/>
  <c r="HG171" i="1"/>
  <c r="IO173" i="1"/>
  <c r="IN172" i="1"/>
  <c r="EP170" i="1"/>
  <c r="EQ171" i="1"/>
  <c r="FH171" i="1"/>
  <c r="FG170" i="1"/>
  <c r="FY171" i="1"/>
  <c r="FX170" i="1"/>
  <c r="DI172" i="1"/>
  <c r="DH171" i="1"/>
  <c r="BZ170" i="1"/>
  <c r="IM170" i="1"/>
  <c r="GP171" i="1"/>
  <c r="GO170" i="1"/>
  <c r="AS172" i="1"/>
  <c r="AR171" i="1"/>
  <c r="BJ171" i="1"/>
  <c r="BI170" i="1"/>
  <c r="H170" i="1"/>
  <c r="N170" i="1"/>
  <c r="CA171" i="1"/>
  <c r="AT175" i="1"/>
  <c r="AB172" i="1"/>
  <c r="AA172" i="1"/>
  <c r="JE170" i="1"/>
  <c r="JF171" i="1"/>
  <c r="CQ170" i="1"/>
  <c r="JD170" i="1"/>
  <c r="CR171" i="1"/>
  <c r="HW171" i="1"/>
  <c r="HX172" i="1"/>
  <c r="DI173" i="1"/>
  <c r="DH172" i="1"/>
  <c r="FH172" i="1"/>
  <c r="FG171" i="1"/>
  <c r="EP171" i="1"/>
  <c r="EQ172" i="1"/>
  <c r="IN173" i="1"/>
  <c r="IO174" i="1"/>
  <c r="DY171" i="1"/>
  <c r="DZ172" i="1"/>
  <c r="FY172" i="1"/>
  <c r="FX171" i="1"/>
  <c r="HG172" i="1"/>
  <c r="HF171" i="1"/>
  <c r="BZ171" i="1"/>
  <c r="IM171" i="1"/>
  <c r="GP172" i="1"/>
  <c r="GO171" i="1"/>
  <c r="BJ172" i="1"/>
  <c r="BI171" i="1"/>
  <c r="AS173" i="1"/>
  <c r="AR172" i="1"/>
  <c r="H171" i="1"/>
  <c r="N171" i="1"/>
  <c r="P165" i="1"/>
  <c r="CA172" i="1"/>
  <c r="AT176" i="1"/>
  <c r="AB173" i="1"/>
  <c r="AA173" i="1"/>
  <c r="JE171" i="1"/>
  <c r="JF172" i="1"/>
  <c r="CQ171" i="1"/>
  <c r="JD171" i="1"/>
  <c r="CR172" i="1"/>
  <c r="HW172" i="1"/>
  <c r="HX173" i="1"/>
  <c r="HF172" i="1"/>
  <c r="HG173" i="1"/>
  <c r="DZ173" i="1"/>
  <c r="DY172" i="1"/>
  <c r="EQ173" i="1"/>
  <c r="EP172" i="1"/>
  <c r="FH173" i="1"/>
  <c r="FG172" i="1"/>
  <c r="FY173" i="1"/>
  <c r="FX172" i="1"/>
  <c r="IO175" i="1"/>
  <c r="IN174" i="1"/>
  <c r="DI174" i="1"/>
  <c r="DH173" i="1"/>
  <c r="BZ172" i="1"/>
  <c r="GP173" i="1"/>
  <c r="GO172" i="1"/>
  <c r="AS174" i="1"/>
  <c r="AR173" i="1"/>
  <c r="BJ173" i="1"/>
  <c r="BI172" i="1"/>
  <c r="H172" i="1"/>
  <c r="N172" i="1"/>
  <c r="CA173" i="1"/>
  <c r="AT177" i="1"/>
  <c r="AB174" i="1"/>
  <c r="AA174" i="1"/>
  <c r="JE172" i="1"/>
  <c r="JF173" i="1"/>
  <c r="CQ172" i="1"/>
  <c r="JD172" i="1"/>
  <c r="CR173" i="1"/>
  <c r="HW173" i="1"/>
  <c r="HX174" i="1"/>
  <c r="FY174" i="1"/>
  <c r="FX173" i="1"/>
  <c r="DY173" i="1"/>
  <c r="DZ174" i="1"/>
  <c r="DI175" i="1"/>
  <c r="DH174" i="1"/>
  <c r="IN175" i="1"/>
  <c r="IO176" i="1"/>
  <c r="FH174" i="1"/>
  <c r="FG173" i="1"/>
  <c r="EP173" i="1"/>
  <c r="EQ174" i="1"/>
  <c r="HF173" i="1"/>
  <c r="HG174" i="1"/>
  <c r="IM172" i="1"/>
  <c r="BZ173" i="1"/>
  <c r="IM173" i="1"/>
  <c r="GP174" i="1"/>
  <c r="GO173" i="1"/>
  <c r="BJ174" i="1"/>
  <c r="BI173" i="1"/>
  <c r="AS175" i="1"/>
  <c r="AR174" i="1"/>
  <c r="H173" i="1"/>
  <c r="N173" i="1"/>
  <c r="CA174" i="1"/>
  <c r="AT178" i="1"/>
  <c r="AB175" i="1"/>
  <c r="AA175" i="1"/>
  <c r="JE173" i="1"/>
  <c r="JF174" i="1"/>
  <c r="CR174" i="1"/>
  <c r="CQ173" i="1"/>
  <c r="JD173" i="1"/>
  <c r="HW174" i="1"/>
  <c r="HX175" i="1"/>
  <c r="FH175" i="1"/>
  <c r="FG174" i="1"/>
  <c r="DI176" i="1"/>
  <c r="DH175" i="1"/>
  <c r="EQ175" i="1"/>
  <c r="EP174" i="1"/>
  <c r="IN176" i="1"/>
  <c r="IO177" i="1"/>
  <c r="FY175" i="1"/>
  <c r="FX174" i="1"/>
  <c r="DZ175" i="1"/>
  <c r="DY174" i="1"/>
  <c r="HF174" i="1"/>
  <c r="HG175" i="1"/>
  <c r="BZ174" i="1"/>
  <c r="IM174" i="1"/>
  <c r="GP175" i="1"/>
  <c r="GO174" i="1"/>
  <c r="AS176" i="1"/>
  <c r="AR175" i="1"/>
  <c r="BJ175" i="1"/>
  <c r="BI174" i="1"/>
  <c r="H174" i="1"/>
  <c r="N174" i="1"/>
  <c r="CA175" i="1"/>
  <c r="AT179" i="1"/>
  <c r="AB176" i="1"/>
  <c r="AA176" i="1"/>
  <c r="JE174" i="1"/>
  <c r="JF175" i="1"/>
  <c r="CQ174" i="1"/>
  <c r="JD174" i="1"/>
  <c r="CR175" i="1"/>
  <c r="HW175" i="1"/>
  <c r="HX176" i="1"/>
  <c r="HG176" i="1"/>
  <c r="HF175" i="1"/>
  <c r="FY176" i="1"/>
  <c r="FX175" i="1"/>
  <c r="EQ176" i="1"/>
  <c r="EP175" i="1"/>
  <c r="DI177" i="1"/>
  <c r="DH176" i="1"/>
  <c r="IN177" i="1"/>
  <c r="IO178" i="1"/>
  <c r="DZ176" i="1"/>
  <c r="DY175" i="1"/>
  <c r="FH176" i="1"/>
  <c r="FG175" i="1"/>
  <c r="BZ175" i="1"/>
  <c r="IM175" i="1"/>
  <c r="GP176" i="1"/>
  <c r="GO175" i="1"/>
  <c r="BJ176" i="1"/>
  <c r="BI175" i="1"/>
  <c r="AS177" i="1"/>
  <c r="AR176" i="1"/>
  <c r="CA176" i="1"/>
  <c r="H175" i="1"/>
  <c r="N175" i="1"/>
  <c r="AT180" i="1"/>
  <c r="AB177" i="1"/>
  <c r="AA177" i="1"/>
  <c r="JE175" i="1"/>
  <c r="JF176" i="1"/>
  <c r="CR176" i="1"/>
  <c r="CQ175" i="1"/>
  <c r="JD175" i="1"/>
  <c r="HW176" i="1"/>
  <c r="HX177" i="1"/>
  <c r="IO179" i="1"/>
  <c r="IN178" i="1"/>
  <c r="EQ177" i="1"/>
  <c r="EP176" i="1"/>
  <c r="HF176" i="1"/>
  <c r="HG177" i="1"/>
  <c r="FH177" i="1"/>
  <c r="FG176" i="1"/>
  <c r="DZ177" i="1"/>
  <c r="DY176" i="1"/>
  <c r="DI178" i="1"/>
  <c r="DH177" i="1"/>
  <c r="FY177" i="1"/>
  <c r="FX176" i="1"/>
  <c r="BZ176" i="1"/>
  <c r="IM176" i="1"/>
  <c r="GP177" i="1"/>
  <c r="GO176" i="1"/>
  <c r="AS178" i="1"/>
  <c r="AR177" i="1"/>
  <c r="BJ177" i="1"/>
  <c r="BI176" i="1"/>
  <c r="CA177" i="1"/>
  <c r="H176" i="1"/>
  <c r="N176" i="1"/>
  <c r="AT181" i="1"/>
  <c r="AB178" i="1"/>
  <c r="AA178" i="1"/>
  <c r="JE176" i="1"/>
  <c r="JF177" i="1"/>
  <c r="CQ176" i="1"/>
  <c r="JD176" i="1"/>
  <c r="CR177" i="1"/>
  <c r="HW177" i="1"/>
  <c r="HX178" i="1"/>
  <c r="FY178" i="1"/>
  <c r="FX177" i="1"/>
  <c r="HF177" i="1"/>
  <c r="HG178" i="1"/>
  <c r="DY177" i="1"/>
  <c r="DZ178" i="1"/>
  <c r="IO180" i="1"/>
  <c r="IN179" i="1"/>
  <c r="DI179" i="1"/>
  <c r="DH178" i="1"/>
  <c r="FH178" i="1"/>
  <c r="FG177" i="1"/>
  <c r="EP177" i="1"/>
  <c r="EQ178" i="1"/>
  <c r="BZ177" i="1"/>
  <c r="IM177" i="1"/>
  <c r="GP178" i="1"/>
  <c r="GO177" i="1"/>
  <c r="BJ178" i="1"/>
  <c r="BI177" i="1"/>
  <c r="AS179" i="1"/>
  <c r="AR178" i="1"/>
  <c r="H177" i="1"/>
  <c r="N177" i="1"/>
  <c r="CA178" i="1"/>
  <c r="AT182" i="1"/>
  <c r="AB179" i="1"/>
  <c r="AA179" i="1"/>
  <c r="JE177" i="1"/>
  <c r="JF178" i="1"/>
  <c r="CR178" i="1"/>
  <c r="CQ177" i="1"/>
  <c r="JD177" i="1"/>
  <c r="HW178" i="1"/>
  <c r="HX179" i="1"/>
  <c r="DI180" i="1"/>
  <c r="DH179" i="1"/>
  <c r="IN180" i="1"/>
  <c r="IO181" i="1"/>
  <c r="HF178" i="1"/>
  <c r="HG179" i="1"/>
  <c r="FH179" i="1"/>
  <c r="FG178" i="1"/>
  <c r="DY178" i="1"/>
  <c r="DZ179" i="1"/>
  <c r="EP178" i="1"/>
  <c r="EQ179" i="1"/>
  <c r="FY179" i="1"/>
  <c r="FX178" i="1"/>
  <c r="BZ178" i="1"/>
  <c r="IM178" i="1"/>
  <c r="GP179" i="1"/>
  <c r="GO178" i="1"/>
  <c r="AS180" i="1"/>
  <c r="AR179" i="1"/>
  <c r="BJ179" i="1"/>
  <c r="BI178" i="1"/>
  <c r="H178" i="1"/>
  <c r="N178" i="1"/>
  <c r="P172" i="1"/>
  <c r="CA179" i="1"/>
  <c r="AT183" i="1"/>
  <c r="AB180" i="1"/>
  <c r="AA180" i="1"/>
  <c r="JE178" i="1"/>
  <c r="JF179" i="1"/>
  <c r="CQ178" i="1"/>
  <c r="JD178" i="1"/>
  <c r="CR179" i="1"/>
  <c r="HW179" i="1"/>
  <c r="HX180" i="1"/>
  <c r="IO182" i="1"/>
  <c r="IN181" i="1"/>
  <c r="FH180" i="1"/>
  <c r="FG179" i="1"/>
  <c r="FY180" i="1"/>
  <c r="FX179" i="1"/>
  <c r="DY179" i="1"/>
  <c r="DZ180" i="1"/>
  <c r="HG180" i="1"/>
  <c r="HF179" i="1"/>
  <c r="EP179" i="1"/>
  <c r="EQ180" i="1"/>
  <c r="DI181" i="1"/>
  <c r="DH180" i="1"/>
  <c r="BZ179" i="1"/>
  <c r="GP180" i="1"/>
  <c r="GO179" i="1"/>
  <c r="BJ180" i="1"/>
  <c r="BI179" i="1"/>
  <c r="AS181" i="1"/>
  <c r="AR180" i="1"/>
  <c r="H179" i="1"/>
  <c r="N179" i="1"/>
  <c r="CA180" i="1"/>
  <c r="AT184" i="1"/>
  <c r="AB181" i="1"/>
  <c r="AA181" i="1"/>
  <c r="JE179" i="1"/>
  <c r="JF180" i="1"/>
  <c r="CQ179" i="1"/>
  <c r="JD179" i="1"/>
  <c r="CR180" i="1"/>
  <c r="HW180" i="1"/>
  <c r="HX181" i="1"/>
  <c r="DI182" i="1"/>
  <c r="DH181" i="1"/>
  <c r="FY181" i="1"/>
  <c r="FX180" i="1"/>
  <c r="IN182" i="1"/>
  <c r="IO183" i="1"/>
  <c r="EP180" i="1"/>
  <c r="EQ181" i="1"/>
  <c r="HF180" i="1"/>
  <c r="HG181" i="1"/>
  <c r="DY180" i="1"/>
  <c r="DZ181" i="1"/>
  <c r="FH181" i="1"/>
  <c r="FG180" i="1"/>
  <c r="IM179" i="1"/>
  <c r="BZ180" i="1"/>
  <c r="GP181" i="1"/>
  <c r="GO180" i="1"/>
  <c r="AS182" i="1"/>
  <c r="AR181" i="1"/>
  <c r="BJ181" i="1"/>
  <c r="BI180" i="1"/>
  <c r="CA181" i="1"/>
  <c r="H180" i="1"/>
  <c r="N180" i="1"/>
  <c r="AT185" i="1"/>
  <c r="AB182" i="1"/>
  <c r="AA182" i="1"/>
  <c r="JE180" i="1"/>
  <c r="JF181" i="1"/>
  <c r="CQ180" i="1"/>
  <c r="JD180" i="1"/>
  <c r="CR181" i="1"/>
  <c r="HX182" i="1"/>
  <c r="HW181" i="1"/>
  <c r="DZ182" i="1"/>
  <c r="DY181" i="1"/>
  <c r="EQ182" i="1"/>
  <c r="EP181" i="1"/>
  <c r="FY182" i="1"/>
  <c r="FX181" i="1"/>
  <c r="FH182" i="1"/>
  <c r="FG181" i="1"/>
  <c r="HF181" i="1"/>
  <c r="HG182" i="1"/>
  <c r="IN183" i="1"/>
  <c r="IO184" i="1"/>
  <c r="DI183" i="1"/>
  <c r="DH182" i="1"/>
  <c r="IM180" i="1"/>
  <c r="BZ181" i="1"/>
  <c r="IM181" i="1"/>
  <c r="GP182" i="1"/>
  <c r="GO181" i="1"/>
  <c r="BJ182" i="1"/>
  <c r="BI181" i="1"/>
  <c r="AS183" i="1"/>
  <c r="AR182" i="1"/>
  <c r="H181" i="1"/>
  <c r="N181" i="1"/>
  <c r="CA182" i="1"/>
  <c r="AT186" i="1"/>
  <c r="AB183" i="1"/>
  <c r="AA183" i="1"/>
  <c r="JE181" i="1"/>
  <c r="JF182" i="1"/>
  <c r="CQ181" i="1"/>
  <c r="JD181" i="1"/>
  <c r="CR182" i="1"/>
  <c r="HW182" i="1"/>
  <c r="HX183" i="1"/>
  <c r="FY183" i="1"/>
  <c r="FX182" i="1"/>
  <c r="EQ183" i="1"/>
  <c r="EP182" i="1"/>
  <c r="DI184" i="1"/>
  <c r="DH183" i="1"/>
  <c r="IN184" i="1"/>
  <c r="IO185" i="1"/>
  <c r="FH183" i="1"/>
  <c r="FG182" i="1"/>
  <c r="HF182" i="1"/>
  <c r="HG183" i="1"/>
  <c r="DZ183" i="1"/>
  <c r="DY182" i="1"/>
  <c r="BZ182" i="1"/>
  <c r="IM182" i="1"/>
  <c r="GP183" i="1"/>
  <c r="GO182" i="1"/>
  <c r="AS184" i="1"/>
  <c r="AR183" i="1"/>
  <c r="BJ183" i="1"/>
  <c r="BI182" i="1"/>
  <c r="H182" i="1"/>
  <c r="N182" i="1"/>
  <c r="CA183" i="1"/>
  <c r="AT187" i="1"/>
  <c r="AB184" i="1"/>
  <c r="AA184" i="1"/>
  <c r="JE182" i="1"/>
  <c r="JF183" i="1"/>
  <c r="CQ182" i="1"/>
  <c r="JD182" i="1"/>
  <c r="CR183" i="1"/>
  <c r="HX184" i="1"/>
  <c r="HW183" i="1"/>
  <c r="HG184" i="1"/>
  <c r="HF183" i="1"/>
  <c r="IO186" i="1"/>
  <c r="IN185" i="1"/>
  <c r="EP183" i="1"/>
  <c r="EQ184" i="1"/>
  <c r="DY183" i="1"/>
  <c r="DZ184" i="1"/>
  <c r="FH184" i="1"/>
  <c r="FG183" i="1"/>
  <c r="DI185" i="1"/>
  <c r="DH184" i="1"/>
  <c r="FY184" i="1"/>
  <c r="FX183" i="1"/>
  <c r="BZ183" i="1"/>
  <c r="IM183" i="1"/>
  <c r="GP184" i="1"/>
  <c r="GO183" i="1"/>
  <c r="BJ184" i="1"/>
  <c r="BI183" i="1"/>
  <c r="AS185" i="1"/>
  <c r="AR184" i="1"/>
  <c r="CA184" i="1"/>
  <c r="H183" i="1"/>
  <c r="N183" i="1"/>
  <c r="AT188" i="1"/>
  <c r="AB185" i="1"/>
  <c r="AA185" i="1"/>
  <c r="JE183" i="1"/>
  <c r="JF184" i="1"/>
  <c r="CR184" i="1"/>
  <c r="CQ183" i="1"/>
  <c r="JD183" i="1"/>
  <c r="HW184" i="1"/>
  <c r="HX185" i="1"/>
  <c r="DI186" i="1"/>
  <c r="DH185" i="1"/>
  <c r="EP184" i="1"/>
  <c r="EQ185" i="1"/>
  <c r="IN186" i="1"/>
  <c r="IO187" i="1"/>
  <c r="FY185" i="1"/>
  <c r="FX184" i="1"/>
  <c r="FH185" i="1"/>
  <c r="FG184" i="1"/>
  <c r="DY184" i="1"/>
  <c r="DZ185" i="1"/>
  <c r="HF184" i="1"/>
  <c r="HG185" i="1"/>
  <c r="BZ184" i="1"/>
  <c r="IM184" i="1"/>
  <c r="GP185" i="1"/>
  <c r="GO184" i="1"/>
  <c r="AS186" i="1"/>
  <c r="AR185" i="1"/>
  <c r="BJ185" i="1"/>
  <c r="BI184" i="1"/>
  <c r="CA185" i="1"/>
  <c r="H184" i="1"/>
  <c r="N184" i="1"/>
  <c r="AT189" i="1"/>
  <c r="AB186" i="1"/>
  <c r="AA186" i="1"/>
  <c r="JE184" i="1"/>
  <c r="JF185" i="1"/>
  <c r="CQ184" i="1"/>
  <c r="JD184" i="1"/>
  <c r="CR185" i="1"/>
  <c r="HX186" i="1"/>
  <c r="HW185" i="1"/>
  <c r="DZ186" i="1"/>
  <c r="DY185" i="1"/>
  <c r="EQ186" i="1"/>
  <c r="EP185" i="1"/>
  <c r="HF185" i="1"/>
  <c r="HG186" i="1"/>
  <c r="FY186" i="1"/>
  <c r="FX185" i="1"/>
  <c r="IO188" i="1"/>
  <c r="IN187" i="1"/>
  <c r="FH186" i="1"/>
  <c r="FG185" i="1"/>
  <c r="DI187" i="1"/>
  <c r="DH186" i="1"/>
  <c r="BZ185" i="1"/>
  <c r="IM185" i="1"/>
  <c r="GP186" i="1"/>
  <c r="GO185" i="1"/>
  <c r="BJ186" i="1"/>
  <c r="BI185" i="1"/>
  <c r="AS187" i="1"/>
  <c r="AR186" i="1"/>
  <c r="H185" i="1"/>
  <c r="N185" i="1"/>
  <c r="P179" i="1"/>
  <c r="CA186" i="1"/>
  <c r="AT190" i="1"/>
  <c r="AB187" i="1"/>
  <c r="AA187" i="1"/>
  <c r="JE185" i="1"/>
  <c r="JF186" i="1"/>
  <c r="CQ185" i="1"/>
  <c r="JD185" i="1"/>
  <c r="CR186" i="1"/>
  <c r="HW186" i="1"/>
  <c r="HX187" i="1"/>
  <c r="IO189" i="1"/>
  <c r="IN188" i="1"/>
  <c r="EP186" i="1"/>
  <c r="EQ187" i="1"/>
  <c r="EP187" i="1"/>
  <c r="DI188" i="1"/>
  <c r="DH187" i="1"/>
  <c r="HF186" i="1"/>
  <c r="HG187" i="1"/>
  <c r="FY187" i="1"/>
  <c r="FX186" i="1"/>
  <c r="FH187" i="1"/>
  <c r="FG186" i="1"/>
  <c r="DY186" i="1"/>
  <c r="DZ187" i="1"/>
  <c r="BZ186" i="1"/>
  <c r="IM186" i="1"/>
  <c r="GP187" i="1"/>
  <c r="GO186" i="1"/>
  <c r="AS188" i="1"/>
  <c r="AR187" i="1"/>
  <c r="BJ187" i="1"/>
  <c r="BI186" i="1"/>
  <c r="H186" i="1"/>
  <c r="N186" i="1"/>
  <c r="CA187" i="1"/>
  <c r="AT191" i="1"/>
  <c r="AB188" i="1"/>
  <c r="AA188" i="1"/>
  <c r="JE186" i="1"/>
  <c r="JF187" i="1"/>
  <c r="CQ186" i="1"/>
  <c r="JD186" i="1"/>
  <c r="CR187" i="1"/>
  <c r="HW187" i="1"/>
  <c r="HX188" i="1"/>
  <c r="HG188" i="1"/>
  <c r="HF187" i="1"/>
  <c r="FH188" i="1"/>
  <c r="FG187" i="1"/>
  <c r="DI189" i="1"/>
  <c r="DH188" i="1"/>
  <c r="DY187" i="1"/>
  <c r="DZ188" i="1"/>
  <c r="EQ188" i="1"/>
  <c r="FY188" i="1"/>
  <c r="FX187" i="1"/>
  <c r="IN189" i="1"/>
  <c r="IO190" i="1"/>
  <c r="BZ187" i="1"/>
  <c r="IM187" i="1"/>
  <c r="GP188" i="1"/>
  <c r="GO187" i="1"/>
  <c r="BJ188" i="1"/>
  <c r="BI187" i="1"/>
  <c r="AS189" i="1"/>
  <c r="AR188" i="1"/>
  <c r="H187" i="1"/>
  <c r="N187" i="1"/>
  <c r="CA188" i="1"/>
  <c r="AT192" i="1"/>
  <c r="AB189" i="1"/>
  <c r="AA189" i="1"/>
  <c r="JE187" i="1"/>
  <c r="JF188" i="1"/>
  <c r="CQ187" i="1"/>
  <c r="JD187" i="1"/>
  <c r="CR188" i="1"/>
  <c r="HW188" i="1"/>
  <c r="HX189" i="1"/>
  <c r="FY189" i="1"/>
  <c r="FX188" i="1"/>
  <c r="IO191" i="1"/>
  <c r="IN190" i="1"/>
  <c r="EQ189" i="1"/>
  <c r="EP188" i="1"/>
  <c r="DI190" i="1"/>
  <c r="DH189" i="1"/>
  <c r="DZ189" i="1"/>
  <c r="DY188" i="1"/>
  <c r="FH189" i="1"/>
  <c r="FG188" i="1"/>
  <c r="HF188" i="1"/>
  <c r="HG189" i="1"/>
  <c r="BZ188" i="1"/>
  <c r="IM188" i="1"/>
  <c r="GP189" i="1"/>
  <c r="GO188" i="1"/>
  <c r="AS190" i="1"/>
  <c r="AR189" i="1"/>
  <c r="BJ189" i="1"/>
  <c r="BI188" i="1"/>
  <c r="CA189" i="1"/>
  <c r="AT193" i="1"/>
  <c r="AB190" i="1"/>
  <c r="AA190" i="1"/>
  <c r="JE188" i="1"/>
  <c r="JF189" i="1"/>
  <c r="CQ188" i="1"/>
  <c r="JD188" i="1"/>
  <c r="CR189" i="1"/>
  <c r="HW189" i="1"/>
  <c r="HX190" i="1"/>
  <c r="FH190" i="1"/>
  <c r="FG189" i="1"/>
  <c r="HF189" i="1"/>
  <c r="HG190" i="1"/>
  <c r="DY189" i="1"/>
  <c r="DZ190" i="1"/>
  <c r="EP189" i="1"/>
  <c r="EQ190" i="1"/>
  <c r="DI191" i="1"/>
  <c r="DH190" i="1"/>
  <c r="IO192" i="1"/>
  <c r="IN191" i="1"/>
  <c r="FY190" i="1"/>
  <c r="FX189" i="1"/>
  <c r="BZ189" i="1"/>
  <c r="IM189" i="1"/>
  <c r="GP190" i="1"/>
  <c r="GO189" i="1"/>
  <c r="BJ190" i="1"/>
  <c r="BI189" i="1"/>
  <c r="AS191" i="1"/>
  <c r="AR190" i="1"/>
  <c r="H189" i="1"/>
  <c r="N189" i="1"/>
  <c r="CA190" i="1"/>
  <c r="AT194" i="1"/>
  <c r="AB191" i="1"/>
  <c r="AA191" i="1"/>
  <c r="JE189" i="1"/>
  <c r="JF190" i="1"/>
  <c r="CR190" i="1"/>
  <c r="CQ189" i="1"/>
  <c r="JD189" i="1"/>
  <c r="HW190" i="1"/>
  <c r="HX191" i="1"/>
  <c r="IO193" i="1"/>
  <c r="IN192" i="1"/>
  <c r="HF190" i="1"/>
  <c r="HG191" i="1"/>
  <c r="FY191" i="1"/>
  <c r="FX190" i="1"/>
  <c r="DI192" i="1"/>
  <c r="DH191" i="1"/>
  <c r="DY190" i="1"/>
  <c r="DZ191" i="1"/>
  <c r="EP190" i="1"/>
  <c r="EQ191" i="1"/>
  <c r="FH191" i="1"/>
  <c r="FG190" i="1"/>
  <c r="BZ190" i="1"/>
  <c r="IM190" i="1"/>
  <c r="GP191" i="1"/>
  <c r="GO190" i="1"/>
  <c r="AS192" i="1"/>
  <c r="AR191" i="1"/>
  <c r="BJ191" i="1"/>
  <c r="BI190" i="1"/>
  <c r="H190" i="1"/>
  <c r="N190" i="1"/>
  <c r="CA191" i="1"/>
  <c r="AT195" i="1"/>
  <c r="AB192" i="1"/>
  <c r="AA192" i="1"/>
  <c r="JE190" i="1"/>
  <c r="JF191" i="1"/>
  <c r="CQ190" i="1"/>
  <c r="JD190" i="1"/>
  <c r="CR191" i="1"/>
  <c r="HW191" i="1"/>
  <c r="HX192" i="1"/>
  <c r="DZ192" i="1"/>
  <c r="DY191" i="1"/>
  <c r="HG192" i="1"/>
  <c r="HF191" i="1"/>
  <c r="FY192" i="1"/>
  <c r="FX191" i="1"/>
  <c r="FH192" i="1"/>
  <c r="FG191" i="1"/>
  <c r="EQ192" i="1"/>
  <c r="EP191" i="1"/>
  <c r="DI193" i="1"/>
  <c r="DH192" i="1"/>
  <c r="IO194" i="1"/>
  <c r="IN193" i="1"/>
  <c r="BZ191" i="1"/>
  <c r="IM191" i="1"/>
  <c r="GP192" i="1"/>
  <c r="GO191" i="1"/>
  <c r="BJ192" i="1"/>
  <c r="BI191" i="1"/>
  <c r="AS193" i="1"/>
  <c r="AR192" i="1"/>
  <c r="CA192" i="1"/>
  <c r="H191" i="1"/>
  <c r="N191" i="1"/>
  <c r="AT196" i="1"/>
  <c r="AB193" i="1"/>
  <c r="AA193" i="1"/>
  <c r="JE191" i="1"/>
  <c r="JF192" i="1"/>
  <c r="CQ191" i="1"/>
  <c r="JD191" i="1"/>
  <c r="CR192" i="1"/>
  <c r="HW192" i="1"/>
  <c r="HX193" i="1"/>
  <c r="DI194" i="1"/>
  <c r="DH193" i="1"/>
  <c r="FY193" i="1"/>
  <c r="FX192" i="1"/>
  <c r="HF192" i="1"/>
  <c r="HG193" i="1"/>
  <c r="IN194" i="1"/>
  <c r="IO195" i="1"/>
  <c r="EP192" i="1"/>
  <c r="EQ193" i="1"/>
  <c r="FH193" i="1"/>
  <c r="FG192" i="1"/>
  <c r="DY192" i="1"/>
  <c r="DZ193" i="1"/>
  <c r="BZ192" i="1"/>
  <c r="IM192" i="1"/>
  <c r="GP193" i="1"/>
  <c r="GO192" i="1"/>
  <c r="AS194" i="1"/>
  <c r="AR193" i="1"/>
  <c r="BJ193" i="1"/>
  <c r="BI192" i="1"/>
  <c r="CA193" i="1"/>
  <c r="H192" i="1"/>
  <c r="N192" i="1"/>
  <c r="P186" i="1"/>
  <c r="AT197" i="1"/>
  <c r="AB194" i="1"/>
  <c r="AA194" i="1"/>
  <c r="JE192" i="1"/>
  <c r="JF193" i="1"/>
  <c r="CR193" i="1"/>
  <c r="CQ192" i="1"/>
  <c r="JD192" i="1"/>
  <c r="HW193" i="1"/>
  <c r="HX194" i="1"/>
  <c r="EQ194" i="1"/>
  <c r="EP193" i="1"/>
  <c r="HF193" i="1"/>
  <c r="HG194" i="1"/>
  <c r="DZ194" i="1"/>
  <c r="DY193" i="1"/>
  <c r="IN195" i="1"/>
  <c r="IO196" i="1"/>
  <c r="FH194" i="1"/>
  <c r="FG193" i="1"/>
  <c r="FY194" i="1"/>
  <c r="FX193" i="1"/>
  <c r="DI195" i="1"/>
  <c r="DH194" i="1"/>
  <c r="BZ193" i="1"/>
  <c r="IM193" i="1"/>
  <c r="GP194" i="1"/>
  <c r="GO193" i="1"/>
  <c r="BJ194" i="1"/>
  <c r="BI193" i="1"/>
  <c r="AS195" i="1"/>
  <c r="AR194" i="1"/>
  <c r="H193" i="1"/>
  <c r="N193" i="1"/>
  <c r="CA194" i="1"/>
  <c r="AT198" i="1"/>
  <c r="AB195" i="1"/>
  <c r="AA195" i="1"/>
  <c r="JF194" i="1"/>
  <c r="JE193" i="1"/>
  <c r="CQ193" i="1"/>
  <c r="JD193" i="1"/>
  <c r="CR194" i="1"/>
  <c r="HW194" i="1"/>
  <c r="HX195" i="1"/>
  <c r="DI196" i="1"/>
  <c r="DH195" i="1"/>
  <c r="FH195" i="1"/>
  <c r="FG194" i="1"/>
  <c r="EQ195" i="1"/>
  <c r="EP194" i="1"/>
  <c r="HF194" i="1"/>
  <c r="HG195" i="1"/>
  <c r="FY195" i="1"/>
  <c r="FX194" i="1"/>
  <c r="IO197" i="1"/>
  <c r="IN196" i="1"/>
  <c r="DZ195" i="1"/>
  <c r="DY194" i="1"/>
  <c r="BZ194" i="1"/>
  <c r="IM194" i="1"/>
  <c r="GP195" i="1"/>
  <c r="GO194" i="1"/>
  <c r="BJ195" i="1"/>
  <c r="BI194" i="1"/>
  <c r="AS196" i="1"/>
  <c r="AR195" i="1"/>
  <c r="H194" i="1"/>
  <c r="N194" i="1"/>
  <c r="CA195" i="1"/>
  <c r="AT199" i="1"/>
  <c r="AB196" i="1"/>
  <c r="AA196" i="1"/>
  <c r="JE194" i="1"/>
  <c r="JF195" i="1"/>
  <c r="CR195" i="1"/>
  <c r="CQ194" i="1"/>
  <c r="JD194" i="1"/>
  <c r="HX196" i="1"/>
  <c r="HW195" i="1"/>
  <c r="DZ196" i="1"/>
  <c r="DY195" i="1"/>
  <c r="FY196" i="1"/>
  <c r="FX195" i="1"/>
  <c r="EQ196" i="1"/>
  <c r="EP195" i="1"/>
  <c r="FH196" i="1"/>
  <c r="FG195" i="1"/>
  <c r="HG196" i="1"/>
  <c r="HF195" i="1"/>
  <c r="IN197" i="1"/>
  <c r="IO198" i="1"/>
  <c r="DI197" i="1"/>
  <c r="DH196" i="1"/>
  <c r="BZ195" i="1"/>
  <c r="IM195" i="1"/>
  <c r="GP196" i="1"/>
  <c r="GO195" i="1"/>
  <c r="AS197" i="1"/>
  <c r="AR196" i="1"/>
  <c r="BJ196" i="1"/>
  <c r="BI195" i="1"/>
  <c r="H195" i="1"/>
  <c r="N195" i="1"/>
  <c r="CA196" i="1"/>
  <c r="AT200" i="1"/>
  <c r="AB197" i="1"/>
  <c r="AA197" i="1"/>
  <c r="JE195" i="1"/>
  <c r="JF196" i="1"/>
  <c r="CQ195" i="1"/>
  <c r="JD195" i="1"/>
  <c r="CR196" i="1"/>
  <c r="HW196" i="1"/>
  <c r="HX197" i="1"/>
  <c r="HF196" i="1"/>
  <c r="HG197" i="1"/>
  <c r="FH197" i="1"/>
  <c r="FG196" i="1"/>
  <c r="FY197" i="1"/>
  <c r="FX196" i="1"/>
  <c r="IN198" i="1"/>
  <c r="IO199" i="1"/>
  <c r="DI198" i="1"/>
  <c r="DH197" i="1"/>
  <c r="EP196" i="1"/>
  <c r="EQ197" i="1"/>
  <c r="DY196" i="1"/>
  <c r="DZ197" i="1"/>
  <c r="BZ196" i="1"/>
  <c r="IM196" i="1"/>
  <c r="GP197" i="1"/>
  <c r="GO196" i="1"/>
  <c r="BJ197" i="1"/>
  <c r="BI196" i="1"/>
  <c r="AS198" i="1"/>
  <c r="AR197" i="1"/>
  <c r="H196" i="1"/>
  <c r="N196" i="1"/>
  <c r="CA197" i="1"/>
  <c r="AT201" i="1"/>
  <c r="AB198" i="1"/>
  <c r="AA198" i="1"/>
  <c r="JE196" i="1"/>
  <c r="JF197" i="1"/>
  <c r="CR197" i="1"/>
  <c r="CQ196" i="1"/>
  <c r="JD196" i="1"/>
  <c r="HX198" i="1"/>
  <c r="HW197" i="1"/>
  <c r="EQ198" i="1"/>
  <c r="EP197" i="1"/>
  <c r="HF197" i="1"/>
  <c r="HG198" i="1"/>
  <c r="DI199" i="1"/>
  <c r="DH198" i="1"/>
  <c r="FY198" i="1"/>
  <c r="FX197" i="1"/>
  <c r="DZ198" i="1"/>
  <c r="DY197" i="1"/>
  <c r="IN199" i="1"/>
  <c r="IO200" i="1"/>
  <c r="FH198" i="1"/>
  <c r="FG197" i="1"/>
  <c r="BZ197" i="1"/>
  <c r="IM197" i="1"/>
  <c r="GP198" i="1"/>
  <c r="GO197" i="1"/>
  <c r="AS199" i="1"/>
  <c r="AR198" i="1"/>
  <c r="BJ198" i="1"/>
  <c r="BI197" i="1"/>
  <c r="H197" i="1"/>
  <c r="N197" i="1"/>
  <c r="CA198" i="1"/>
  <c r="AT202" i="1"/>
  <c r="AB199" i="1"/>
  <c r="AA199" i="1"/>
  <c r="JF198" i="1"/>
  <c r="JE197" i="1"/>
  <c r="CR198" i="1"/>
  <c r="CQ197" i="1"/>
  <c r="JD197" i="1"/>
  <c r="HW198" i="1"/>
  <c r="HX199" i="1"/>
  <c r="HF198" i="1"/>
  <c r="HG199" i="1"/>
  <c r="IN200" i="1"/>
  <c r="IO201" i="1"/>
  <c r="FY199" i="1"/>
  <c r="FX198" i="1"/>
  <c r="FH199" i="1"/>
  <c r="FG198" i="1"/>
  <c r="DZ199" i="1"/>
  <c r="DY198" i="1"/>
  <c r="DI200" i="1"/>
  <c r="DH199" i="1"/>
  <c r="EQ199" i="1"/>
  <c r="EP198" i="1"/>
  <c r="BZ198" i="1"/>
  <c r="IM198" i="1"/>
  <c r="GP199" i="1"/>
  <c r="GO198" i="1"/>
  <c r="BJ199" i="1"/>
  <c r="BI198" i="1"/>
  <c r="AS200" i="1"/>
  <c r="AR199" i="1"/>
  <c r="CA199" i="1"/>
  <c r="H198" i="1"/>
  <c r="N198" i="1"/>
  <c r="AT203" i="1"/>
  <c r="AB200" i="1"/>
  <c r="AA200" i="1"/>
  <c r="JE198" i="1"/>
  <c r="JF199" i="1"/>
  <c r="CQ198" i="1"/>
  <c r="JD198" i="1"/>
  <c r="CR199" i="1"/>
  <c r="HW199" i="1"/>
  <c r="HX200" i="1"/>
  <c r="DI201" i="1"/>
  <c r="DH200" i="1"/>
  <c r="IN201" i="1"/>
  <c r="IO202" i="1"/>
  <c r="FH200" i="1"/>
  <c r="FG199" i="1"/>
  <c r="EQ200" i="1"/>
  <c r="EP199" i="1"/>
  <c r="HG200" i="1"/>
  <c r="HF199" i="1"/>
  <c r="DZ200" i="1"/>
  <c r="DY199" i="1"/>
  <c r="FY200" i="1"/>
  <c r="FX199" i="1"/>
  <c r="BZ199" i="1"/>
  <c r="IM199" i="1"/>
  <c r="GP200" i="1"/>
  <c r="GO199" i="1"/>
  <c r="AS201" i="1"/>
  <c r="AR200" i="1"/>
  <c r="BJ200" i="1"/>
  <c r="BI199" i="1"/>
  <c r="CA200" i="1"/>
  <c r="H199" i="1"/>
  <c r="N199" i="1"/>
  <c r="P193" i="1"/>
  <c r="AT204" i="1"/>
  <c r="AB201" i="1"/>
  <c r="AA201" i="1"/>
  <c r="JE199" i="1"/>
  <c r="JF200" i="1"/>
  <c r="CR200" i="1"/>
  <c r="CQ199" i="1"/>
  <c r="JD199" i="1"/>
  <c r="HW200" i="1"/>
  <c r="HX201" i="1"/>
  <c r="FY201" i="1"/>
  <c r="FX200" i="1"/>
  <c r="IN202" i="1"/>
  <c r="IO203" i="1"/>
  <c r="HF200" i="1"/>
  <c r="HG201" i="1"/>
  <c r="DZ201" i="1"/>
  <c r="DY200" i="1"/>
  <c r="EQ201" i="1"/>
  <c r="EP200" i="1"/>
  <c r="FH201" i="1"/>
  <c r="FG200" i="1"/>
  <c r="DI202" i="1"/>
  <c r="DH201" i="1"/>
  <c r="BZ200" i="1"/>
  <c r="IM200" i="1"/>
  <c r="GP201" i="1"/>
  <c r="GO200" i="1"/>
  <c r="BJ201" i="1"/>
  <c r="BI200" i="1"/>
  <c r="AS202" i="1"/>
  <c r="AR201" i="1"/>
  <c r="CA201" i="1"/>
  <c r="H200" i="1"/>
  <c r="N200" i="1"/>
  <c r="AT205" i="1"/>
  <c r="AB202" i="1"/>
  <c r="AA202" i="1"/>
  <c r="JE200" i="1"/>
  <c r="JF201" i="1"/>
  <c r="CR201" i="1"/>
  <c r="CQ200" i="1"/>
  <c r="JD200" i="1"/>
  <c r="HW201" i="1"/>
  <c r="HX202" i="1"/>
  <c r="FH202" i="1"/>
  <c r="FG201" i="1"/>
  <c r="IN203" i="1"/>
  <c r="IO204" i="1"/>
  <c r="DZ202" i="1"/>
  <c r="DY201" i="1"/>
  <c r="DI203" i="1"/>
  <c r="DH202" i="1"/>
  <c r="EQ202" i="1"/>
  <c r="EP201" i="1"/>
  <c r="HF201" i="1"/>
  <c r="HG202" i="1"/>
  <c r="FY202" i="1"/>
  <c r="FX201" i="1"/>
  <c r="BZ201" i="1"/>
  <c r="IM201" i="1"/>
  <c r="GP202" i="1"/>
  <c r="GO201" i="1"/>
  <c r="AS203" i="1"/>
  <c r="AR202" i="1"/>
  <c r="BJ202" i="1"/>
  <c r="BI201" i="1"/>
  <c r="H201" i="1"/>
  <c r="N201" i="1"/>
  <c r="CA202" i="1"/>
  <c r="AT206" i="1"/>
  <c r="AB203" i="1"/>
  <c r="AA203" i="1"/>
  <c r="JF202" i="1"/>
  <c r="JE201" i="1"/>
  <c r="CR202" i="1"/>
  <c r="CQ201" i="1"/>
  <c r="JD201" i="1"/>
  <c r="HW202" i="1"/>
  <c r="HX203" i="1"/>
  <c r="EQ203" i="1"/>
  <c r="EP202" i="1"/>
  <c r="IO205" i="1"/>
  <c r="IN204" i="1"/>
  <c r="HF202" i="1"/>
  <c r="HG203" i="1"/>
  <c r="FY203" i="1"/>
  <c r="FX202" i="1"/>
  <c r="DI204" i="1"/>
  <c r="DH203" i="1"/>
  <c r="DZ203" i="1"/>
  <c r="DY202" i="1"/>
  <c r="FH203" i="1"/>
  <c r="FG202" i="1"/>
  <c r="BZ202" i="1"/>
  <c r="IM202" i="1"/>
  <c r="GP203" i="1"/>
  <c r="GO202" i="1"/>
  <c r="BJ203" i="1"/>
  <c r="BI202" i="1"/>
  <c r="AS204" i="1"/>
  <c r="AR203" i="1"/>
  <c r="H202" i="1"/>
  <c r="N202" i="1"/>
  <c r="CA203" i="1"/>
  <c r="AT207" i="1"/>
  <c r="AB204" i="1"/>
  <c r="AA204" i="1"/>
  <c r="JE202" i="1"/>
  <c r="JF203" i="1"/>
  <c r="CQ202" i="1"/>
  <c r="JD202" i="1"/>
  <c r="CR203" i="1"/>
  <c r="HW203" i="1"/>
  <c r="HX204" i="1"/>
  <c r="DY203" i="1"/>
  <c r="DZ204" i="1"/>
  <c r="FY204" i="1"/>
  <c r="FX203" i="1"/>
  <c r="IN205" i="1"/>
  <c r="IO206" i="1"/>
  <c r="EP203" i="1"/>
  <c r="EQ204" i="1"/>
  <c r="FH204" i="1"/>
  <c r="FG203" i="1"/>
  <c r="HG204" i="1"/>
  <c r="HF203" i="1"/>
  <c r="DI205" i="1"/>
  <c r="DH204" i="1"/>
  <c r="BZ203" i="1"/>
  <c r="IM203" i="1"/>
  <c r="GP204" i="1"/>
  <c r="GO203" i="1"/>
  <c r="BJ204" i="1"/>
  <c r="BI203" i="1"/>
  <c r="AS205" i="1"/>
  <c r="AR204" i="1"/>
  <c r="H203" i="1"/>
  <c r="N203" i="1"/>
  <c r="CA204" i="1"/>
  <c r="AT208" i="1"/>
  <c r="AB205" i="1"/>
  <c r="AA205" i="1"/>
  <c r="JE203" i="1"/>
  <c r="JF204" i="1"/>
  <c r="CR204" i="1"/>
  <c r="CQ203" i="1"/>
  <c r="JD203" i="1"/>
  <c r="HW204" i="1"/>
  <c r="HX205" i="1"/>
  <c r="HF204" i="1"/>
  <c r="HG205" i="1"/>
  <c r="FY205" i="1"/>
  <c r="FX204" i="1"/>
  <c r="IN206" i="1"/>
  <c r="IO207" i="1"/>
  <c r="DI206" i="1"/>
  <c r="DH205" i="1"/>
  <c r="FH205" i="1"/>
  <c r="FG204" i="1"/>
  <c r="DY204" i="1"/>
  <c r="DZ205" i="1"/>
  <c r="EP204" i="1"/>
  <c r="EQ205" i="1"/>
  <c r="BZ204" i="1"/>
  <c r="IM204" i="1"/>
  <c r="GP205" i="1"/>
  <c r="GO204" i="1"/>
  <c r="AS206" i="1"/>
  <c r="AR205" i="1"/>
  <c r="BJ205" i="1"/>
  <c r="BI204" i="1"/>
  <c r="CA205" i="1"/>
  <c r="H204" i="1"/>
  <c r="N204" i="1"/>
  <c r="AT209" i="1"/>
  <c r="AB206" i="1"/>
  <c r="AA206" i="1"/>
  <c r="JE204" i="1"/>
  <c r="JF205" i="1"/>
  <c r="CR205" i="1"/>
  <c r="CQ204" i="1"/>
  <c r="JD204" i="1"/>
  <c r="HW205" i="1"/>
  <c r="HX206" i="1"/>
  <c r="IN207" i="1"/>
  <c r="IO208" i="1"/>
  <c r="EQ206" i="1"/>
  <c r="EP205" i="1"/>
  <c r="FH206" i="1"/>
  <c r="FG205" i="1"/>
  <c r="FY206" i="1"/>
  <c r="FX205" i="1"/>
  <c r="DZ206" i="1"/>
  <c r="DY205" i="1"/>
  <c r="HF205" i="1"/>
  <c r="HG206" i="1"/>
  <c r="DI207" i="1"/>
  <c r="DH206" i="1"/>
  <c r="BZ205" i="1"/>
  <c r="IM205" i="1"/>
  <c r="GP206" i="1"/>
  <c r="GO205" i="1"/>
  <c r="BJ206" i="1"/>
  <c r="BI205" i="1"/>
  <c r="AS207" i="1"/>
  <c r="AR206" i="1"/>
  <c r="H205" i="1"/>
  <c r="N205" i="1"/>
  <c r="CA206" i="1"/>
  <c r="AT210" i="1"/>
  <c r="AB207" i="1"/>
  <c r="AA207" i="1"/>
  <c r="JF206" i="1"/>
  <c r="JE205" i="1"/>
  <c r="CQ205" i="1"/>
  <c r="JD205" i="1"/>
  <c r="CR206" i="1"/>
  <c r="HW206" i="1"/>
  <c r="HX207" i="1"/>
  <c r="HF206" i="1"/>
  <c r="HG207" i="1"/>
  <c r="DI208" i="1"/>
  <c r="DH207" i="1"/>
  <c r="FY207" i="1"/>
  <c r="FX206" i="1"/>
  <c r="EQ207" i="1"/>
  <c r="EP206" i="1"/>
  <c r="IN208" i="1"/>
  <c r="IO209" i="1"/>
  <c r="DZ207" i="1"/>
  <c r="DY206" i="1"/>
  <c r="FH207" i="1"/>
  <c r="FG206" i="1"/>
  <c r="BZ206" i="1"/>
  <c r="IM206" i="1"/>
  <c r="GP207" i="1"/>
  <c r="GO206" i="1"/>
  <c r="AS208" i="1"/>
  <c r="AR207" i="1"/>
  <c r="BJ207" i="1"/>
  <c r="BI206" i="1"/>
  <c r="H206" i="1"/>
  <c r="N206" i="1"/>
  <c r="P200" i="1"/>
  <c r="CA207" i="1"/>
  <c r="AT211" i="1"/>
  <c r="AB208" i="1"/>
  <c r="AA208" i="1"/>
  <c r="JE206" i="1"/>
  <c r="JF207" i="1"/>
  <c r="CR207" i="1"/>
  <c r="CQ206" i="1"/>
  <c r="JD206" i="1"/>
  <c r="HW207" i="1"/>
  <c r="HX208" i="1"/>
  <c r="DZ208" i="1"/>
  <c r="DY207" i="1"/>
  <c r="EQ208" i="1"/>
  <c r="EP207" i="1"/>
  <c r="DI209" i="1"/>
  <c r="DH208" i="1"/>
  <c r="FH208" i="1"/>
  <c r="FG207" i="1"/>
  <c r="IN209" i="1"/>
  <c r="IO210" i="1"/>
  <c r="HF207" i="1"/>
  <c r="HG208" i="1"/>
  <c r="FY208" i="1"/>
  <c r="FX207" i="1"/>
  <c r="BZ207" i="1"/>
  <c r="IM207" i="1"/>
  <c r="GP208" i="1"/>
  <c r="GO207" i="1"/>
  <c r="BJ208" i="1"/>
  <c r="BI207" i="1"/>
  <c r="AS209" i="1"/>
  <c r="AR208" i="1"/>
  <c r="CA208" i="1"/>
  <c r="H207" i="1"/>
  <c r="N207" i="1"/>
  <c r="AT212" i="1"/>
  <c r="AB209" i="1"/>
  <c r="AA209" i="1"/>
  <c r="JE207" i="1"/>
  <c r="JF208" i="1"/>
  <c r="CR208" i="1"/>
  <c r="CQ207" i="1"/>
  <c r="JD207" i="1"/>
  <c r="HW208" i="1"/>
  <c r="HX209" i="1"/>
  <c r="DI210" i="1"/>
  <c r="DH209" i="1"/>
  <c r="HF208" i="1"/>
  <c r="HG209" i="1"/>
  <c r="FY209" i="1"/>
  <c r="FX208" i="1"/>
  <c r="FH209" i="1"/>
  <c r="FG208" i="1"/>
  <c r="EQ209" i="1"/>
  <c r="EP208" i="1"/>
  <c r="IN210" i="1"/>
  <c r="IO211" i="1"/>
  <c r="DZ209" i="1"/>
  <c r="DY208" i="1"/>
  <c r="BZ208" i="1"/>
  <c r="IM208" i="1"/>
  <c r="GP209" i="1"/>
  <c r="GO208" i="1"/>
  <c r="BJ209" i="1"/>
  <c r="BI208" i="1"/>
  <c r="AS210" i="1"/>
  <c r="AR209" i="1"/>
  <c r="H208" i="1"/>
  <c r="N208" i="1"/>
  <c r="CA209" i="1"/>
  <c r="AT213" i="1"/>
  <c r="AB210" i="1"/>
  <c r="AA210" i="1"/>
  <c r="JE208" i="1"/>
  <c r="JF209" i="1"/>
  <c r="CQ208" i="1"/>
  <c r="JD208" i="1"/>
  <c r="CR209" i="1"/>
  <c r="HW209" i="1"/>
  <c r="HX210" i="1"/>
  <c r="IN211" i="1"/>
  <c r="IO212" i="1"/>
  <c r="HF209" i="1"/>
  <c r="HG210" i="1"/>
  <c r="FH210" i="1"/>
  <c r="FG209" i="1"/>
  <c r="DI211" i="1"/>
  <c r="DH210" i="1"/>
  <c r="DZ210" i="1"/>
  <c r="DY209" i="1"/>
  <c r="EQ210" i="1"/>
  <c r="EP209" i="1"/>
  <c r="FY210" i="1"/>
  <c r="FX209" i="1"/>
  <c r="BZ209" i="1"/>
  <c r="IM209" i="1"/>
  <c r="GP210" i="1"/>
  <c r="GO209" i="1"/>
  <c r="AS211" i="1"/>
  <c r="AR210" i="1"/>
  <c r="BJ210" i="1"/>
  <c r="BI209" i="1"/>
  <c r="H209" i="1"/>
  <c r="N209" i="1"/>
  <c r="CA210" i="1"/>
  <c r="AT214" i="1"/>
  <c r="AB211" i="1"/>
  <c r="AA211" i="1"/>
  <c r="JF210" i="1"/>
  <c r="JE209" i="1"/>
  <c r="CQ209" i="1"/>
  <c r="JD209" i="1"/>
  <c r="CR210" i="1"/>
  <c r="HW210" i="1"/>
  <c r="HX211" i="1"/>
  <c r="EQ211" i="1"/>
  <c r="EP210" i="1"/>
  <c r="HF210" i="1"/>
  <c r="HG211" i="1"/>
  <c r="DI212" i="1"/>
  <c r="DH211" i="1"/>
  <c r="FY211" i="1"/>
  <c r="FX210" i="1"/>
  <c r="IO213" i="1"/>
  <c r="IN212" i="1"/>
  <c r="DZ211" i="1"/>
  <c r="DY210" i="1"/>
  <c r="FH211" i="1"/>
  <c r="FG210" i="1"/>
  <c r="BZ210" i="1"/>
  <c r="IM210" i="1"/>
  <c r="GP211" i="1"/>
  <c r="GO210" i="1"/>
  <c r="BJ211" i="1"/>
  <c r="BI210" i="1"/>
  <c r="AS212" i="1"/>
  <c r="AR211" i="1"/>
  <c r="H210" i="1"/>
  <c r="N210" i="1"/>
  <c r="CA211" i="1"/>
  <c r="AT215" i="1"/>
  <c r="AB212" i="1"/>
  <c r="AA212" i="1"/>
  <c r="JE210" i="1"/>
  <c r="JF211" i="1"/>
  <c r="CR211" i="1"/>
  <c r="CQ210" i="1"/>
  <c r="JD210" i="1"/>
  <c r="HW211" i="1"/>
  <c r="HX212" i="1"/>
  <c r="DY211" i="1"/>
  <c r="DZ212" i="1"/>
  <c r="FY212" i="1"/>
  <c r="FX211" i="1"/>
  <c r="DH212" i="1"/>
  <c r="DI213" i="1"/>
  <c r="EP211" i="1"/>
  <c r="EQ212" i="1"/>
  <c r="FH212" i="1"/>
  <c r="FG211" i="1"/>
  <c r="HG212" i="1"/>
  <c r="HF211" i="1"/>
  <c r="IN213" i="1"/>
  <c r="IO214" i="1"/>
  <c r="BZ211" i="1"/>
  <c r="IM211" i="1"/>
  <c r="GP212" i="1"/>
  <c r="GO211" i="1"/>
  <c r="AS213" i="1"/>
  <c r="AR212" i="1"/>
  <c r="BJ212" i="1"/>
  <c r="BI211" i="1"/>
  <c r="CA212" i="1"/>
  <c r="H211" i="1"/>
  <c r="N211" i="1"/>
  <c r="AT216" i="1"/>
  <c r="AB213" i="1"/>
  <c r="AA213" i="1"/>
  <c r="JF212" i="1"/>
  <c r="JE211" i="1"/>
  <c r="CR212" i="1"/>
  <c r="CQ211" i="1"/>
  <c r="JD211" i="1"/>
  <c r="HW212" i="1"/>
  <c r="HX213" i="1"/>
  <c r="HF212" i="1"/>
  <c r="HG213" i="1"/>
  <c r="FX212" i="1"/>
  <c r="FY213" i="1"/>
  <c r="IN214" i="1"/>
  <c r="IO215" i="1"/>
  <c r="DI214" i="1"/>
  <c r="DH213" i="1"/>
  <c r="FH213" i="1"/>
  <c r="FG212" i="1"/>
  <c r="DZ213" i="1"/>
  <c r="DY212" i="1"/>
  <c r="EQ213" i="1"/>
  <c r="EP212" i="1"/>
  <c r="BZ212" i="1"/>
  <c r="IM212" i="1"/>
  <c r="GP213" i="1"/>
  <c r="GO212" i="1"/>
  <c r="BJ213" i="1"/>
  <c r="BI212" i="1"/>
  <c r="AS214" i="1"/>
  <c r="AR213" i="1"/>
  <c r="H212" i="1"/>
  <c r="N212" i="1"/>
  <c r="CA213" i="1"/>
  <c r="AT217" i="1"/>
  <c r="AB214" i="1"/>
  <c r="AA214" i="1"/>
  <c r="JE212" i="1"/>
  <c r="JF213" i="1"/>
  <c r="CR213" i="1"/>
  <c r="CQ212" i="1"/>
  <c r="JD212" i="1"/>
  <c r="HW213" i="1"/>
  <c r="HX214" i="1"/>
  <c r="IN215" i="1"/>
  <c r="IO216" i="1"/>
  <c r="FY214" i="1"/>
  <c r="FX213" i="1"/>
  <c r="FH214" i="1"/>
  <c r="FG213" i="1"/>
  <c r="EQ214" i="1"/>
  <c r="EP213" i="1"/>
  <c r="HF213" i="1"/>
  <c r="HG214" i="1"/>
  <c r="DZ214" i="1"/>
  <c r="DY213" i="1"/>
  <c r="DI215" i="1"/>
  <c r="DH214" i="1"/>
  <c r="BZ213" i="1"/>
  <c r="IM213" i="1"/>
  <c r="GP214" i="1"/>
  <c r="GO213" i="1"/>
  <c r="BJ214" i="1"/>
  <c r="BI213" i="1"/>
  <c r="AS215" i="1"/>
  <c r="AR214" i="1"/>
  <c r="H213" i="1"/>
  <c r="N213" i="1"/>
  <c r="P207" i="1"/>
  <c r="CA214" i="1"/>
  <c r="AT218" i="1"/>
  <c r="AB215" i="1"/>
  <c r="AA215" i="1"/>
  <c r="JF214" i="1"/>
  <c r="JE213" i="1"/>
  <c r="CR214" i="1"/>
  <c r="CQ213" i="1"/>
  <c r="JD213" i="1"/>
  <c r="HW214" i="1"/>
  <c r="HX215" i="1"/>
  <c r="DI216" i="1"/>
  <c r="DH215" i="1"/>
  <c r="HF214" i="1"/>
  <c r="HG215" i="1"/>
  <c r="IO217" i="1"/>
  <c r="IN216" i="1"/>
  <c r="FH215" i="1"/>
  <c r="FG214" i="1"/>
  <c r="DZ215" i="1"/>
  <c r="DY214" i="1"/>
  <c r="EQ215" i="1"/>
  <c r="EP214" i="1"/>
  <c r="FY215" i="1"/>
  <c r="FX214" i="1"/>
  <c r="BZ214" i="1"/>
  <c r="IM214" i="1"/>
  <c r="GP215" i="1"/>
  <c r="GO214" i="1"/>
  <c r="AS216" i="1"/>
  <c r="AR215" i="1"/>
  <c r="BJ215" i="1"/>
  <c r="BI214" i="1"/>
  <c r="H214" i="1"/>
  <c r="N214" i="1"/>
  <c r="CA215" i="1"/>
  <c r="AT219" i="1"/>
  <c r="AB216" i="1"/>
  <c r="AA216" i="1"/>
  <c r="JE214" i="1"/>
  <c r="JF215" i="1"/>
  <c r="CQ214" i="1"/>
  <c r="JD214" i="1"/>
  <c r="CR215" i="1"/>
  <c r="HW215" i="1"/>
  <c r="HX216" i="1"/>
  <c r="FY216" i="1"/>
  <c r="FX215" i="1"/>
  <c r="HG216" i="1"/>
  <c r="HF215" i="1"/>
  <c r="DY215" i="1"/>
  <c r="DZ216" i="1"/>
  <c r="FH216" i="1"/>
  <c r="FG215" i="1"/>
  <c r="EP215" i="1"/>
  <c r="EQ216" i="1"/>
  <c r="IN217" i="1"/>
  <c r="IO218" i="1"/>
  <c r="DI217" i="1"/>
  <c r="DH216" i="1"/>
  <c r="BZ215" i="1"/>
  <c r="IM215" i="1"/>
  <c r="GP216" i="1"/>
  <c r="GO215" i="1"/>
  <c r="BJ216" i="1"/>
  <c r="BI215" i="1"/>
  <c r="AS217" i="1"/>
  <c r="AR216" i="1"/>
  <c r="CA216" i="1"/>
  <c r="H215" i="1"/>
  <c r="N215" i="1"/>
  <c r="AT220" i="1"/>
  <c r="AB217" i="1"/>
  <c r="AA217" i="1"/>
  <c r="JF216" i="1"/>
  <c r="JE215" i="1"/>
  <c r="CR216" i="1"/>
  <c r="CQ215" i="1"/>
  <c r="JD215" i="1"/>
  <c r="HW216" i="1"/>
  <c r="HX217" i="1"/>
  <c r="FH217" i="1"/>
  <c r="FG216" i="1"/>
  <c r="DI218" i="1"/>
  <c r="DH217" i="1"/>
  <c r="HF216" i="1"/>
  <c r="HG217" i="1"/>
  <c r="IN218" i="1"/>
  <c r="IO219" i="1"/>
  <c r="DZ217" i="1"/>
  <c r="DY216" i="1"/>
  <c r="EQ217" i="1"/>
  <c r="EP216" i="1"/>
  <c r="FY217" i="1"/>
  <c r="FX216" i="1"/>
  <c r="BZ216" i="1"/>
  <c r="IM216" i="1"/>
  <c r="GP217" i="1"/>
  <c r="GO216" i="1"/>
  <c r="AS218" i="1"/>
  <c r="AR217" i="1"/>
  <c r="BJ217" i="1"/>
  <c r="BI216" i="1"/>
  <c r="H216" i="1"/>
  <c r="N216" i="1"/>
  <c r="CA217" i="1"/>
  <c r="AT221" i="1"/>
  <c r="AB218" i="1"/>
  <c r="AA218" i="1"/>
  <c r="JE216" i="1"/>
  <c r="JF217" i="1"/>
  <c r="CQ216" i="1"/>
  <c r="JD216" i="1"/>
  <c r="CR217" i="1"/>
  <c r="HW217" i="1"/>
  <c r="HX218" i="1"/>
  <c r="EQ218" i="1"/>
  <c r="EP217" i="1"/>
  <c r="IN219" i="1"/>
  <c r="IO220" i="1"/>
  <c r="FH218" i="1"/>
  <c r="FG217" i="1"/>
  <c r="FY218" i="1"/>
  <c r="FX217" i="1"/>
  <c r="HF217" i="1"/>
  <c r="HG218" i="1"/>
  <c r="DZ218" i="1"/>
  <c r="DY217" i="1"/>
  <c r="DI219" i="1"/>
  <c r="DH218" i="1"/>
  <c r="BZ217" i="1"/>
  <c r="IM217" i="1"/>
  <c r="GP218" i="1"/>
  <c r="GO217" i="1"/>
  <c r="BJ218" i="1"/>
  <c r="BI217" i="1"/>
  <c r="AS219" i="1"/>
  <c r="AR218" i="1"/>
  <c r="H217" i="1"/>
  <c r="N217" i="1"/>
  <c r="CA218" i="1"/>
  <c r="AT222" i="1"/>
  <c r="AB219" i="1"/>
  <c r="AA219" i="1"/>
  <c r="JF218" i="1"/>
  <c r="JE217" i="1"/>
  <c r="CR218" i="1"/>
  <c r="CQ217" i="1"/>
  <c r="JD217" i="1"/>
  <c r="HW218" i="1"/>
  <c r="HX219" i="1"/>
  <c r="DI220" i="1"/>
  <c r="DH219" i="1"/>
  <c r="HF218" i="1"/>
  <c r="HG219" i="1"/>
  <c r="IN220" i="1"/>
  <c r="IO221" i="1"/>
  <c r="FH219" i="1"/>
  <c r="FG218" i="1"/>
  <c r="DZ219" i="1"/>
  <c r="DY218" i="1"/>
  <c r="FY219" i="1"/>
  <c r="FX218" i="1"/>
  <c r="EQ219" i="1"/>
  <c r="EP218" i="1"/>
  <c r="BZ218" i="1"/>
  <c r="IM218" i="1"/>
  <c r="GP219" i="1"/>
  <c r="GO218" i="1"/>
  <c r="AS220" i="1"/>
  <c r="AR219" i="1"/>
  <c r="BJ219" i="1"/>
  <c r="BI218" i="1"/>
  <c r="CA219" i="1"/>
  <c r="H218" i="1"/>
  <c r="N218" i="1"/>
  <c r="AT223" i="1"/>
  <c r="AB220" i="1"/>
  <c r="AA220" i="1"/>
  <c r="JE218" i="1"/>
  <c r="JF219" i="1"/>
  <c r="CR219" i="1"/>
  <c r="CQ218" i="1"/>
  <c r="JD218" i="1"/>
  <c r="HW219" i="1"/>
  <c r="HX220" i="1"/>
  <c r="HG220" i="1"/>
  <c r="HF219" i="1"/>
  <c r="DZ220" i="1"/>
  <c r="DY219" i="1"/>
  <c r="FH220" i="1"/>
  <c r="FG219" i="1"/>
  <c r="EQ220" i="1"/>
  <c r="EP219" i="1"/>
  <c r="FY220" i="1"/>
  <c r="FX219" i="1"/>
  <c r="IN221" i="1"/>
  <c r="IO222" i="1"/>
  <c r="DI221" i="1"/>
  <c r="DH220" i="1"/>
  <c r="BZ219" i="1"/>
  <c r="IM219" i="1"/>
  <c r="GP220" i="1"/>
  <c r="GO219" i="1"/>
  <c r="BJ220" i="1"/>
  <c r="BI219" i="1"/>
  <c r="AS221" i="1"/>
  <c r="AR220" i="1"/>
  <c r="CA220" i="1"/>
  <c r="H219" i="1"/>
  <c r="N219" i="1"/>
  <c r="AT224" i="1"/>
  <c r="AB221" i="1"/>
  <c r="AA221" i="1"/>
  <c r="JF220" i="1"/>
  <c r="JE219" i="1"/>
  <c r="CR220" i="1"/>
  <c r="CQ219" i="1"/>
  <c r="JD219" i="1"/>
  <c r="HW220" i="1"/>
  <c r="HX221" i="1"/>
  <c r="FY221" i="1"/>
  <c r="FX220" i="1"/>
  <c r="FH221" i="1"/>
  <c r="FG220" i="1"/>
  <c r="DI222" i="1"/>
  <c r="DH221" i="1"/>
  <c r="IN222" i="1"/>
  <c r="IO223" i="1"/>
  <c r="HF220" i="1"/>
  <c r="HG221" i="1"/>
  <c r="EQ221" i="1"/>
  <c r="EP220" i="1"/>
  <c r="DZ221" i="1"/>
  <c r="DY220" i="1"/>
  <c r="BZ220" i="1"/>
  <c r="IM220" i="1"/>
  <c r="GP221" i="1"/>
  <c r="GO220" i="1"/>
  <c r="AS222" i="1"/>
  <c r="AR221" i="1"/>
  <c r="BJ221" i="1"/>
  <c r="BI220" i="1"/>
  <c r="H220" i="1"/>
  <c r="N220" i="1"/>
  <c r="P214" i="1"/>
  <c r="CA221" i="1"/>
  <c r="AT225" i="1"/>
  <c r="AB222" i="1"/>
  <c r="AA222" i="1"/>
  <c r="JE220" i="1"/>
  <c r="JF221" i="1"/>
  <c r="CR221" i="1"/>
  <c r="CQ220" i="1"/>
  <c r="JD220" i="1"/>
  <c r="HW221" i="1"/>
  <c r="HX222" i="1"/>
  <c r="IN223" i="1"/>
  <c r="IO224" i="1"/>
  <c r="DZ222" i="1"/>
  <c r="DY221" i="1"/>
  <c r="HF221" i="1"/>
  <c r="HG222" i="1"/>
  <c r="EQ222" i="1"/>
  <c r="EP221" i="1"/>
  <c r="FH222" i="1"/>
  <c r="FG221" i="1"/>
  <c r="DI223" i="1"/>
  <c r="DH222" i="1"/>
  <c r="FY222" i="1"/>
  <c r="FX221" i="1"/>
  <c r="BZ221" i="1"/>
  <c r="IM221" i="1"/>
  <c r="GP222" i="1"/>
  <c r="GO221" i="1"/>
  <c r="BJ222" i="1"/>
  <c r="BI221" i="1"/>
  <c r="AS223" i="1"/>
  <c r="AR222" i="1"/>
  <c r="H221" i="1"/>
  <c r="N221" i="1"/>
  <c r="CA222" i="1"/>
  <c r="AT226" i="1"/>
  <c r="AB223" i="1"/>
  <c r="AA223" i="1"/>
  <c r="JF222" i="1"/>
  <c r="JE221" i="1"/>
  <c r="CR222" i="1"/>
  <c r="CQ221" i="1"/>
  <c r="JD221" i="1"/>
  <c r="HW222" i="1"/>
  <c r="HX223" i="1"/>
  <c r="FY223" i="1"/>
  <c r="FX222" i="1"/>
  <c r="EQ223" i="1"/>
  <c r="EP222" i="1"/>
  <c r="DZ223" i="1"/>
  <c r="DY222" i="1"/>
  <c r="IN224" i="1"/>
  <c r="IO225" i="1"/>
  <c r="DI224" i="1"/>
  <c r="DH223" i="1"/>
  <c r="FH223" i="1"/>
  <c r="FG222" i="1"/>
  <c r="HF222" i="1"/>
  <c r="HG223" i="1"/>
  <c r="BZ222" i="1"/>
  <c r="IM222" i="1"/>
  <c r="GP223" i="1"/>
  <c r="GO222" i="1"/>
  <c r="AS224" i="1"/>
  <c r="AR223" i="1"/>
  <c r="BJ223" i="1"/>
  <c r="BI222" i="1"/>
  <c r="H222" i="1"/>
  <c r="N222" i="1"/>
  <c r="CA223" i="1"/>
  <c r="AT227" i="1"/>
  <c r="AB224" i="1"/>
  <c r="AA224" i="1"/>
  <c r="JE222" i="1"/>
  <c r="JF223" i="1"/>
  <c r="CR223" i="1"/>
  <c r="CQ222" i="1"/>
  <c r="JD222" i="1"/>
  <c r="HW223" i="1"/>
  <c r="HX224" i="1"/>
  <c r="FH224" i="1"/>
  <c r="FG223" i="1"/>
  <c r="HG224" i="1"/>
  <c r="HF223" i="1"/>
  <c r="DZ224" i="1"/>
  <c r="DY223" i="1"/>
  <c r="DI225" i="1"/>
  <c r="DH224" i="1"/>
  <c r="IN225" i="1"/>
  <c r="IO226" i="1"/>
  <c r="EQ224" i="1"/>
  <c r="EP223" i="1"/>
  <c r="FY224" i="1"/>
  <c r="FX223" i="1"/>
  <c r="BZ223" i="1"/>
  <c r="IM223" i="1"/>
  <c r="GP224" i="1"/>
  <c r="GO223" i="1"/>
  <c r="BJ224" i="1"/>
  <c r="BI223" i="1"/>
  <c r="AS225" i="1"/>
  <c r="AR224" i="1"/>
  <c r="CA224" i="1"/>
  <c r="H223" i="1"/>
  <c r="N223" i="1"/>
  <c r="AT228" i="1"/>
  <c r="AB225" i="1"/>
  <c r="AA225" i="1"/>
  <c r="JF224" i="1"/>
  <c r="JE223" i="1"/>
  <c r="CR224" i="1"/>
  <c r="CQ223" i="1"/>
  <c r="JD223" i="1"/>
  <c r="HW224" i="1"/>
  <c r="HX225" i="1"/>
  <c r="EQ225" i="1"/>
  <c r="EP224" i="1"/>
  <c r="IO227" i="1"/>
  <c r="IN226" i="1"/>
  <c r="HF224" i="1"/>
  <c r="HG225" i="1"/>
  <c r="FY225" i="1"/>
  <c r="FX224" i="1"/>
  <c r="DI226" i="1"/>
  <c r="DH225" i="1"/>
  <c r="DZ225" i="1"/>
  <c r="DY224" i="1"/>
  <c r="FH225" i="1"/>
  <c r="FG224" i="1"/>
  <c r="BZ224" i="1"/>
  <c r="IM224" i="1"/>
  <c r="GP225" i="1"/>
  <c r="GO224" i="1"/>
  <c r="AS226" i="1"/>
  <c r="AR225" i="1"/>
  <c r="BJ225" i="1"/>
  <c r="BI224" i="1"/>
  <c r="H224" i="1"/>
  <c r="N224" i="1"/>
  <c r="CA225" i="1"/>
  <c r="AT229" i="1"/>
  <c r="AB226" i="1"/>
  <c r="AA226" i="1"/>
  <c r="JE224" i="1"/>
  <c r="JF225" i="1"/>
  <c r="CR225" i="1"/>
  <c r="CQ224" i="1"/>
  <c r="JD224" i="1"/>
  <c r="HW225" i="1"/>
  <c r="HX226" i="1"/>
  <c r="DY225" i="1"/>
  <c r="DZ226" i="1"/>
  <c r="FY226" i="1"/>
  <c r="FX225" i="1"/>
  <c r="IN227" i="1"/>
  <c r="IO228" i="1"/>
  <c r="FH226" i="1"/>
  <c r="FG225" i="1"/>
  <c r="HF225" i="1"/>
  <c r="HG226" i="1"/>
  <c r="DI227" i="1"/>
  <c r="DH226" i="1"/>
  <c r="EP225" i="1"/>
  <c r="EQ226" i="1"/>
  <c r="BZ225" i="1"/>
  <c r="IM225" i="1"/>
  <c r="GP226" i="1"/>
  <c r="GO225" i="1"/>
  <c r="BJ226" i="1"/>
  <c r="BI225" i="1"/>
  <c r="AS227" i="1"/>
  <c r="AR226" i="1"/>
  <c r="H225" i="1"/>
  <c r="N225" i="1"/>
  <c r="CA226" i="1"/>
  <c r="AT230" i="1"/>
  <c r="AB227" i="1"/>
  <c r="AA227" i="1"/>
  <c r="JF226" i="1"/>
  <c r="JE225" i="1"/>
  <c r="CQ225" i="1"/>
  <c r="JD225" i="1"/>
  <c r="CR226" i="1"/>
  <c r="HW226" i="1"/>
  <c r="HX227" i="1"/>
  <c r="EP226" i="1"/>
  <c r="EQ227" i="1"/>
  <c r="FY227" i="1"/>
  <c r="FX226" i="1"/>
  <c r="DI228" i="1"/>
  <c r="DH227" i="1"/>
  <c r="IN228" i="1"/>
  <c r="IO229" i="1"/>
  <c r="HF226" i="1"/>
  <c r="HG227" i="1"/>
  <c r="FH227" i="1"/>
  <c r="FG226" i="1"/>
  <c r="DY226" i="1"/>
  <c r="DZ227" i="1"/>
  <c r="BZ226" i="1"/>
  <c r="IM226" i="1"/>
  <c r="GP227" i="1"/>
  <c r="GO226" i="1"/>
  <c r="AS228" i="1"/>
  <c r="AR227" i="1"/>
  <c r="BJ227" i="1"/>
  <c r="BI226" i="1"/>
  <c r="H226" i="1"/>
  <c r="N226" i="1"/>
  <c r="CA227" i="1"/>
  <c r="AT231" i="1"/>
  <c r="AB228" i="1"/>
  <c r="AA228" i="1"/>
  <c r="JE226" i="1"/>
  <c r="JF227" i="1"/>
  <c r="CQ226" i="1"/>
  <c r="JD226" i="1"/>
  <c r="CR227" i="1"/>
  <c r="HW227" i="1"/>
  <c r="HX228" i="1"/>
  <c r="DZ228" i="1"/>
  <c r="DY227" i="1"/>
  <c r="HG228" i="1"/>
  <c r="HF227" i="1"/>
  <c r="IN229" i="1"/>
  <c r="IO230" i="1"/>
  <c r="FY228" i="1"/>
  <c r="FX227" i="1"/>
  <c r="EQ228" i="1"/>
  <c r="EP227" i="1"/>
  <c r="FH228" i="1"/>
  <c r="FG227" i="1"/>
  <c r="DI229" i="1"/>
  <c r="DH228" i="1"/>
  <c r="BZ227" i="1"/>
  <c r="IM227" i="1"/>
  <c r="GP228" i="1"/>
  <c r="GO227" i="1"/>
  <c r="BJ228" i="1"/>
  <c r="BI227" i="1"/>
  <c r="AS229" i="1"/>
  <c r="AR228" i="1"/>
  <c r="CA228" i="1"/>
  <c r="H227" i="1"/>
  <c r="N227" i="1"/>
  <c r="P221" i="1"/>
  <c r="AT232" i="1"/>
  <c r="AB229" i="1"/>
  <c r="AA229" i="1"/>
  <c r="JF228" i="1"/>
  <c r="JE227" i="1"/>
  <c r="CQ227" i="1"/>
  <c r="JD227" i="1"/>
  <c r="CR228" i="1"/>
  <c r="HW228" i="1"/>
  <c r="HX229" i="1"/>
  <c r="HF228" i="1"/>
  <c r="HG229" i="1"/>
  <c r="DI230" i="1"/>
  <c r="DH229" i="1"/>
  <c r="EQ229" i="1"/>
  <c r="EP228" i="1"/>
  <c r="IO231" i="1"/>
  <c r="IN230" i="1"/>
  <c r="FY229" i="1"/>
  <c r="FX228" i="1"/>
  <c r="FH229" i="1"/>
  <c r="FG228" i="1"/>
  <c r="DZ229" i="1"/>
  <c r="DY228" i="1"/>
  <c r="BZ228" i="1"/>
  <c r="IM228" i="1"/>
  <c r="GP229" i="1"/>
  <c r="GO228" i="1"/>
  <c r="AS230" i="1"/>
  <c r="AR229" i="1"/>
  <c r="BJ229" i="1"/>
  <c r="BI228" i="1"/>
  <c r="H228" i="1"/>
  <c r="N228" i="1"/>
  <c r="CA229" i="1"/>
  <c r="AT233" i="1"/>
  <c r="AB230" i="1"/>
  <c r="AA230" i="1"/>
  <c r="JE228" i="1"/>
  <c r="JF229" i="1"/>
  <c r="CR229" i="1"/>
  <c r="CQ228" i="1"/>
  <c r="JD228" i="1"/>
  <c r="HW229" i="1"/>
  <c r="HX230" i="1"/>
  <c r="FH230" i="1"/>
  <c r="FG229" i="1"/>
  <c r="IN231" i="1"/>
  <c r="IO232" i="1"/>
  <c r="DI231" i="1"/>
  <c r="DH230" i="1"/>
  <c r="HF229" i="1"/>
  <c r="HG230" i="1"/>
  <c r="DY229" i="1"/>
  <c r="DZ230" i="1"/>
  <c r="FY230" i="1"/>
  <c r="FX229" i="1"/>
  <c r="EP229" i="1"/>
  <c r="EQ230" i="1"/>
  <c r="BZ229" i="1"/>
  <c r="IM229" i="1"/>
  <c r="GP230" i="1"/>
  <c r="GO229" i="1"/>
  <c r="BJ230" i="1"/>
  <c r="BI229" i="1"/>
  <c r="AS231" i="1"/>
  <c r="AR230" i="1"/>
  <c r="H229" i="1"/>
  <c r="N229" i="1"/>
  <c r="CA230" i="1"/>
  <c r="AT234" i="1"/>
  <c r="AB231" i="1"/>
  <c r="AA231" i="1"/>
  <c r="JF230" i="1"/>
  <c r="JE229" i="1"/>
  <c r="CR230" i="1"/>
  <c r="CQ229" i="1"/>
  <c r="JD229" i="1"/>
  <c r="HW230" i="1"/>
  <c r="HX231" i="1"/>
  <c r="DZ231" i="1"/>
  <c r="DY230" i="1"/>
  <c r="IO233" i="1"/>
  <c r="IN232" i="1"/>
  <c r="FY231" i="1"/>
  <c r="FX230" i="1"/>
  <c r="HF230" i="1"/>
  <c r="HG231" i="1"/>
  <c r="EQ231" i="1"/>
  <c r="EP230" i="1"/>
  <c r="DI232" i="1"/>
  <c r="DH231" i="1"/>
  <c r="FH231" i="1"/>
  <c r="FG230" i="1"/>
  <c r="BZ230" i="1"/>
  <c r="IM230" i="1"/>
  <c r="GP231" i="1"/>
  <c r="GO230" i="1"/>
  <c r="AS232" i="1"/>
  <c r="AR231" i="1"/>
  <c r="BJ231" i="1"/>
  <c r="BI230" i="1"/>
  <c r="H230" i="1"/>
  <c r="N230" i="1"/>
  <c r="CA231" i="1"/>
  <c r="AT235" i="1"/>
  <c r="AB232" i="1"/>
  <c r="AA232" i="1"/>
  <c r="JE230" i="1"/>
  <c r="JF231" i="1"/>
  <c r="CQ230" i="1"/>
  <c r="JD230" i="1"/>
  <c r="CR231" i="1"/>
  <c r="HW231" i="1"/>
  <c r="HX232" i="1"/>
  <c r="DI233" i="1"/>
  <c r="DH232" i="1"/>
  <c r="FH232" i="1"/>
  <c r="FG231" i="1"/>
  <c r="EP231" i="1"/>
  <c r="EQ232" i="1"/>
  <c r="FY232" i="1"/>
  <c r="FX231" i="1"/>
  <c r="IN233" i="1"/>
  <c r="IO234" i="1"/>
  <c r="HG232" i="1"/>
  <c r="HF231" i="1"/>
  <c r="DY231" i="1"/>
  <c r="DZ232" i="1"/>
  <c r="BZ231" i="1"/>
  <c r="IM231" i="1"/>
  <c r="GP232" i="1"/>
  <c r="GO231" i="1"/>
  <c r="BJ232" i="1"/>
  <c r="BI231" i="1"/>
  <c r="AS233" i="1"/>
  <c r="AR232" i="1"/>
  <c r="CA232" i="1"/>
  <c r="H231" i="1"/>
  <c r="N231" i="1"/>
  <c r="AT236" i="1"/>
  <c r="AB233" i="1"/>
  <c r="AA233" i="1"/>
  <c r="JF232" i="1"/>
  <c r="JE231" i="1"/>
  <c r="CR232" i="1"/>
  <c r="CQ231" i="1"/>
  <c r="JD231" i="1"/>
  <c r="HW232" i="1"/>
  <c r="HX233" i="1"/>
  <c r="HF232" i="1"/>
  <c r="HG233" i="1"/>
  <c r="FY233" i="1"/>
  <c r="FX232" i="1"/>
  <c r="FH233" i="1"/>
  <c r="FG232" i="1"/>
  <c r="DZ233" i="1"/>
  <c r="DY232" i="1"/>
  <c r="IN234" i="1"/>
  <c r="IO235" i="1"/>
  <c r="EQ233" i="1"/>
  <c r="EP232" i="1"/>
  <c r="DI234" i="1"/>
  <c r="DH233" i="1"/>
  <c r="BZ232" i="1"/>
  <c r="IM232" i="1"/>
  <c r="GP233" i="1"/>
  <c r="GO232" i="1"/>
  <c r="AS234" i="1"/>
  <c r="AR233" i="1"/>
  <c r="BJ233" i="1"/>
  <c r="BI232" i="1"/>
  <c r="H232" i="1"/>
  <c r="N232" i="1"/>
  <c r="CA233" i="1"/>
  <c r="AT237" i="1"/>
  <c r="AB234" i="1"/>
  <c r="AA234" i="1"/>
  <c r="JE232" i="1"/>
  <c r="JF233" i="1"/>
  <c r="CQ232" i="1"/>
  <c r="JD232" i="1"/>
  <c r="CR233" i="1"/>
  <c r="HW233" i="1"/>
  <c r="HX234" i="1"/>
  <c r="HF233" i="1"/>
  <c r="HG234" i="1"/>
  <c r="DI235" i="1"/>
  <c r="DH234" i="1"/>
  <c r="FH234" i="1"/>
  <c r="FG233" i="1"/>
  <c r="EP233" i="1"/>
  <c r="EQ234" i="1"/>
  <c r="IN235" i="1"/>
  <c r="IO236" i="1"/>
  <c r="DY233" i="1"/>
  <c r="DZ234" i="1"/>
  <c r="FY234" i="1"/>
  <c r="FX233" i="1"/>
  <c r="BZ233" i="1"/>
  <c r="IM233" i="1"/>
  <c r="GP234" i="1"/>
  <c r="GO233" i="1"/>
  <c r="AS235" i="1"/>
  <c r="AR234" i="1"/>
  <c r="BJ234" i="1"/>
  <c r="BI233" i="1"/>
  <c r="CA234" i="1"/>
  <c r="H233" i="1"/>
  <c r="N233" i="1"/>
  <c r="AT238" i="1"/>
  <c r="AB235" i="1"/>
  <c r="AA235" i="1"/>
  <c r="JF234" i="1"/>
  <c r="JE233" i="1"/>
  <c r="CR234" i="1"/>
  <c r="CQ233" i="1"/>
  <c r="JD233" i="1"/>
  <c r="HW234" i="1"/>
  <c r="HX235" i="1"/>
  <c r="FY235" i="1"/>
  <c r="FX234" i="1"/>
  <c r="IO237" i="1"/>
  <c r="IN236" i="1"/>
  <c r="HF234" i="1"/>
  <c r="HG235" i="1"/>
  <c r="FH235" i="1"/>
  <c r="FG234" i="1"/>
  <c r="DY234" i="1"/>
  <c r="DZ235" i="1"/>
  <c r="EP234" i="1"/>
  <c r="EQ235" i="1"/>
  <c r="DI236" i="1"/>
  <c r="DH235" i="1"/>
  <c r="BZ234" i="1"/>
  <c r="IM234" i="1"/>
  <c r="GP235" i="1"/>
  <c r="GO234" i="1"/>
  <c r="BJ235" i="1"/>
  <c r="BI234" i="1"/>
  <c r="AS236" i="1"/>
  <c r="AR235" i="1"/>
  <c r="H234" i="1"/>
  <c r="N234" i="1"/>
  <c r="P228" i="1"/>
  <c r="CA235" i="1"/>
  <c r="AT239" i="1"/>
  <c r="AB236" i="1"/>
  <c r="AA236" i="1"/>
  <c r="JE234" i="1"/>
  <c r="JF235" i="1"/>
  <c r="CR235" i="1"/>
  <c r="CQ234" i="1"/>
  <c r="JD234" i="1"/>
  <c r="HW235" i="1"/>
  <c r="HX236" i="1"/>
  <c r="DZ236" i="1"/>
  <c r="DY235" i="1"/>
  <c r="DI237" i="1"/>
  <c r="DH236" i="1"/>
  <c r="EQ236" i="1"/>
  <c r="EP235" i="1"/>
  <c r="IN237" i="1"/>
  <c r="IO238" i="1"/>
  <c r="HG236" i="1"/>
  <c r="HF235" i="1"/>
  <c r="FH236" i="1"/>
  <c r="FG235" i="1"/>
  <c r="FY236" i="1"/>
  <c r="FX235" i="1"/>
  <c r="BZ235" i="1"/>
  <c r="IM235" i="1"/>
  <c r="GP236" i="1"/>
  <c r="GO235" i="1"/>
  <c r="AS237" i="1"/>
  <c r="AR236" i="1"/>
  <c r="BJ236" i="1"/>
  <c r="BI235" i="1"/>
  <c r="CA236" i="1"/>
  <c r="H235" i="1"/>
  <c r="N235" i="1"/>
  <c r="AT240" i="1"/>
  <c r="AB237" i="1"/>
  <c r="AA237" i="1"/>
  <c r="JE235" i="1"/>
  <c r="JF236" i="1"/>
  <c r="CQ235" i="1"/>
  <c r="JD235" i="1"/>
  <c r="CR236" i="1"/>
  <c r="HW236" i="1"/>
  <c r="HX237" i="1"/>
  <c r="FH237" i="1"/>
  <c r="FG236" i="1"/>
  <c r="EQ237" i="1"/>
  <c r="EP236" i="1"/>
  <c r="IO239" i="1"/>
  <c r="IN238" i="1"/>
  <c r="FY237" i="1"/>
  <c r="FX236" i="1"/>
  <c r="HF236" i="1"/>
  <c r="HG237" i="1"/>
  <c r="DI238" i="1"/>
  <c r="DH237" i="1"/>
  <c r="DZ237" i="1"/>
  <c r="DY236" i="1"/>
  <c r="BZ236" i="1"/>
  <c r="IM236" i="1"/>
  <c r="GP237" i="1"/>
  <c r="GO236" i="1"/>
  <c r="AS238" i="1"/>
  <c r="AR237" i="1"/>
  <c r="BJ237" i="1"/>
  <c r="BI236" i="1"/>
  <c r="H236" i="1"/>
  <c r="N236" i="1"/>
  <c r="CA237" i="1"/>
  <c r="AT241" i="1"/>
  <c r="AB238" i="1"/>
  <c r="AA238" i="1"/>
  <c r="JE236" i="1"/>
  <c r="JF237" i="1"/>
  <c r="CR237" i="1"/>
  <c r="CQ236" i="1"/>
  <c r="JD236" i="1"/>
  <c r="HW237" i="1"/>
  <c r="HX238" i="1"/>
  <c r="DI239" i="1"/>
  <c r="DH238" i="1"/>
  <c r="FY238" i="1"/>
  <c r="FX237" i="1"/>
  <c r="HF237" i="1"/>
  <c r="HG238" i="1"/>
  <c r="DY237" i="1"/>
  <c r="DZ238" i="1"/>
  <c r="IN239" i="1"/>
  <c r="IO240" i="1"/>
  <c r="EP237" i="1"/>
  <c r="EQ238" i="1"/>
  <c r="FH238" i="1"/>
  <c r="FG237" i="1"/>
  <c r="BZ237" i="1"/>
  <c r="IM237" i="1"/>
  <c r="GP238" i="1"/>
  <c r="GO237" i="1"/>
  <c r="BJ238" i="1"/>
  <c r="BI237" i="1"/>
  <c r="AS239" i="1"/>
  <c r="AR238" i="1"/>
  <c r="CA238" i="1"/>
  <c r="H237" i="1"/>
  <c r="N237" i="1"/>
  <c r="AT242" i="1"/>
  <c r="AB239" i="1"/>
  <c r="AA239" i="1"/>
  <c r="JE237" i="1"/>
  <c r="JF238" i="1"/>
  <c r="CR238" i="1"/>
  <c r="CQ237" i="1"/>
  <c r="JD237" i="1"/>
  <c r="HW238" i="1"/>
  <c r="HX239" i="1"/>
  <c r="IN240" i="1"/>
  <c r="IO241" i="1"/>
  <c r="FH239" i="1"/>
  <c r="FG238" i="1"/>
  <c r="FY239" i="1"/>
  <c r="FX238" i="1"/>
  <c r="EQ239" i="1"/>
  <c r="EP238" i="1"/>
  <c r="HF238" i="1"/>
  <c r="HG239" i="1"/>
  <c r="DZ239" i="1"/>
  <c r="DY238" i="1"/>
  <c r="DI240" i="1"/>
  <c r="DH239" i="1"/>
  <c r="BZ238" i="1"/>
  <c r="IM238" i="1"/>
  <c r="GP239" i="1"/>
  <c r="GO238" i="1"/>
  <c r="AS240" i="1"/>
  <c r="AR239" i="1"/>
  <c r="BJ239" i="1"/>
  <c r="BI238" i="1"/>
  <c r="H238" i="1"/>
  <c r="N238" i="1"/>
  <c r="CA239" i="1"/>
  <c r="AT243" i="1"/>
  <c r="AB240" i="1"/>
  <c r="AA240" i="1"/>
  <c r="JE238" i="1"/>
  <c r="JF239" i="1"/>
  <c r="CQ238" i="1"/>
  <c r="JD238" i="1"/>
  <c r="CR239" i="1"/>
  <c r="HW239" i="1"/>
  <c r="HX240" i="1"/>
  <c r="HG240" i="1"/>
  <c r="HF239" i="1"/>
  <c r="DZ240" i="1"/>
  <c r="DY239" i="1"/>
  <c r="FY240" i="1"/>
  <c r="FX239" i="1"/>
  <c r="DI241" i="1"/>
  <c r="DH240" i="1"/>
  <c r="IN241" i="1"/>
  <c r="IO242" i="1"/>
  <c r="EQ240" i="1"/>
  <c r="EP239" i="1"/>
  <c r="FH240" i="1"/>
  <c r="FG239" i="1"/>
  <c r="BZ239" i="1"/>
  <c r="IM239" i="1"/>
  <c r="GP240" i="1"/>
  <c r="GO239" i="1"/>
  <c r="BJ240" i="1"/>
  <c r="BI239" i="1"/>
  <c r="AS241" i="1"/>
  <c r="AR240" i="1"/>
  <c r="CA240" i="1"/>
  <c r="H239" i="1"/>
  <c r="N239" i="1"/>
  <c r="AT244" i="1"/>
  <c r="AB241" i="1"/>
  <c r="AA241" i="1"/>
  <c r="JE239" i="1"/>
  <c r="JF240" i="1"/>
  <c r="CQ239" i="1"/>
  <c r="JD239" i="1"/>
  <c r="CR240" i="1"/>
  <c r="HW240" i="1"/>
  <c r="HX241" i="1"/>
  <c r="EQ241" i="1"/>
  <c r="EP240" i="1"/>
  <c r="DZ241" i="1"/>
  <c r="DY240" i="1"/>
  <c r="FH241" i="1"/>
  <c r="FG240" i="1"/>
  <c r="DI242" i="1"/>
  <c r="DH241" i="1"/>
  <c r="FY241" i="1"/>
  <c r="FX240" i="1"/>
  <c r="IN242" i="1"/>
  <c r="IO243" i="1"/>
  <c r="HF240" i="1"/>
  <c r="HG241" i="1"/>
  <c r="BZ240" i="1"/>
  <c r="IM240" i="1"/>
  <c r="GP241" i="1"/>
  <c r="GO240" i="1"/>
  <c r="AS242" i="1"/>
  <c r="AR241" i="1"/>
  <c r="BJ241" i="1"/>
  <c r="BI240" i="1"/>
  <c r="H240" i="1"/>
  <c r="N240" i="1"/>
  <c r="CA241" i="1"/>
  <c r="AT245" i="1"/>
  <c r="AB242" i="1"/>
  <c r="AA242" i="1"/>
  <c r="JE240" i="1"/>
  <c r="JF241" i="1"/>
  <c r="CQ240" i="1"/>
  <c r="JD240" i="1"/>
  <c r="CR241" i="1"/>
  <c r="HW241" i="1"/>
  <c r="HX242" i="1"/>
  <c r="DI243" i="1"/>
  <c r="DH242" i="1"/>
  <c r="FH242" i="1"/>
  <c r="FG241" i="1"/>
  <c r="HF241" i="1"/>
  <c r="HG242" i="1"/>
  <c r="FY242" i="1"/>
  <c r="FX241" i="1"/>
  <c r="IO244" i="1"/>
  <c r="IN243" i="1"/>
  <c r="DZ242" i="1"/>
  <c r="DY241" i="1"/>
  <c r="EQ242" i="1"/>
  <c r="EP241" i="1"/>
  <c r="BZ241" i="1"/>
  <c r="IM241" i="1"/>
  <c r="GP242" i="1"/>
  <c r="GO241" i="1"/>
  <c r="BJ242" i="1"/>
  <c r="BI241" i="1"/>
  <c r="AS243" i="1"/>
  <c r="AR242" i="1"/>
  <c r="CA242" i="1"/>
  <c r="H241" i="1"/>
  <c r="N241" i="1"/>
  <c r="P235" i="1"/>
  <c r="AT246" i="1"/>
  <c r="AB243" i="1"/>
  <c r="AA243" i="1"/>
  <c r="JE241" i="1"/>
  <c r="JF242" i="1"/>
  <c r="CR242" i="1"/>
  <c r="CQ241" i="1"/>
  <c r="JD241" i="1"/>
  <c r="HW242" i="1"/>
  <c r="HX243" i="1"/>
  <c r="DY242" i="1"/>
  <c r="DZ243" i="1"/>
  <c r="FH243" i="1"/>
  <c r="FG242" i="1"/>
  <c r="EP242" i="1"/>
  <c r="EQ243" i="1"/>
  <c r="HF242" i="1"/>
  <c r="HG243" i="1"/>
  <c r="IN244" i="1"/>
  <c r="IO245" i="1"/>
  <c r="FY243" i="1"/>
  <c r="FX242" i="1"/>
  <c r="DI244" i="1"/>
  <c r="DH243" i="1"/>
  <c r="BZ242" i="1"/>
  <c r="IM242" i="1"/>
  <c r="GP243" i="1"/>
  <c r="GO242" i="1"/>
  <c r="AS244" i="1"/>
  <c r="AR243" i="1"/>
  <c r="BJ243" i="1"/>
  <c r="BI242" i="1"/>
  <c r="H242" i="1"/>
  <c r="N242" i="1"/>
  <c r="CA243" i="1"/>
  <c r="AT247" i="1"/>
  <c r="AB244" i="1"/>
  <c r="AA244" i="1"/>
  <c r="JF243" i="1"/>
  <c r="JE242" i="1"/>
  <c r="CR243" i="1"/>
  <c r="CQ242" i="1"/>
  <c r="JD242" i="1"/>
  <c r="HW243" i="1"/>
  <c r="HX244" i="1"/>
  <c r="IO246" i="1"/>
  <c r="IN245" i="1"/>
  <c r="FH244" i="1"/>
  <c r="FG243" i="1"/>
  <c r="DI245" i="1"/>
  <c r="DH244" i="1"/>
  <c r="EQ244" i="1"/>
  <c r="EP243" i="1"/>
  <c r="DY243" i="1"/>
  <c r="DZ244" i="1"/>
  <c r="FY244" i="1"/>
  <c r="FX243" i="1"/>
  <c r="HG244" i="1"/>
  <c r="HF243" i="1"/>
  <c r="BZ243" i="1"/>
  <c r="IM243" i="1"/>
  <c r="GP244" i="1"/>
  <c r="GO243" i="1"/>
  <c r="BJ244" i="1"/>
  <c r="BI243" i="1"/>
  <c r="AS245" i="1"/>
  <c r="AR244" i="1"/>
  <c r="CA244" i="1"/>
  <c r="H243" i="1"/>
  <c r="N243" i="1"/>
  <c r="AT248" i="1"/>
  <c r="AB245" i="1"/>
  <c r="AA245" i="1"/>
  <c r="JE243" i="1"/>
  <c r="JF244" i="1"/>
  <c r="CR244" i="1"/>
  <c r="CQ243" i="1"/>
  <c r="JD243" i="1"/>
  <c r="HW244" i="1"/>
  <c r="HX245" i="1"/>
  <c r="HF244" i="1"/>
  <c r="HG245" i="1"/>
  <c r="DY244" i="1"/>
  <c r="DZ245" i="1"/>
  <c r="EP244" i="1"/>
  <c r="EQ245" i="1"/>
  <c r="FH245" i="1"/>
  <c r="FG244" i="1"/>
  <c r="FY245" i="1"/>
  <c r="FX244" i="1"/>
  <c r="DI246" i="1"/>
  <c r="DH245" i="1"/>
  <c r="IN246" i="1"/>
  <c r="IO247" i="1"/>
  <c r="BZ244" i="1"/>
  <c r="IM244" i="1"/>
  <c r="GP245" i="1"/>
  <c r="GO244" i="1"/>
  <c r="BJ245" i="1"/>
  <c r="BI244" i="1"/>
  <c r="AS246" i="1"/>
  <c r="AR245" i="1"/>
  <c r="H244" i="1"/>
  <c r="N244" i="1"/>
  <c r="CA245" i="1"/>
  <c r="AT249" i="1"/>
  <c r="AB246" i="1"/>
  <c r="AA246" i="1"/>
  <c r="JE244" i="1"/>
  <c r="JF245" i="1"/>
  <c r="CR245" i="1"/>
  <c r="CQ244" i="1"/>
  <c r="JD244" i="1"/>
  <c r="HW245" i="1"/>
  <c r="HX246" i="1"/>
  <c r="IO248" i="1"/>
  <c r="IN247" i="1"/>
  <c r="FY246" i="1"/>
  <c r="FX245" i="1"/>
  <c r="FH246" i="1"/>
  <c r="FG245" i="1"/>
  <c r="DZ246" i="1"/>
  <c r="DY245" i="1"/>
  <c r="EQ246" i="1"/>
  <c r="EP245" i="1"/>
  <c r="HF245" i="1"/>
  <c r="HG246" i="1"/>
  <c r="DI247" i="1"/>
  <c r="DH246" i="1"/>
  <c r="BZ245" i="1"/>
  <c r="IM245" i="1"/>
  <c r="GP246" i="1"/>
  <c r="GO245" i="1"/>
  <c r="AS247" i="1"/>
  <c r="AR246" i="1"/>
  <c r="BJ246" i="1"/>
  <c r="BI245" i="1"/>
  <c r="CA246" i="1"/>
  <c r="H245" i="1"/>
  <c r="N245" i="1"/>
  <c r="AT250" i="1"/>
  <c r="AB247" i="1"/>
  <c r="AA247" i="1"/>
  <c r="JE245" i="1"/>
  <c r="JF246" i="1"/>
  <c r="CQ245" i="1"/>
  <c r="JD245" i="1"/>
  <c r="CR246" i="1"/>
  <c r="HW246" i="1"/>
  <c r="HX247" i="1"/>
  <c r="FH247" i="1"/>
  <c r="FG246" i="1"/>
  <c r="DI248" i="1"/>
  <c r="DH247" i="1"/>
  <c r="EP246" i="1"/>
  <c r="EQ247" i="1"/>
  <c r="HF246" i="1"/>
  <c r="HG247" i="1"/>
  <c r="DY246" i="1"/>
  <c r="DZ247" i="1"/>
  <c r="FY247" i="1"/>
  <c r="FX246" i="1"/>
  <c r="IO249" i="1"/>
  <c r="IN248" i="1"/>
  <c r="BZ246" i="1"/>
  <c r="IM246" i="1"/>
  <c r="GP247" i="1"/>
  <c r="GO246" i="1"/>
  <c r="BJ247" i="1"/>
  <c r="BI246" i="1"/>
  <c r="AS248" i="1"/>
  <c r="AR247" i="1"/>
  <c r="H246" i="1"/>
  <c r="N246" i="1"/>
  <c r="CA247" i="1"/>
  <c r="AT251" i="1"/>
  <c r="AB248" i="1"/>
  <c r="AA248" i="1"/>
  <c r="JF247" i="1"/>
  <c r="JE246" i="1"/>
  <c r="CQ246" i="1"/>
  <c r="JD246" i="1"/>
  <c r="CR247" i="1"/>
  <c r="HW247" i="1"/>
  <c r="HX248" i="1"/>
  <c r="FX247" i="1"/>
  <c r="FY248" i="1"/>
  <c r="EP247" i="1"/>
  <c r="EQ248" i="1"/>
  <c r="IN249" i="1"/>
  <c r="IO250" i="1"/>
  <c r="DY247" i="1"/>
  <c r="DZ248" i="1"/>
  <c r="HG248" i="1"/>
  <c r="HF247" i="1"/>
  <c r="DI249" i="1"/>
  <c r="DH248" i="1"/>
  <c r="FH248" i="1"/>
  <c r="FG247" i="1"/>
  <c r="BZ247" i="1"/>
  <c r="IM247" i="1"/>
  <c r="GP248" i="1"/>
  <c r="GO247" i="1"/>
  <c r="AS249" i="1"/>
  <c r="AR248" i="1"/>
  <c r="BJ248" i="1"/>
  <c r="BI247" i="1"/>
  <c r="CA248" i="1"/>
  <c r="H247" i="1"/>
  <c r="N247" i="1"/>
  <c r="AT252" i="1"/>
  <c r="AB249" i="1"/>
  <c r="AA249" i="1"/>
  <c r="JE247" i="1"/>
  <c r="JF248" i="1"/>
  <c r="CQ247" i="1"/>
  <c r="JD247" i="1"/>
  <c r="CR248" i="1"/>
  <c r="HW248" i="1"/>
  <c r="HX249" i="1"/>
  <c r="DY248" i="1"/>
  <c r="DZ249" i="1"/>
  <c r="FH249" i="1"/>
  <c r="FG248" i="1"/>
  <c r="HF248" i="1"/>
  <c r="HG249" i="1"/>
  <c r="IN250" i="1"/>
  <c r="IO251" i="1"/>
  <c r="EQ249" i="1"/>
  <c r="EP248" i="1"/>
  <c r="FY249" i="1"/>
  <c r="FX248" i="1"/>
  <c r="DI250" i="1"/>
  <c r="DH249" i="1"/>
  <c r="BZ248" i="1"/>
  <c r="IM248" i="1"/>
  <c r="GP249" i="1"/>
  <c r="GO248" i="1"/>
  <c r="BJ249" i="1"/>
  <c r="BI248" i="1"/>
  <c r="AS250" i="1"/>
  <c r="AR249" i="1"/>
  <c r="H248" i="1"/>
  <c r="N248" i="1"/>
  <c r="P242" i="1"/>
  <c r="CA249" i="1"/>
  <c r="AT253" i="1"/>
  <c r="AB250" i="1"/>
  <c r="AA250" i="1"/>
  <c r="JE248" i="1"/>
  <c r="JF249" i="1"/>
  <c r="CQ248" i="1"/>
  <c r="JD248" i="1"/>
  <c r="CR249" i="1"/>
  <c r="HW249" i="1"/>
  <c r="HX250" i="1"/>
  <c r="FY250" i="1"/>
  <c r="FX249" i="1"/>
  <c r="FH250" i="1"/>
  <c r="FG249" i="1"/>
  <c r="HF249" i="1"/>
  <c r="HG250" i="1"/>
  <c r="DI251" i="1"/>
  <c r="DH250" i="1"/>
  <c r="EQ250" i="1"/>
  <c r="EP249" i="1"/>
  <c r="DZ250" i="1"/>
  <c r="DY249" i="1"/>
  <c r="IN251" i="1"/>
  <c r="IO252" i="1"/>
  <c r="BZ249" i="1"/>
  <c r="IM249" i="1"/>
  <c r="GP250" i="1"/>
  <c r="GO249" i="1"/>
  <c r="BJ250" i="1"/>
  <c r="BI249" i="1"/>
  <c r="AS251" i="1"/>
  <c r="AR250" i="1"/>
  <c r="CA250" i="1"/>
  <c r="H249" i="1"/>
  <c r="N249" i="1"/>
  <c r="AT254" i="1"/>
  <c r="AB251" i="1"/>
  <c r="AA251" i="1"/>
  <c r="JE249" i="1"/>
  <c r="JF250" i="1"/>
  <c r="CQ249" i="1"/>
  <c r="JD249" i="1"/>
  <c r="CR250" i="1"/>
  <c r="HW250" i="1"/>
  <c r="HX251" i="1"/>
  <c r="HF250" i="1"/>
  <c r="HG251" i="1"/>
  <c r="IN252" i="1"/>
  <c r="IO253" i="1"/>
  <c r="DY250" i="1"/>
  <c r="DZ251" i="1"/>
  <c r="EQ251" i="1"/>
  <c r="EP250" i="1"/>
  <c r="FH251" i="1"/>
  <c r="FG250" i="1"/>
  <c r="DI252" i="1"/>
  <c r="DH251" i="1"/>
  <c r="FY251" i="1"/>
  <c r="FX250" i="1"/>
  <c r="BZ250" i="1"/>
  <c r="IM250" i="1"/>
  <c r="GP251" i="1"/>
  <c r="GO250" i="1"/>
  <c r="AS252" i="1"/>
  <c r="AR251" i="1"/>
  <c r="BJ251" i="1"/>
  <c r="BI250" i="1"/>
  <c r="H250" i="1"/>
  <c r="N250" i="1"/>
  <c r="CA251" i="1"/>
  <c r="AT255" i="1"/>
  <c r="AB252" i="1"/>
  <c r="AA252" i="1"/>
  <c r="JF251" i="1"/>
  <c r="JE250" i="1"/>
  <c r="CQ250" i="1"/>
  <c r="JD250" i="1"/>
  <c r="CR251" i="1"/>
  <c r="HW251" i="1"/>
  <c r="HX252" i="1"/>
  <c r="EQ252" i="1"/>
  <c r="EP251" i="1"/>
  <c r="IO254" i="1"/>
  <c r="IN253" i="1"/>
  <c r="FY252" i="1"/>
  <c r="FX251" i="1"/>
  <c r="DI253" i="1"/>
  <c r="DH252" i="1"/>
  <c r="FH252" i="1"/>
  <c r="FG251" i="1"/>
  <c r="DZ252" i="1"/>
  <c r="DY251" i="1"/>
  <c r="HF251" i="1"/>
  <c r="HG252" i="1"/>
  <c r="BZ251" i="1"/>
  <c r="IM251" i="1"/>
  <c r="GP252" i="1"/>
  <c r="GO251" i="1"/>
  <c r="AS253" i="1"/>
  <c r="AR252" i="1"/>
  <c r="BJ252" i="1"/>
  <c r="BI251" i="1"/>
  <c r="CA252" i="1"/>
  <c r="H251" i="1"/>
  <c r="N251" i="1"/>
  <c r="AT256" i="1"/>
  <c r="AB253" i="1"/>
  <c r="AA253" i="1"/>
  <c r="JE251" i="1"/>
  <c r="JF252" i="1"/>
  <c r="CR252" i="1"/>
  <c r="CQ251" i="1"/>
  <c r="JD251" i="1"/>
  <c r="HW252" i="1"/>
  <c r="HX253" i="1"/>
  <c r="HF252" i="1"/>
  <c r="HG253" i="1"/>
  <c r="DY252" i="1"/>
  <c r="DZ253" i="1"/>
  <c r="DI254" i="1"/>
  <c r="DH253" i="1"/>
  <c r="IN254" i="1"/>
  <c r="IO255" i="1"/>
  <c r="FH253" i="1"/>
  <c r="FG252" i="1"/>
  <c r="FY253" i="1"/>
  <c r="FX252" i="1"/>
  <c r="EP252" i="1"/>
  <c r="EQ253" i="1"/>
  <c r="BZ252" i="1"/>
  <c r="IM252" i="1"/>
  <c r="GP253" i="1"/>
  <c r="GO252" i="1"/>
  <c r="BJ253" i="1"/>
  <c r="BI252" i="1"/>
  <c r="AS254" i="1"/>
  <c r="AR253" i="1"/>
  <c r="H252" i="1"/>
  <c r="N252" i="1"/>
  <c r="CA253" i="1"/>
  <c r="AT257" i="1"/>
  <c r="AB254" i="1"/>
  <c r="AA254" i="1"/>
  <c r="JE252" i="1"/>
  <c r="JF253" i="1"/>
  <c r="CR253" i="1"/>
  <c r="CQ252" i="1"/>
  <c r="JD252" i="1"/>
  <c r="HW253" i="1"/>
  <c r="HX254" i="1"/>
  <c r="FH254" i="1"/>
  <c r="FG253" i="1"/>
  <c r="DZ254" i="1"/>
  <c r="DY253" i="1"/>
  <c r="FY254" i="1"/>
  <c r="FX253" i="1"/>
  <c r="DI255" i="1"/>
  <c r="DH254" i="1"/>
  <c r="HF253" i="1"/>
  <c r="HG254" i="1"/>
  <c r="EQ254" i="1"/>
  <c r="EP253" i="1"/>
  <c r="IO256" i="1"/>
  <c r="IN255" i="1"/>
  <c r="BZ253" i="1"/>
  <c r="IM253" i="1"/>
  <c r="GP254" i="1"/>
  <c r="GO253" i="1"/>
  <c r="AS255" i="1"/>
  <c r="AR254" i="1"/>
  <c r="BJ254" i="1"/>
  <c r="BI253" i="1"/>
  <c r="CA254" i="1"/>
  <c r="H253" i="1"/>
  <c r="N253" i="1"/>
  <c r="AT258" i="1"/>
  <c r="AB255" i="1"/>
  <c r="AA255" i="1"/>
  <c r="JE253" i="1"/>
  <c r="JF254" i="1"/>
  <c r="CQ253" i="1"/>
  <c r="JD253" i="1"/>
  <c r="CR254" i="1"/>
  <c r="HW254" i="1"/>
  <c r="HX255" i="1"/>
  <c r="HF254" i="1"/>
  <c r="HG255" i="1"/>
  <c r="IN256" i="1"/>
  <c r="IO257" i="1"/>
  <c r="FY255" i="1"/>
  <c r="FX254" i="1"/>
  <c r="DY254" i="1"/>
  <c r="DZ255" i="1"/>
  <c r="EP254" i="1"/>
  <c r="EQ255" i="1"/>
  <c r="DI256" i="1"/>
  <c r="DH255" i="1"/>
  <c r="FH255" i="1"/>
  <c r="FG254" i="1"/>
  <c r="BZ254" i="1"/>
  <c r="IM254" i="1"/>
  <c r="GP255" i="1"/>
  <c r="GO254" i="1"/>
  <c r="AS256" i="1"/>
  <c r="AR255" i="1"/>
  <c r="BJ255" i="1"/>
  <c r="BI254" i="1"/>
  <c r="H254" i="1"/>
  <c r="N254" i="1"/>
  <c r="CA255" i="1"/>
  <c r="AT259" i="1"/>
  <c r="AB256" i="1"/>
  <c r="AA256" i="1"/>
  <c r="JF255" i="1"/>
  <c r="JE254" i="1"/>
  <c r="CR255" i="1"/>
  <c r="CQ254" i="1"/>
  <c r="JD254" i="1"/>
  <c r="HW255" i="1"/>
  <c r="HX256" i="1"/>
  <c r="DI257" i="1"/>
  <c r="DH256" i="1"/>
  <c r="EQ256" i="1"/>
  <c r="EP255" i="1"/>
  <c r="FY256" i="1"/>
  <c r="FX255" i="1"/>
  <c r="FH256" i="1"/>
  <c r="FG255" i="1"/>
  <c r="DZ256" i="1"/>
  <c r="DY255" i="1"/>
  <c r="IN257" i="1"/>
  <c r="IO258" i="1"/>
  <c r="HF255" i="1"/>
  <c r="HG256" i="1"/>
  <c r="BZ255" i="1"/>
  <c r="IM255" i="1"/>
  <c r="GP256" i="1"/>
  <c r="GO255" i="1"/>
  <c r="BJ256" i="1"/>
  <c r="BI255" i="1"/>
  <c r="AS257" i="1"/>
  <c r="AR256" i="1"/>
  <c r="CA256" i="1"/>
  <c r="H255" i="1"/>
  <c r="N255" i="1"/>
  <c r="P249" i="1"/>
  <c r="AT260" i="1"/>
  <c r="AB257" i="1"/>
  <c r="AA257" i="1"/>
  <c r="JE255" i="1"/>
  <c r="JF256" i="1"/>
  <c r="CR256" i="1"/>
  <c r="CQ255" i="1"/>
  <c r="JD255" i="1"/>
  <c r="HW256" i="1"/>
  <c r="HX257" i="1"/>
  <c r="IO259" i="1"/>
  <c r="IN258" i="1"/>
  <c r="DZ257" i="1"/>
  <c r="DY256" i="1"/>
  <c r="FY257" i="1"/>
  <c r="FX256" i="1"/>
  <c r="HF256" i="1"/>
  <c r="HG257" i="1"/>
  <c r="FH257" i="1"/>
  <c r="FG256" i="1"/>
  <c r="EQ257" i="1"/>
  <c r="EP256" i="1"/>
  <c r="DI258" i="1"/>
  <c r="DH257" i="1"/>
  <c r="BZ256" i="1"/>
  <c r="IM256" i="1"/>
  <c r="GP257" i="1"/>
  <c r="GO256" i="1"/>
  <c r="AS258" i="1"/>
  <c r="AR257" i="1"/>
  <c r="BJ257" i="1"/>
  <c r="BI256" i="1"/>
  <c r="H256" i="1"/>
  <c r="N256" i="1"/>
  <c r="CA257" i="1"/>
  <c r="AT261" i="1"/>
  <c r="AB258" i="1"/>
  <c r="AA258" i="1"/>
  <c r="JE256" i="1"/>
  <c r="JF257" i="1"/>
  <c r="CR257" i="1"/>
  <c r="CQ256" i="1"/>
  <c r="JD256" i="1"/>
  <c r="HW257" i="1"/>
  <c r="HX258" i="1"/>
  <c r="EP257" i="1"/>
  <c r="EQ258" i="1"/>
  <c r="DY257" i="1"/>
  <c r="DZ258" i="1"/>
  <c r="DI259" i="1"/>
  <c r="DH258" i="1"/>
  <c r="FH258" i="1"/>
  <c r="FG257" i="1"/>
  <c r="FY258" i="1"/>
  <c r="FX257" i="1"/>
  <c r="HF257" i="1"/>
  <c r="HG258" i="1"/>
  <c r="IN259" i="1"/>
  <c r="IO260" i="1"/>
  <c r="BZ257" i="1"/>
  <c r="IM257" i="1"/>
  <c r="GP258" i="1"/>
  <c r="GO257" i="1"/>
  <c r="BJ258" i="1"/>
  <c r="BI257" i="1"/>
  <c r="AS259" i="1"/>
  <c r="AR258" i="1"/>
  <c r="CA258" i="1"/>
  <c r="H257" i="1"/>
  <c r="N257" i="1"/>
  <c r="AT262" i="1"/>
  <c r="AB259" i="1"/>
  <c r="AA259" i="1"/>
  <c r="JE257" i="1"/>
  <c r="JF258" i="1"/>
  <c r="CR258" i="1"/>
  <c r="CQ257" i="1"/>
  <c r="JD257" i="1"/>
  <c r="HW258" i="1"/>
  <c r="HX259" i="1"/>
  <c r="DI260" i="1"/>
  <c r="DH259" i="1"/>
  <c r="IN260" i="1"/>
  <c r="IO261" i="1"/>
  <c r="FY259" i="1"/>
  <c r="FX258" i="1"/>
  <c r="FH259" i="1"/>
  <c r="FG258" i="1"/>
  <c r="DY258" i="1"/>
  <c r="DZ259" i="1"/>
  <c r="EQ259" i="1"/>
  <c r="EP258" i="1"/>
  <c r="HF258" i="1"/>
  <c r="HG259" i="1"/>
  <c r="BZ258" i="1"/>
  <c r="IM258" i="1"/>
  <c r="GP259" i="1"/>
  <c r="GO258" i="1"/>
  <c r="AS260" i="1"/>
  <c r="AR259" i="1"/>
  <c r="BJ259" i="1"/>
  <c r="BI258" i="1"/>
  <c r="H258" i="1"/>
  <c r="N258" i="1"/>
  <c r="CA259" i="1"/>
  <c r="AT263" i="1"/>
  <c r="AB260" i="1"/>
  <c r="AA260" i="1"/>
  <c r="JF259" i="1"/>
  <c r="JE258" i="1"/>
  <c r="CR259" i="1"/>
  <c r="CQ258" i="1"/>
  <c r="JD258" i="1"/>
  <c r="HW259" i="1"/>
  <c r="HX260" i="1"/>
  <c r="DZ260" i="1"/>
  <c r="DY259" i="1"/>
  <c r="FY260" i="1"/>
  <c r="FX259" i="1"/>
  <c r="EQ260" i="1"/>
  <c r="EP259" i="1"/>
  <c r="IN261" i="1"/>
  <c r="IO262" i="1"/>
  <c r="HF259" i="1"/>
  <c r="HG260" i="1"/>
  <c r="FH260" i="1"/>
  <c r="FG259" i="1"/>
  <c r="DI261" i="1"/>
  <c r="DH260" i="1"/>
  <c r="BZ259" i="1"/>
  <c r="IM259" i="1"/>
  <c r="GP260" i="1"/>
  <c r="GO259" i="1"/>
  <c r="BJ260" i="1"/>
  <c r="BI259" i="1"/>
  <c r="AS261" i="1"/>
  <c r="AR260" i="1"/>
  <c r="CA260" i="1"/>
  <c r="H259" i="1"/>
  <c r="N259" i="1"/>
  <c r="AT264" i="1"/>
  <c r="AB261" i="1"/>
  <c r="AA261" i="1"/>
  <c r="JE259" i="1"/>
  <c r="JF260" i="1"/>
  <c r="CQ259" i="1"/>
  <c r="JD259" i="1"/>
  <c r="CR260" i="1"/>
  <c r="HW260" i="1"/>
  <c r="HX261" i="1"/>
  <c r="FH261" i="1"/>
  <c r="FG260" i="1"/>
  <c r="FY261" i="1"/>
  <c r="FX260" i="1"/>
  <c r="HF260" i="1"/>
  <c r="HG261" i="1"/>
  <c r="DI262" i="1"/>
  <c r="DH261" i="1"/>
  <c r="EQ261" i="1"/>
  <c r="EP260" i="1"/>
  <c r="IN262" i="1"/>
  <c r="IO263" i="1"/>
  <c r="DZ261" i="1"/>
  <c r="DY260" i="1"/>
  <c r="BZ260" i="1"/>
  <c r="IM260" i="1"/>
  <c r="GP261" i="1"/>
  <c r="GO260" i="1"/>
  <c r="AS262" i="1"/>
  <c r="AR261" i="1"/>
  <c r="BJ261" i="1"/>
  <c r="BI260" i="1"/>
  <c r="H260" i="1"/>
  <c r="N260" i="1"/>
  <c r="CA261" i="1"/>
  <c r="AT265" i="1"/>
  <c r="AB262" i="1"/>
  <c r="AA262" i="1"/>
  <c r="JE260" i="1"/>
  <c r="JF261" i="1"/>
  <c r="CR261" i="1"/>
  <c r="CQ260" i="1"/>
  <c r="JD260" i="1"/>
  <c r="HW261" i="1"/>
  <c r="HX262" i="1"/>
  <c r="IN263" i="1"/>
  <c r="IO264" i="1"/>
  <c r="HF261" i="1"/>
  <c r="HG262" i="1"/>
  <c r="EQ262" i="1"/>
  <c r="EP261" i="1"/>
  <c r="DZ262" i="1"/>
  <c r="DY261" i="1"/>
  <c r="DI263" i="1"/>
  <c r="DH262" i="1"/>
  <c r="FY262" i="1"/>
  <c r="FX261" i="1"/>
  <c r="FH262" i="1"/>
  <c r="FG261" i="1"/>
  <c r="BZ261" i="1"/>
  <c r="IM261" i="1"/>
  <c r="GP262" i="1"/>
  <c r="GO261" i="1"/>
  <c r="BJ262" i="1"/>
  <c r="BI261" i="1"/>
  <c r="AS263" i="1"/>
  <c r="AR262" i="1"/>
  <c r="CA262" i="1"/>
  <c r="H261" i="1"/>
  <c r="N261" i="1"/>
  <c r="AT266" i="1"/>
  <c r="AB263" i="1"/>
  <c r="AA263" i="1"/>
  <c r="JE261" i="1"/>
  <c r="JF262" i="1"/>
  <c r="CR262" i="1"/>
  <c r="CQ261" i="1"/>
  <c r="JD261" i="1"/>
  <c r="HW262" i="1"/>
  <c r="HX263" i="1"/>
  <c r="FY263" i="1"/>
  <c r="FX262" i="1"/>
  <c r="HF262" i="1"/>
  <c r="HG263" i="1"/>
  <c r="FH263" i="1"/>
  <c r="FG262" i="1"/>
  <c r="DI264" i="1"/>
  <c r="DH263" i="1"/>
  <c r="IO265" i="1"/>
  <c r="IN264" i="1"/>
  <c r="DZ263" i="1"/>
  <c r="DY262" i="1"/>
  <c r="EQ263" i="1"/>
  <c r="EP262" i="1"/>
  <c r="BZ262" i="1"/>
  <c r="IM262" i="1"/>
  <c r="GP263" i="1"/>
  <c r="GO262" i="1"/>
  <c r="BJ263" i="1"/>
  <c r="BI262" i="1"/>
  <c r="AS264" i="1"/>
  <c r="AR263" i="1"/>
  <c r="H262" i="1"/>
  <c r="N262" i="1"/>
  <c r="P256" i="1"/>
  <c r="CA263" i="1"/>
  <c r="AT267" i="1"/>
  <c r="AB264" i="1"/>
  <c r="AA264" i="1"/>
  <c r="JF263" i="1"/>
  <c r="JE262" i="1"/>
  <c r="CR263" i="1"/>
  <c r="CQ262" i="1"/>
  <c r="JD262" i="1"/>
  <c r="HW263" i="1"/>
  <c r="HX264" i="1"/>
  <c r="DY263" i="1"/>
  <c r="DZ264" i="1"/>
  <c r="DI265" i="1"/>
  <c r="DH264" i="1"/>
  <c r="EP263" i="1"/>
  <c r="EQ264" i="1"/>
  <c r="HF263" i="1"/>
  <c r="HG264" i="1"/>
  <c r="IN265" i="1"/>
  <c r="IO266" i="1"/>
  <c r="FH264" i="1"/>
  <c r="FG263" i="1"/>
  <c r="FY264" i="1"/>
  <c r="FX263" i="1"/>
  <c r="BZ263" i="1"/>
  <c r="IM263" i="1"/>
  <c r="GP264" i="1"/>
  <c r="GO263" i="1"/>
  <c r="AS265" i="1"/>
  <c r="AR264" i="1"/>
  <c r="BJ264" i="1"/>
  <c r="BI263" i="1"/>
  <c r="CA264" i="1"/>
  <c r="H263" i="1"/>
  <c r="N263" i="1"/>
  <c r="AT268" i="1"/>
  <c r="AB265" i="1"/>
  <c r="AA265" i="1"/>
  <c r="JE263" i="1"/>
  <c r="JF264" i="1"/>
  <c r="CR264" i="1"/>
  <c r="CQ263" i="1"/>
  <c r="JD263" i="1"/>
  <c r="HW264" i="1"/>
  <c r="HX265" i="1"/>
  <c r="FH265" i="1"/>
  <c r="FG264" i="1"/>
  <c r="DI266" i="1"/>
  <c r="DH265" i="1"/>
  <c r="IN266" i="1"/>
  <c r="IO267" i="1"/>
  <c r="EQ265" i="1"/>
  <c r="EP264" i="1"/>
  <c r="FY265" i="1"/>
  <c r="FX264" i="1"/>
  <c r="DZ265" i="1"/>
  <c r="DY264" i="1"/>
  <c r="HF264" i="1"/>
  <c r="HG265" i="1"/>
  <c r="BZ264" i="1"/>
  <c r="IM264" i="1"/>
  <c r="GP265" i="1"/>
  <c r="GO264" i="1"/>
  <c r="BJ265" i="1"/>
  <c r="BI264" i="1"/>
  <c r="AS266" i="1"/>
  <c r="AR265" i="1"/>
  <c r="H264" i="1"/>
  <c r="N264" i="1"/>
  <c r="CA265" i="1"/>
  <c r="AT269" i="1"/>
  <c r="AB266" i="1"/>
  <c r="AA266" i="1"/>
  <c r="JE264" i="1"/>
  <c r="JF265" i="1"/>
  <c r="CR265" i="1"/>
  <c r="CQ264" i="1"/>
  <c r="JD264" i="1"/>
  <c r="HW265" i="1"/>
  <c r="HX266" i="1"/>
  <c r="FY266" i="1"/>
  <c r="FX265" i="1"/>
  <c r="EQ266" i="1"/>
  <c r="EP265" i="1"/>
  <c r="DI267" i="1"/>
  <c r="DH266" i="1"/>
  <c r="IN267" i="1"/>
  <c r="IO268" i="1"/>
  <c r="HF265" i="1"/>
  <c r="HG266" i="1"/>
  <c r="DZ266" i="1"/>
  <c r="DY265" i="1"/>
  <c r="FH266" i="1"/>
  <c r="FG265" i="1"/>
  <c r="BZ265" i="1"/>
  <c r="IM265" i="1"/>
  <c r="GP266" i="1"/>
  <c r="GO265" i="1"/>
  <c r="AS267" i="1"/>
  <c r="AR266" i="1"/>
  <c r="BJ266" i="1"/>
  <c r="BI265" i="1"/>
  <c r="CA266" i="1"/>
  <c r="H265" i="1"/>
  <c r="N265" i="1"/>
  <c r="AT270" i="1"/>
  <c r="AB267" i="1"/>
  <c r="AA267" i="1"/>
  <c r="JE265" i="1"/>
  <c r="JF266" i="1"/>
  <c r="CR266" i="1"/>
  <c r="CQ265" i="1"/>
  <c r="JD265" i="1"/>
  <c r="HW266" i="1"/>
  <c r="HX267" i="1"/>
  <c r="HF266" i="1"/>
  <c r="HG267" i="1"/>
  <c r="EQ267" i="1"/>
  <c r="EP266" i="1"/>
  <c r="FH267" i="1"/>
  <c r="FG266" i="1"/>
  <c r="IN268" i="1"/>
  <c r="IO269" i="1"/>
  <c r="DZ267" i="1"/>
  <c r="DY266" i="1"/>
  <c r="DI268" i="1"/>
  <c r="DH267" i="1"/>
  <c r="FY267" i="1"/>
  <c r="FX266" i="1"/>
  <c r="BZ266" i="1"/>
  <c r="IM266" i="1"/>
  <c r="GP267" i="1"/>
  <c r="GO266" i="1"/>
  <c r="BJ267" i="1"/>
  <c r="BI266" i="1"/>
  <c r="AS268" i="1"/>
  <c r="AR267" i="1"/>
  <c r="H266" i="1"/>
  <c r="N266" i="1"/>
  <c r="CA267" i="1"/>
  <c r="AT271" i="1"/>
  <c r="AB268" i="1"/>
  <c r="AA268" i="1"/>
  <c r="JF267" i="1"/>
  <c r="JE266" i="1"/>
  <c r="CR267" i="1"/>
  <c r="CQ266" i="1"/>
  <c r="JD266" i="1"/>
  <c r="HW267" i="1"/>
  <c r="HX268" i="1"/>
  <c r="DI269" i="1"/>
  <c r="DH268" i="1"/>
  <c r="IO270" i="1"/>
  <c r="IN269" i="1"/>
  <c r="HF267" i="1"/>
  <c r="HG268" i="1"/>
  <c r="EQ268" i="1"/>
  <c r="EP267" i="1"/>
  <c r="FY268" i="1"/>
  <c r="FX267" i="1"/>
  <c r="DZ268" i="1"/>
  <c r="DY267" i="1"/>
  <c r="FH268" i="1"/>
  <c r="FG267" i="1"/>
  <c r="BZ267" i="1"/>
  <c r="IM267" i="1"/>
  <c r="GP268" i="1"/>
  <c r="GO267" i="1"/>
  <c r="AS269" i="1"/>
  <c r="AR268" i="1"/>
  <c r="BJ268" i="1"/>
  <c r="BI267" i="1"/>
  <c r="CA268" i="1"/>
  <c r="H267" i="1"/>
  <c r="N267" i="1"/>
  <c r="AT272" i="1"/>
  <c r="AB269" i="1"/>
  <c r="AA269" i="1"/>
  <c r="JE267" i="1"/>
  <c r="JF268" i="1"/>
  <c r="CR268" i="1"/>
  <c r="CQ267" i="1"/>
  <c r="JD267" i="1"/>
  <c r="HW268" i="1"/>
  <c r="HX269" i="1"/>
  <c r="DZ269" i="1"/>
  <c r="DY268" i="1"/>
  <c r="EQ269" i="1"/>
  <c r="EP268" i="1"/>
  <c r="IN270" i="1"/>
  <c r="IO271" i="1"/>
  <c r="FH269" i="1"/>
  <c r="FG268" i="1"/>
  <c r="HF268" i="1"/>
  <c r="HG269" i="1"/>
  <c r="FY269" i="1"/>
  <c r="FX268" i="1"/>
  <c r="DI270" i="1"/>
  <c r="DH269" i="1"/>
  <c r="BZ268" i="1"/>
  <c r="IM268" i="1"/>
  <c r="GP269" i="1"/>
  <c r="GO268" i="1"/>
  <c r="BJ269" i="1"/>
  <c r="BI268" i="1"/>
  <c r="AS270" i="1"/>
  <c r="AR269" i="1"/>
  <c r="H268" i="1"/>
  <c r="N268" i="1"/>
  <c r="CA269" i="1"/>
  <c r="AT273" i="1"/>
  <c r="AB270" i="1"/>
  <c r="AA270" i="1"/>
  <c r="JE268" i="1"/>
  <c r="JF269" i="1"/>
  <c r="CR269" i="1"/>
  <c r="CQ268" i="1"/>
  <c r="JD268" i="1"/>
  <c r="HW269" i="1"/>
  <c r="HX270" i="1"/>
  <c r="FY270" i="1"/>
  <c r="FX269" i="1"/>
  <c r="FH270" i="1"/>
  <c r="FG269" i="1"/>
  <c r="HF269" i="1"/>
  <c r="HG270" i="1"/>
  <c r="DZ270" i="1"/>
  <c r="DY269" i="1"/>
  <c r="DI271" i="1"/>
  <c r="DH270" i="1"/>
  <c r="EQ270" i="1"/>
  <c r="EP269" i="1"/>
  <c r="IO272" i="1"/>
  <c r="IN271" i="1"/>
  <c r="BZ269" i="1"/>
  <c r="IM269" i="1"/>
  <c r="GP270" i="1"/>
  <c r="GO269" i="1"/>
  <c r="AS271" i="1"/>
  <c r="AR270" i="1"/>
  <c r="BJ270" i="1"/>
  <c r="BI269" i="1"/>
  <c r="H269" i="1"/>
  <c r="N269" i="1"/>
  <c r="P263" i="1"/>
  <c r="CA270" i="1"/>
  <c r="AT274" i="1"/>
  <c r="AB271" i="1"/>
  <c r="AA271" i="1"/>
  <c r="JE269" i="1"/>
  <c r="JF270" i="1"/>
  <c r="CR270" i="1"/>
  <c r="CQ269" i="1"/>
  <c r="JD269" i="1"/>
  <c r="HW270" i="1"/>
  <c r="HX271" i="1"/>
  <c r="IO273" i="1"/>
  <c r="IN272" i="1"/>
  <c r="DY270" i="1"/>
  <c r="DZ271" i="1"/>
  <c r="FH271" i="1"/>
  <c r="FG270" i="1"/>
  <c r="EP270" i="1"/>
  <c r="EQ271" i="1"/>
  <c r="DI272" i="1"/>
  <c r="DH271" i="1"/>
  <c r="HF270" i="1"/>
  <c r="HG271" i="1"/>
  <c r="FY271" i="1"/>
  <c r="FX270" i="1"/>
  <c r="BZ270" i="1"/>
  <c r="IM270" i="1"/>
  <c r="GP271" i="1"/>
  <c r="GO270" i="1"/>
  <c r="AS272" i="1"/>
  <c r="AR271" i="1"/>
  <c r="BJ271" i="1"/>
  <c r="BI270" i="1"/>
  <c r="H270" i="1"/>
  <c r="N270" i="1"/>
  <c r="CA271" i="1"/>
  <c r="AT275" i="1"/>
  <c r="AB272" i="1"/>
  <c r="AA272" i="1"/>
  <c r="JF271" i="1"/>
  <c r="JE270" i="1"/>
  <c r="CR271" i="1"/>
  <c r="CQ270" i="1"/>
  <c r="JD270" i="1"/>
  <c r="HW271" i="1"/>
  <c r="HX272" i="1"/>
  <c r="FH272" i="1"/>
  <c r="FG271" i="1"/>
  <c r="FY272" i="1"/>
  <c r="FX271" i="1"/>
  <c r="DI273" i="1"/>
  <c r="DH272" i="1"/>
  <c r="DY271" i="1"/>
  <c r="DZ272" i="1"/>
  <c r="HF271" i="1"/>
  <c r="HG272" i="1"/>
  <c r="EP271" i="1"/>
  <c r="EQ272" i="1"/>
  <c r="IN273" i="1"/>
  <c r="IO274" i="1"/>
  <c r="BZ271" i="1"/>
  <c r="IM271" i="1"/>
  <c r="GP272" i="1"/>
  <c r="GO271" i="1"/>
  <c r="BJ272" i="1"/>
  <c r="BI271" i="1"/>
  <c r="AS273" i="1"/>
  <c r="AR272" i="1"/>
  <c r="CA272" i="1"/>
  <c r="H271" i="1"/>
  <c r="N271" i="1"/>
  <c r="AT276" i="1"/>
  <c r="AB273" i="1"/>
  <c r="AA273" i="1"/>
  <c r="JE271" i="1"/>
  <c r="JF272" i="1"/>
  <c r="CQ271" i="1"/>
  <c r="JD271" i="1"/>
  <c r="CR272" i="1"/>
  <c r="HW272" i="1"/>
  <c r="HX273" i="1"/>
  <c r="DZ273" i="1"/>
  <c r="DY272" i="1"/>
  <c r="IN274" i="1"/>
  <c r="IO275" i="1"/>
  <c r="HF272" i="1"/>
  <c r="HG273" i="1"/>
  <c r="FY273" i="1"/>
  <c r="FX272" i="1"/>
  <c r="EQ273" i="1"/>
  <c r="EP272" i="1"/>
  <c r="DI274" i="1"/>
  <c r="DH273" i="1"/>
  <c r="FH273" i="1"/>
  <c r="FG272" i="1"/>
  <c r="BZ272" i="1"/>
  <c r="IM272" i="1"/>
  <c r="GP273" i="1"/>
  <c r="GO272" i="1"/>
  <c r="AS274" i="1"/>
  <c r="AR273" i="1"/>
  <c r="BJ273" i="1"/>
  <c r="BI272" i="1"/>
  <c r="H272" i="1"/>
  <c r="N272" i="1"/>
  <c r="CA273" i="1"/>
  <c r="AT277" i="1"/>
  <c r="AB274" i="1"/>
  <c r="AA274" i="1"/>
  <c r="JE272" i="1"/>
  <c r="JF273" i="1"/>
  <c r="CQ272" i="1"/>
  <c r="JD272" i="1"/>
  <c r="CR273" i="1"/>
  <c r="HW273" i="1"/>
  <c r="HX274" i="1"/>
  <c r="DI275" i="1"/>
  <c r="DH274" i="1"/>
  <c r="IN275" i="1"/>
  <c r="IO276" i="1"/>
  <c r="FH274" i="1"/>
  <c r="FG273" i="1"/>
  <c r="EQ274" i="1"/>
  <c r="EP273" i="1"/>
  <c r="FY274" i="1"/>
  <c r="FX273" i="1"/>
  <c r="HF273" i="1"/>
  <c r="HG274" i="1"/>
  <c r="DZ274" i="1"/>
  <c r="DY273" i="1"/>
  <c r="BZ273" i="1"/>
  <c r="IM273" i="1"/>
  <c r="GP274" i="1"/>
  <c r="GO273" i="1"/>
  <c r="BJ274" i="1"/>
  <c r="BI273" i="1"/>
  <c r="AS275" i="1"/>
  <c r="AR274" i="1"/>
  <c r="H273" i="1"/>
  <c r="N273" i="1"/>
  <c r="CA274" i="1"/>
  <c r="AT278" i="1"/>
  <c r="AB275" i="1"/>
  <c r="AA275" i="1"/>
  <c r="JE273" i="1"/>
  <c r="JF274" i="1"/>
  <c r="CQ273" i="1"/>
  <c r="JD273" i="1"/>
  <c r="CR274" i="1"/>
  <c r="HW274" i="1"/>
  <c r="HX275" i="1"/>
  <c r="HF274" i="1"/>
  <c r="HG275" i="1"/>
  <c r="IN276" i="1"/>
  <c r="IO277" i="1"/>
  <c r="EQ275" i="1"/>
  <c r="EP274" i="1"/>
  <c r="DZ275" i="1"/>
  <c r="DY274" i="1"/>
  <c r="FY275" i="1"/>
  <c r="FX274" i="1"/>
  <c r="FH275" i="1"/>
  <c r="FG274" i="1"/>
  <c r="DI276" i="1"/>
  <c r="DH275" i="1"/>
  <c r="BZ274" i="1"/>
  <c r="IM274" i="1"/>
  <c r="GP275" i="1"/>
  <c r="GO274" i="1"/>
  <c r="AS276" i="1"/>
  <c r="AR275" i="1"/>
  <c r="BJ275" i="1"/>
  <c r="BI274" i="1"/>
  <c r="H274" i="1"/>
  <c r="N274" i="1"/>
  <c r="CA275" i="1"/>
  <c r="AT279" i="1"/>
  <c r="AB276" i="1"/>
  <c r="AA276" i="1"/>
  <c r="JF275" i="1"/>
  <c r="JE274" i="1"/>
  <c r="CR275" i="1"/>
  <c r="CQ274" i="1"/>
  <c r="JD274" i="1"/>
  <c r="HW275" i="1"/>
  <c r="HX276" i="1"/>
  <c r="FY276" i="1"/>
  <c r="FX275" i="1"/>
  <c r="IN277" i="1"/>
  <c r="IO278" i="1"/>
  <c r="DI277" i="1"/>
  <c r="DH276" i="1"/>
  <c r="FH276" i="1"/>
  <c r="FG275" i="1"/>
  <c r="HF275" i="1"/>
  <c r="HG276" i="1"/>
  <c r="DY275" i="1"/>
  <c r="DZ276" i="1"/>
  <c r="EP275" i="1"/>
  <c r="EQ276" i="1"/>
  <c r="BZ275" i="1"/>
  <c r="IM275" i="1"/>
  <c r="GP276" i="1"/>
  <c r="GO275" i="1"/>
  <c r="BJ276" i="1"/>
  <c r="BI275" i="1"/>
  <c r="AS277" i="1"/>
  <c r="AR276" i="1"/>
  <c r="CA276" i="1"/>
  <c r="H275" i="1"/>
  <c r="N275" i="1"/>
  <c r="AT280" i="1"/>
  <c r="AB277" i="1"/>
  <c r="AA277" i="1"/>
  <c r="JE275" i="1"/>
  <c r="JF276" i="1"/>
  <c r="CR276" i="1"/>
  <c r="CQ275" i="1"/>
  <c r="JD275" i="1"/>
  <c r="HW276" i="1"/>
  <c r="HX277" i="1"/>
  <c r="DZ277" i="1"/>
  <c r="DY276" i="1"/>
  <c r="EQ277" i="1"/>
  <c r="EP276" i="1"/>
  <c r="FH277" i="1"/>
  <c r="FG276" i="1"/>
  <c r="FY277" i="1"/>
  <c r="FX276" i="1"/>
  <c r="HF276" i="1"/>
  <c r="HG277" i="1"/>
  <c r="IN278" i="1"/>
  <c r="IO279" i="1"/>
  <c r="DI278" i="1"/>
  <c r="DH277" i="1"/>
  <c r="BZ276" i="1"/>
  <c r="IM276" i="1"/>
  <c r="GP277" i="1"/>
  <c r="GO276" i="1"/>
  <c r="AS278" i="1"/>
  <c r="AR277" i="1"/>
  <c r="BJ277" i="1"/>
  <c r="BI276" i="1"/>
  <c r="H276" i="1"/>
  <c r="N276" i="1"/>
  <c r="P270" i="1"/>
  <c r="CA277" i="1"/>
  <c r="AT281" i="1"/>
  <c r="AB278" i="1"/>
  <c r="AA278" i="1"/>
  <c r="JE276" i="1"/>
  <c r="JF277" i="1"/>
  <c r="CQ276" i="1"/>
  <c r="JD276" i="1"/>
  <c r="CR277" i="1"/>
  <c r="HW277" i="1"/>
  <c r="HX278" i="1"/>
  <c r="FH278" i="1"/>
  <c r="FG277" i="1"/>
  <c r="IN279" i="1"/>
  <c r="IO280" i="1"/>
  <c r="DI279" i="1"/>
  <c r="DH278" i="1"/>
  <c r="FY278" i="1"/>
  <c r="FX277" i="1"/>
  <c r="EQ278" i="1"/>
  <c r="EP277" i="1"/>
  <c r="HF277" i="1"/>
  <c r="HG278" i="1"/>
  <c r="DZ278" i="1"/>
  <c r="DY277" i="1"/>
  <c r="BZ277" i="1"/>
  <c r="IM277" i="1"/>
  <c r="GP278" i="1"/>
  <c r="GO277" i="1"/>
  <c r="BJ278" i="1"/>
  <c r="BI277" i="1"/>
  <c r="AS279" i="1"/>
  <c r="AR278" i="1"/>
  <c r="H277" i="1"/>
  <c r="N277" i="1"/>
  <c r="CA278" i="1"/>
  <c r="AT282" i="1"/>
  <c r="AB279" i="1"/>
  <c r="AA279" i="1"/>
  <c r="JE277" i="1"/>
  <c r="JF278" i="1"/>
  <c r="CR278" i="1"/>
  <c r="CQ277" i="1"/>
  <c r="JD277" i="1"/>
  <c r="HW278" i="1"/>
  <c r="HX279" i="1"/>
  <c r="HF278" i="1"/>
  <c r="HG279" i="1"/>
  <c r="IN280" i="1"/>
  <c r="IO281" i="1"/>
  <c r="FY279" i="1"/>
  <c r="FX278" i="1"/>
  <c r="FH279" i="1"/>
  <c r="FG278" i="1"/>
  <c r="DY278" i="1"/>
  <c r="DZ279" i="1"/>
  <c r="EP278" i="1"/>
  <c r="EQ279" i="1"/>
  <c r="DI280" i="1"/>
  <c r="DH279" i="1"/>
  <c r="BZ278" i="1"/>
  <c r="IM278" i="1"/>
  <c r="GP279" i="1"/>
  <c r="GO278" i="1"/>
  <c r="BJ279" i="1"/>
  <c r="BI278" i="1"/>
  <c r="AS280" i="1"/>
  <c r="AR279" i="1"/>
  <c r="H278" i="1"/>
  <c r="N278" i="1"/>
  <c r="CA279" i="1"/>
  <c r="AT283" i="1"/>
  <c r="AB280" i="1"/>
  <c r="AA280" i="1"/>
  <c r="JF279" i="1"/>
  <c r="JE278" i="1"/>
  <c r="CR279" i="1"/>
  <c r="CQ278" i="1"/>
  <c r="JD278" i="1"/>
  <c r="HW279" i="1"/>
  <c r="HX280" i="1"/>
  <c r="IN281" i="1"/>
  <c r="IO282" i="1"/>
  <c r="FH280" i="1"/>
  <c r="FG279" i="1"/>
  <c r="DI281" i="1"/>
  <c r="DH280" i="1"/>
  <c r="DZ280" i="1"/>
  <c r="DY279" i="1"/>
  <c r="HF279" i="1"/>
  <c r="HG280" i="1"/>
  <c r="EQ280" i="1"/>
  <c r="EP279" i="1"/>
  <c r="FY280" i="1"/>
  <c r="FX279" i="1"/>
  <c r="BZ279" i="1"/>
  <c r="IM279" i="1"/>
  <c r="GP280" i="1"/>
  <c r="GO279" i="1"/>
  <c r="AS281" i="1"/>
  <c r="AR280" i="1"/>
  <c r="BJ280" i="1"/>
  <c r="BI279" i="1"/>
  <c r="CA280" i="1"/>
  <c r="H279" i="1"/>
  <c r="N279" i="1"/>
  <c r="AT284" i="1"/>
  <c r="AB281" i="1"/>
  <c r="AA281" i="1"/>
  <c r="JE279" i="1"/>
  <c r="JF280" i="1"/>
  <c r="CQ279" i="1"/>
  <c r="JD279" i="1"/>
  <c r="CR280" i="1"/>
  <c r="HW280" i="1"/>
  <c r="HX281" i="1"/>
  <c r="FY281" i="1"/>
  <c r="FX280" i="1"/>
  <c r="DI282" i="1"/>
  <c r="DH281" i="1"/>
  <c r="IN282" i="1"/>
  <c r="IO283" i="1"/>
  <c r="EQ281" i="1"/>
  <c r="EP280" i="1"/>
  <c r="HF280" i="1"/>
  <c r="HG281" i="1"/>
  <c r="DZ281" i="1"/>
  <c r="DY280" i="1"/>
  <c r="FH281" i="1"/>
  <c r="FG280" i="1"/>
  <c r="BZ280" i="1"/>
  <c r="IM280" i="1"/>
  <c r="GP281" i="1"/>
  <c r="GO280" i="1"/>
  <c r="BJ281" i="1"/>
  <c r="BI280" i="1"/>
  <c r="AS282" i="1"/>
  <c r="AR281" i="1"/>
  <c r="H280" i="1"/>
  <c r="N280" i="1"/>
  <c r="CA281" i="1"/>
  <c r="AT285" i="1"/>
  <c r="AB282" i="1"/>
  <c r="AA282" i="1"/>
  <c r="JE280" i="1"/>
  <c r="JF281" i="1"/>
  <c r="CQ280" i="1"/>
  <c r="JD280" i="1"/>
  <c r="CR281" i="1"/>
  <c r="HW281" i="1"/>
  <c r="HX282" i="1"/>
  <c r="DZ282" i="1"/>
  <c r="DY281" i="1"/>
  <c r="EQ282" i="1"/>
  <c r="EP281" i="1"/>
  <c r="FH282" i="1"/>
  <c r="FG281" i="1"/>
  <c r="HF281" i="1"/>
  <c r="HG282" i="1"/>
  <c r="IN283" i="1"/>
  <c r="IO284" i="1"/>
  <c r="DI283" i="1"/>
  <c r="DH282" i="1"/>
  <c r="FY282" i="1"/>
  <c r="FX281" i="1"/>
  <c r="BZ281" i="1"/>
  <c r="IM281" i="1"/>
  <c r="GP282" i="1"/>
  <c r="GO281" i="1"/>
  <c r="AS283" i="1"/>
  <c r="AR282" i="1"/>
  <c r="BJ282" i="1"/>
  <c r="BI281" i="1"/>
  <c r="H281" i="1"/>
  <c r="N281" i="1"/>
  <c r="CA282" i="1"/>
  <c r="AT286" i="1"/>
  <c r="AB283" i="1"/>
  <c r="AA283" i="1"/>
  <c r="JE281" i="1"/>
  <c r="JF282" i="1"/>
  <c r="CR282" i="1"/>
  <c r="CQ281" i="1"/>
  <c r="JD281" i="1"/>
  <c r="HW282" i="1"/>
  <c r="HX283" i="1"/>
  <c r="DI284" i="1"/>
  <c r="DH283" i="1"/>
  <c r="EQ283" i="1"/>
  <c r="EP282" i="1"/>
  <c r="IN284" i="1"/>
  <c r="IO285" i="1"/>
  <c r="FY283" i="1"/>
  <c r="FX282" i="1"/>
  <c r="FH283" i="1"/>
  <c r="FG282" i="1"/>
  <c r="HF282" i="1"/>
  <c r="HG283" i="1"/>
  <c r="DZ283" i="1"/>
  <c r="DY282" i="1"/>
  <c r="BZ282" i="1"/>
  <c r="IM282" i="1"/>
  <c r="GP283" i="1"/>
  <c r="GO282" i="1"/>
  <c r="AS284" i="1"/>
  <c r="AR283" i="1"/>
  <c r="BJ283" i="1"/>
  <c r="BI282" i="1"/>
  <c r="H282" i="1"/>
  <c r="N282" i="1"/>
  <c r="CA283" i="1"/>
  <c r="AT287" i="1"/>
  <c r="AB284" i="1"/>
  <c r="AA284" i="1"/>
  <c r="JF283" i="1"/>
  <c r="JE282" i="1"/>
  <c r="CR283" i="1"/>
  <c r="CQ282" i="1"/>
  <c r="JD282" i="1"/>
  <c r="HW283" i="1"/>
  <c r="HX284" i="1"/>
  <c r="FH284" i="1"/>
  <c r="FG283" i="1"/>
  <c r="HF283" i="1"/>
  <c r="HG284" i="1"/>
  <c r="IN285" i="1"/>
  <c r="IO286" i="1"/>
  <c r="DZ284" i="1"/>
  <c r="DY283" i="1"/>
  <c r="FY284" i="1"/>
  <c r="FX283" i="1"/>
  <c r="EQ284" i="1"/>
  <c r="EP283" i="1"/>
  <c r="DI285" i="1"/>
  <c r="DH284" i="1"/>
  <c r="BZ283" i="1"/>
  <c r="IM283" i="1"/>
  <c r="GP284" i="1"/>
  <c r="GO283" i="1"/>
  <c r="BJ284" i="1"/>
  <c r="BI283" i="1"/>
  <c r="AS285" i="1"/>
  <c r="AR284" i="1"/>
  <c r="CA284" i="1"/>
  <c r="H283" i="1"/>
  <c r="N283" i="1"/>
  <c r="P277" i="1"/>
  <c r="AT288" i="1"/>
  <c r="AB285" i="1"/>
  <c r="AA285" i="1"/>
  <c r="JE283" i="1"/>
  <c r="JF284" i="1"/>
  <c r="CR284" i="1"/>
  <c r="CQ283" i="1"/>
  <c r="JD283" i="1"/>
  <c r="HW284" i="1"/>
  <c r="HX285" i="1"/>
  <c r="IN286" i="1"/>
  <c r="IO287" i="1"/>
  <c r="EQ285" i="1"/>
  <c r="EP284" i="1"/>
  <c r="DI286" i="1"/>
  <c r="DH285" i="1"/>
  <c r="FY285" i="1"/>
  <c r="FX284" i="1"/>
  <c r="HF284" i="1"/>
  <c r="HG285" i="1"/>
  <c r="DZ285" i="1"/>
  <c r="DY284" i="1"/>
  <c r="FH285" i="1"/>
  <c r="FG284" i="1"/>
  <c r="BZ284" i="1"/>
  <c r="IM284" i="1"/>
  <c r="GP285" i="1"/>
  <c r="GO284" i="1"/>
  <c r="AS286" i="1"/>
  <c r="AR285" i="1"/>
  <c r="BJ285" i="1"/>
  <c r="BI284" i="1"/>
  <c r="H284" i="1"/>
  <c r="N284" i="1"/>
  <c r="CA285" i="1"/>
  <c r="AT289" i="1"/>
  <c r="AB286" i="1"/>
  <c r="AA286" i="1"/>
  <c r="JE284" i="1"/>
  <c r="JF285" i="1"/>
  <c r="CR285" i="1"/>
  <c r="CQ284" i="1"/>
  <c r="JD284" i="1"/>
  <c r="HW285" i="1"/>
  <c r="HX286" i="1"/>
  <c r="DZ286" i="1"/>
  <c r="DY285" i="1"/>
  <c r="DI287" i="1"/>
  <c r="DH286" i="1"/>
  <c r="HF285" i="1"/>
  <c r="HG286" i="1"/>
  <c r="FH286" i="1"/>
  <c r="FG285" i="1"/>
  <c r="IN287" i="1"/>
  <c r="IO288" i="1"/>
  <c r="FY286" i="1"/>
  <c r="FX285" i="1"/>
  <c r="EQ286" i="1"/>
  <c r="EP285" i="1"/>
  <c r="BZ285" i="1"/>
  <c r="IM285" i="1"/>
  <c r="GP286" i="1"/>
  <c r="GO285" i="1"/>
  <c r="BJ286" i="1"/>
  <c r="BI285" i="1"/>
  <c r="AS287" i="1"/>
  <c r="AR286" i="1"/>
  <c r="H285" i="1"/>
  <c r="N285" i="1"/>
  <c r="CA286" i="1"/>
  <c r="AT290" i="1"/>
  <c r="AB287" i="1"/>
  <c r="AA287" i="1"/>
  <c r="JE285" i="1"/>
  <c r="JF286" i="1"/>
  <c r="CR286" i="1"/>
  <c r="CQ285" i="1"/>
  <c r="JD285" i="1"/>
  <c r="HW286" i="1"/>
  <c r="HX287" i="1"/>
  <c r="DI288" i="1"/>
  <c r="DH287" i="1"/>
  <c r="EQ287" i="1"/>
  <c r="EP286" i="1"/>
  <c r="FH287" i="1"/>
  <c r="FG286" i="1"/>
  <c r="FY287" i="1"/>
  <c r="FX286" i="1"/>
  <c r="IN288" i="1"/>
  <c r="IO289" i="1"/>
  <c r="HF286" i="1"/>
  <c r="HG287" i="1"/>
  <c r="DZ287" i="1"/>
  <c r="DY286" i="1"/>
  <c r="BZ286" i="1"/>
  <c r="IM286" i="1"/>
  <c r="GP287" i="1"/>
  <c r="GO286" i="1"/>
  <c r="BJ287" i="1"/>
  <c r="BI286" i="1"/>
  <c r="AS288" i="1"/>
  <c r="AR287" i="1"/>
  <c r="H286" i="1"/>
  <c r="N286" i="1"/>
  <c r="CA287" i="1"/>
  <c r="AT291" i="1"/>
  <c r="AB288" i="1"/>
  <c r="AA288" i="1"/>
  <c r="JF287" i="1"/>
  <c r="JE286" i="1"/>
  <c r="CR287" i="1"/>
  <c r="CQ286" i="1"/>
  <c r="JD286" i="1"/>
  <c r="HW287" i="1"/>
  <c r="HX288" i="1"/>
  <c r="FY288" i="1"/>
  <c r="FX287" i="1"/>
  <c r="FH288" i="1"/>
  <c r="FG287" i="1"/>
  <c r="EQ288" i="1"/>
  <c r="EP287" i="1"/>
  <c r="IO290" i="1"/>
  <c r="IN289" i="1"/>
  <c r="HF287" i="1"/>
  <c r="HG288" i="1"/>
  <c r="DZ288" i="1"/>
  <c r="DY287" i="1"/>
  <c r="DI289" i="1"/>
  <c r="DH288" i="1"/>
  <c r="BZ287" i="1"/>
  <c r="IM287" i="1"/>
  <c r="GP288" i="1"/>
  <c r="GO287" i="1"/>
  <c r="AS289" i="1"/>
  <c r="AR288" i="1"/>
  <c r="BJ288" i="1"/>
  <c r="BI287" i="1"/>
  <c r="CA288" i="1"/>
  <c r="H287" i="1"/>
  <c r="N287" i="1"/>
  <c r="AT292" i="1"/>
  <c r="AB289" i="1"/>
  <c r="AA289" i="1"/>
  <c r="JE287" i="1"/>
  <c r="JF288" i="1"/>
  <c r="CR288" i="1"/>
  <c r="CQ287" i="1"/>
  <c r="JD287" i="1"/>
  <c r="HW288" i="1"/>
  <c r="HX289" i="1"/>
  <c r="DY288" i="1"/>
  <c r="DZ289" i="1"/>
  <c r="IO291" i="1"/>
  <c r="IN290" i="1"/>
  <c r="FH289" i="1"/>
  <c r="FG288" i="1"/>
  <c r="DI290" i="1"/>
  <c r="DH289" i="1"/>
  <c r="HF288" i="1"/>
  <c r="HG289" i="1"/>
  <c r="EP288" i="1"/>
  <c r="EQ289" i="1"/>
  <c r="FY289" i="1"/>
  <c r="FX288" i="1"/>
  <c r="BZ288" i="1"/>
  <c r="IM288" i="1"/>
  <c r="GP289" i="1"/>
  <c r="GO288" i="1"/>
  <c r="BJ289" i="1"/>
  <c r="BI288" i="1"/>
  <c r="AS290" i="1"/>
  <c r="AR289" i="1"/>
  <c r="H288" i="1"/>
  <c r="N288" i="1"/>
  <c r="CA289" i="1"/>
  <c r="AT293" i="1"/>
  <c r="AB290" i="1"/>
  <c r="AA290" i="1"/>
  <c r="JE288" i="1"/>
  <c r="JF289" i="1"/>
  <c r="CR289" i="1"/>
  <c r="CQ288" i="1"/>
  <c r="JD288" i="1"/>
  <c r="HW289" i="1"/>
  <c r="HX290" i="1"/>
  <c r="DI291" i="1"/>
  <c r="DH290" i="1"/>
  <c r="FY290" i="1"/>
  <c r="FX289" i="1"/>
  <c r="FH290" i="1"/>
  <c r="FG289" i="1"/>
  <c r="DY289" i="1"/>
  <c r="DZ290" i="1"/>
  <c r="IN291" i="1"/>
  <c r="IO292" i="1"/>
  <c r="EP289" i="1"/>
  <c r="EQ290" i="1"/>
  <c r="HF289" i="1"/>
  <c r="HG290" i="1"/>
  <c r="BZ289" i="1"/>
  <c r="IM289" i="1"/>
  <c r="GP290" i="1"/>
  <c r="GO289" i="1"/>
  <c r="AS291" i="1"/>
  <c r="AR290" i="1"/>
  <c r="BJ290" i="1"/>
  <c r="BI289" i="1"/>
  <c r="H289" i="1"/>
  <c r="N289" i="1"/>
  <c r="CA290" i="1"/>
  <c r="AT294" i="1"/>
  <c r="AB291" i="1"/>
  <c r="AA291" i="1"/>
  <c r="JE289" i="1"/>
  <c r="JF290" i="1"/>
  <c r="CQ289" i="1"/>
  <c r="JD289" i="1"/>
  <c r="CR290" i="1"/>
  <c r="HW290" i="1"/>
  <c r="HX291" i="1"/>
  <c r="HF290" i="1"/>
  <c r="HG291" i="1"/>
  <c r="IN292" i="1"/>
  <c r="IO293" i="1"/>
  <c r="FY291" i="1"/>
  <c r="FX290" i="1"/>
  <c r="DZ291" i="1"/>
  <c r="DY290" i="1"/>
  <c r="EQ291" i="1"/>
  <c r="EP290" i="1"/>
  <c r="FH291" i="1"/>
  <c r="FG290" i="1"/>
  <c r="DI292" i="1"/>
  <c r="DH291" i="1"/>
  <c r="BZ290" i="1"/>
  <c r="IM290" i="1"/>
  <c r="GP291" i="1"/>
  <c r="GO290" i="1"/>
  <c r="BJ291" i="1"/>
  <c r="BI290" i="1"/>
  <c r="AS292" i="1"/>
  <c r="AR291" i="1"/>
  <c r="H290" i="1"/>
  <c r="N290" i="1"/>
  <c r="P284" i="1"/>
  <c r="CA291" i="1"/>
  <c r="AT295" i="1"/>
  <c r="AB292" i="1"/>
  <c r="AA292" i="1"/>
  <c r="JF291" i="1"/>
  <c r="JE290" i="1"/>
  <c r="CQ290" i="1"/>
  <c r="JD290" i="1"/>
  <c r="CR291" i="1"/>
  <c r="HW291" i="1"/>
  <c r="HX292" i="1"/>
  <c r="IN293" i="1"/>
  <c r="IO294" i="1"/>
  <c r="DI293" i="1"/>
  <c r="DH292" i="1"/>
  <c r="EP291" i="1"/>
  <c r="EQ292" i="1"/>
  <c r="DY291" i="1"/>
  <c r="DZ292" i="1"/>
  <c r="HF291" i="1"/>
  <c r="HG292" i="1"/>
  <c r="FH292" i="1"/>
  <c r="FG291" i="1"/>
  <c r="FY292" i="1"/>
  <c r="FX291" i="1"/>
  <c r="BZ291" i="1"/>
  <c r="IM291" i="1"/>
  <c r="GP292" i="1"/>
  <c r="GO291" i="1"/>
  <c r="AS293" i="1"/>
  <c r="AR292" i="1"/>
  <c r="BJ292" i="1"/>
  <c r="BI291" i="1"/>
  <c r="CA292" i="1"/>
  <c r="H291" i="1"/>
  <c r="N291" i="1"/>
  <c r="AT296" i="1"/>
  <c r="AB293" i="1"/>
  <c r="AA293" i="1"/>
  <c r="JE291" i="1"/>
  <c r="JF292" i="1"/>
  <c r="CR292" i="1"/>
  <c r="CQ291" i="1"/>
  <c r="JD291" i="1"/>
  <c r="HW292" i="1"/>
  <c r="HX293" i="1"/>
  <c r="FY293" i="1"/>
  <c r="FX292" i="1"/>
  <c r="FH293" i="1"/>
  <c r="FG292" i="1"/>
  <c r="EP292" i="1"/>
  <c r="EQ293" i="1"/>
  <c r="DI294" i="1"/>
  <c r="DH293" i="1"/>
  <c r="HF292" i="1"/>
  <c r="HG293" i="1"/>
  <c r="IN294" i="1"/>
  <c r="IO295" i="1"/>
  <c r="DZ293" i="1"/>
  <c r="DY292" i="1"/>
  <c r="BZ292" i="1"/>
  <c r="IM292" i="1"/>
  <c r="GP293" i="1"/>
  <c r="GO292" i="1"/>
  <c r="BJ293" i="1"/>
  <c r="BI292" i="1"/>
  <c r="AS294" i="1"/>
  <c r="AR293" i="1"/>
  <c r="H292" i="1"/>
  <c r="N292" i="1"/>
  <c r="CA293" i="1"/>
  <c r="AT297" i="1"/>
  <c r="AB294" i="1"/>
  <c r="AA294" i="1"/>
  <c r="JE292" i="1"/>
  <c r="JF293" i="1"/>
  <c r="CQ292" i="1"/>
  <c r="JD292" i="1"/>
  <c r="CR293" i="1"/>
  <c r="HW293" i="1"/>
  <c r="HX294" i="1"/>
  <c r="FY294" i="1"/>
  <c r="FX293" i="1"/>
  <c r="EP293" i="1"/>
  <c r="EQ294" i="1"/>
  <c r="HF293" i="1"/>
  <c r="HG294" i="1"/>
  <c r="IN295" i="1"/>
  <c r="IO296" i="1"/>
  <c r="DY293" i="1"/>
  <c r="DZ294" i="1"/>
  <c r="DI295" i="1"/>
  <c r="DH294" i="1"/>
  <c r="FH294" i="1"/>
  <c r="FG293" i="1"/>
  <c r="BZ293" i="1"/>
  <c r="IM293" i="1"/>
  <c r="GP294" i="1"/>
  <c r="GO293" i="1"/>
  <c r="BJ294" i="1"/>
  <c r="BI293" i="1"/>
  <c r="AS295" i="1"/>
  <c r="AR294" i="1"/>
  <c r="H293" i="1"/>
  <c r="N293" i="1"/>
  <c r="CA294" i="1"/>
  <c r="AT298" i="1"/>
  <c r="AB295" i="1"/>
  <c r="AA295" i="1"/>
  <c r="JE293" i="1"/>
  <c r="JF294" i="1"/>
  <c r="CR294" i="1"/>
  <c r="CQ293" i="1"/>
  <c r="JD293" i="1"/>
  <c r="HW294" i="1"/>
  <c r="HX295" i="1"/>
  <c r="FH295" i="1"/>
  <c r="FG294" i="1"/>
  <c r="HF294" i="1"/>
  <c r="HG295" i="1"/>
  <c r="FY295" i="1"/>
  <c r="FX294" i="1"/>
  <c r="DY294" i="1"/>
  <c r="DZ295" i="1"/>
  <c r="DI296" i="1"/>
  <c r="DH295" i="1"/>
  <c r="IN296" i="1"/>
  <c r="IO297" i="1"/>
  <c r="EP294" i="1"/>
  <c r="EQ295" i="1"/>
  <c r="BZ294" i="1"/>
  <c r="IM294" i="1"/>
  <c r="GP295" i="1"/>
  <c r="GO294" i="1"/>
  <c r="AS296" i="1"/>
  <c r="AR295" i="1"/>
  <c r="BJ295" i="1"/>
  <c r="BI294" i="1"/>
  <c r="H294" i="1"/>
  <c r="N294" i="1"/>
  <c r="CA295" i="1"/>
  <c r="AT299" i="1"/>
  <c r="AB296" i="1"/>
  <c r="AA296" i="1"/>
  <c r="JF295" i="1"/>
  <c r="JE294" i="1"/>
  <c r="CQ294" i="1"/>
  <c r="JD294" i="1"/>
  <c r="CR295" i="1"/>
  <c r="HW295" i="1"/>
  <c r="HX296" i="1"/>
  <c r="FY296" i="1"/>
  <c r="FX295" i="1"/>
  <c r="DY295" i="1"/>
  <c r="DZ296" i="1"/>
  <c r="IN297" i="1"/>
  <c r="IO298" i="1"/>
  <c r="EP295" i="1"/>
  <c r="EQ296" i="1"/>
  <c r="HF295" i="1"/>
  <c r="HG296" i="1"/>
  <c r="DI297" i="1"/>
  <c r="DH296" i="1"/>
  <c r="FH296" i="1"/>
  <c r="FG295" i="1"/>
  <c r="BZ295" i="1"/>
  <c r="IM295" i="1"/>
  <c r="GP296" i="1"/>
  <c r="GO295" i="1"/>
  <c r="BJ296" i="1"/>
  <c r="BI295" i="1"/>
  <c r="AS297" i="1"/>
  <c r="AR296" i="1"/>
  <c r="CA296" i="1"/>
  <c r="H295" i="1"/>
  <c r="N295" i="1"/>
  <c r="AT300" i="1"/>
  <c r="AB297" i="1"/>
  <c r="AA297" i="1"/>
  <c r="JE295" i="1"/>
  <c r="JF296" i="1"/>
  <c r="CQ295" i="1"/>
  <c r="JD295" i="1"/>
  <c r="CR296" i="1"/>
  <c r="HW296" i="1"/>
  <c r="HX297" i="1"/>
  <c r="HF296" i="1"/>
  <c r="HG297" i="1"/>
  <c r="FH297" i="1"/>
  <c r="FG296" i="1"/>
  <c r="IN298" i="1"/>
  <c r="IO299" i="1"/>
  <c r="DZ297" i="1"/>
  <c r="DY296" i="1"/>
  <c r="DI298" i="1"/>
  <c r="DH297" i="1"/>
  <c r="EP296" i="1"/>
  <c r="EQ297" i="1"/>
  <c r="FY297" i="1"/>
  <c r="FX296" i="1"/>
  <c r="BZ296" i="1"/>
  <c r="IM296" i="1"/>
  <c r="GP297" i="1"/>
  <c r="GO296" i="1"/>
  <c r="AS298" i="1"/>
  <c r="AR297" i="1"/>
  <c r="BJ297" i="1"/>
  <c r="BI296" i="1"/>
  <c r="H296" i="1"/>
  <c r="N296" i="1"/>
  <c r="CA297" i="1"/>
  <c r="AT301" i="1"/>
  <c r="AB298" i="1"/>
  <c r="AA298" i="1"/>
  <c r="JE296" i="1"/>
  <c r="JF297" i="1"/>
  <c r="CR297" i="1"/>
  <c r="CQ296" i="1"/>
  <c r="JD296" i="1"/>
  <c r="HW297" i="1"/>
  <c r="HX298" i="1"/>
  <c r="FY298" i="1"/>
  <c r="FX297" i="1"/>
  <c r="DI299" i="1"/>
  <c r="DH298" i="1"/>
  <c r="FH298" i="1"/>
  <c r="FG297" i="1"/>
  <c r="EP297" i="1"/>
  <c r="EQ298" i="1"/>
  <c r="HF297" i="1"/>
  <c r="HG298" i="1"/>
  <c r="IN299" i="1"/>
  <c r="IO300" i="1"/>
  <c r="DY297" i="1"/>
  <c r="DZ298" i="1"/>
  <c r="BZ297" i="1"/>
  <c r="IM297" i="1"/>
  <c r="GP298" i="1"/>
  <c r="GO297" i="1"/>
  <c r="BJ298" i="1"/>
  <c r="BI297" i="1"/>
  <c r="AS299" i="1"/>
  <c r="AR298" i="1"/>
  <c r="H297" i="1"/>
  <c r="N297" i="1"/>
  <c r="P291" i="1"/>
  <c r="CA298" i="1"/>
  <c r="AT302" i="1"/>
  <c r="AB299" i="1"/>
  <c r="AA299" i="1"/>
  <c r="JE297" i="1"/>
  <c r="JF298" i="1"/>
  <c r="CR298" i="1"/>
  <c r="CQ297" i="1"/>
  <c r="JD297" i="1"/>
  <c r="HW298" i="1"/>
  <c r="HX299" i="1"/>
  <c r="DI300" i="1"/>
  <c r="DH299" i="1"/>
  <c r="EQ299" i="1"/>
  <c r="EP298" i="1"/>
  <c r="IN300" i="1"/>
  <c r="IO301" i="1"/>
  <c r="HF298" i="1"/>
  <c r="HG299" i="1"/>
  <c r="DY298" i="1"/>
  <c r="DZ299" i="1"/>
  <c r="FH299" i="1"/>
  <c r="FG298" i="1"/>
  <c r="FY299" i="1"/>
  <c r="FX298" i="1"/>
  <c r="BZ298" i="1"/>
  <c r="IM298" i="1"/>
  <c r="GP299" i="1"/>
  <c r="GO298" i="1"/>
  <c r="BJ299" i="1"/>
  <c r="BI298" i="1"/>
  <c r="AS300" i="1"/>
  <c r="AR299" i="1"/>
  <c r="H298" i="1"/>
  <c r="N298" i="1"/>
  <c r="CA299" i="1"/>
  <c r="AT303" i="1"/>
  <c r="AB300" i="1"/>
  <c r="AA300" i="1"/>
  <c r="JF299" i="1"/>
  <c r="JE298" i="1"/>
  <c r="CQ298" i="1"/>
  <c r="JD298" i="1"/>
  <c r="CR299" i="1"/>
  <c r="HW299" i="1"/>
  <c r="HX300" i="1"/>
  <c r="HF299" i="1"/>
  <c r="HG300" i="1"/>
  <c r="FH300" i="1"/>
  <c r="FG299" i="1"/>
  <c r="IO302" i="1"/>
  <c r="IN301" i="1"/>
  <c r="FY300" i="1"/>
  <c r="FX299" i="1"/>
  <c r="DY299" i="1"/>
  <c r="DZ300" i="1"/>
  <c r="EP299" i="1"/>
  <c r="EQ300" i="1"/>
  <c r="DI301" i="1"/>
  <c r="DH300" i="1"/>
  <c r="BZ299" i="1"/>
  <c r="IM299" i="1"/>
  <c r="GP300" i="1"/>
  <c r="GO299" i="1"/>
  <c r="AS301" i="1"/>
  <c r="AR300" i="1"/>
  <c r="BJ300" i="1"/>
  <c r="BI299" i="1"/>
  <c r="CA300" i="1"/>
  <c r="H299" i="1"/>
  <c r="N299" i="1"/>
  <c r="AT304" i="1"/>
  <c r="AB301" i="1"/>
  <c r="AA301" i="1"/>
  <c r="JE299" i="1"/>
  <c r="JF300" i="1"/>
  <c r="CR300" i="1"/>
  <c r="CQ299" i="1"/>
  <c r="JD299" i="1"/>
  <c r="HW300" i="1"/>
  <c r="HX301" i="1"/>
  <c r="DI302" i="1"/>
  <c r="DH301" i="1"/>
  <c r="IO303" i="1"/>
  <c r="IN302" i="1"/>
  <c r="EP300" i="1"/>
  <c r="EQ301" i="1"/>
  <c r="HF300" i="1"/>
  <c r="HG301" i="1"/>
  <c r="DY300" i="1"/>
  <c r="DZ301" i="1"/>
  <c r="FY301" i="1"/>
  <c r="FX300" i="1"/>
  <c r="FH301" i="1"/>
  <c r="FG300" i="1"/>
  <c r="BZ300" i="1"/>
  <c r="IM300" i="1"/>
  <c r="GP301" i="1"/>
  <c r="GO300" i="1"/>
  <c r="BJ301" i="1"/>
  <c r="BI300" i="1"/>
  <c r="AS302" i="1"/>
  <c r="AR301" i="1"/>
  <c r="H300" i="1"/>
  <c r="N300" i="1"/>
  <c r="CA301" i="1"/>
  <c r="AT305" i="1"/>
  <c r="AB302" i="1"/>
  <c r="AA302" i="1"/>
  <c r="JE300" i="1"/>
  <c r="JF301" i="1"/>
  <c r="CQ300" i="1"/>
  <c r="JD300" i="1"/>
  <c r="CR301" i="1"/>
  <c r="HW301" i="1"/>
  <c r="HX302" i="1"/>
  <c r="DI303" i="1"/>
  <c r="DH302" i="1"/>
  <c r="FY302" i="1"/>
  <c r="FX301" i="1"/>
  <c r="DY301" i="1"/>
  <c r="DZ302" i="1"/>
  <c r="EP301" i="1"/>
  <c r="EQ302" i="1"/>
  <c r="FH302" i="1"/>
  <c r="FG301" i="1"/>
  <c r="HF301" i="1"/>
  <c r="HG302" i="1"/>
  <c r="IO304" i="1"/>
  <c r="IN303" i="1"/>
  <c r="BZ301" i="1"/>
  <c r="IM301" i="1"/>
  <c r="GP302" i="1"/>
  <c r="GO301" i="1"/>
  <c r="AS303" i="1"/>
  <c r="AR302" i="1"/>
  <c r="BJ302" i="1"/>
  <c r="BI301" i="1"/>
  <c r="H301" i="1"/>
  <c r="N301" i="1"/>
  <c r="CA302" i="1"/>
  <c r="AT306" i="1"/>
  <c r="AB303" i="1"/>
  <c r="AA303" i="1"/>
  <c r="JE301" i="1"/>
  <c r="JF302" i="1"/>
  <c r="CQ301" i="1"/>
  <c r="JD301" i="1"/>
  <c r="CR302" i="1"/>
  <c r="HW302" i="1"/>
  <c r="HX303" i="1"/>
  <c r="HF302" i="1"/>
  <c r="HG303" i="1"/>
  <c r="EP302" i="1"/>
  <c r="EQ303" i="1"/>
  <c r="DI304" i="1"/>
  <c r="DH303" i="1"/>
  <c r="DY302" i="1"/>
  <c r="DZ303" i="1"/>
  <c r="IN304" i="1"/>
  <c r="IO305" i="1"/>
  <c r="FG302" i="1"/>
  <c r="FH303" i="1"/>
  <c r="FY303" i="1"/>
  <c r="FX302" i="1"/>
  <c r="BZ302" i="1"/>
  <c r="IM302" i="1"/>
  <c r="GP303" i="1"/>
  <c r="GO302" i="1"/>
  <c r="BJ303" i="1"/>
  <c r="BI302" i="1"/>
  <c r="AS304" i="1"/>
  <c r="AR303" i="1"/>
  <c r="H302" i="1"/>
  <c r="N302" i="1"/>
  <c r="CA303" i="1"/>
  <c r="AT307" i="1"/>
  <c r="AB304" i="1"/>
  <c r="AA304" i="1"/>
  <c r="JF303" i="1"/>
  <c r="JE302" i="1"/>
  <c r="CQ302" i="1"/>
  <c r="JD302" i="1"/>
  <c r="CR303" i="1"/>
  <c r="HW303" i="1"/>
  <c r="HX304" i="1"/>
  <c r="FH304" i="1"/>
  <c r="FG303" i="1"/>
  <c r="IO306" i="1"/>
  <c r="IN305" i="1"/>
  <c r="EQ304" i="1"/>
  <c r="EP303" i="1"/>
  <c r="FX303" i="1"/>
  <c r="FY304" i="1"/>
  <c r="HF303" i="1"/>
  <c r="HG304" i="1"/>
  <c r="DZ304" i="1"/>
  <c r="DY303" i="1"/>
  <c r="DI305" i="1"/>
  <c r="DH304" i="1"/>
  <c r="BZ303" i="1"/>
  <c r="IM303" i="1"/>
  <c r="GP304" i="1"/>
  <c r="GO303" i="1"/>
  <c r="BJ304" i="1"/>
  <c r="BI303" i="1"/>
  <c r="AS305" i="1"/>
  <c r="AR304" i="1"/>
  <c r="CA304" i="1"/>
  <c r="H303" i="1"/>
  <c r="N303" i="1"/>
  <c r="AT308" i="1"/>
  <c r="AB305" i="1"/>
  <c r="AA305" i="1"/>
  <c r="JE303" i="1"/>
  <c r="JF304" i="1"/>
  <c r="CQ303" i="1"/>
  <c r="JD303" i="1"/>
  <c r="CR304" i="1"/>
  <c r="HW304" i="1"/>
  <c r="HX305" i="1"/>
  <c r="DH305" i="1"/>
  <c r="DI306" i="1"/>
  <c r="HF304" i="1"/>
  <c r="HG305" i="1"/>
  <c r="IO307" i="1"/>
  <c r="IN306" i="1"/>
  <c r="FY305" i="1"/>
  <c r="FX304" i="1"/>
  <c r="DY304" i="1"/>
  <c r="DZ305" i="1"/>
  <c r="EP304" i="1"/>
  <c r="EQ305" i="1"/>
  <c r="FH305" i="1"/>
  <c r="FG304" i="1"/>
  <c r="BZ304" i="1"/>
  <c r="IM304" i="1"/>
  <c r="GP305" i="1"/>
  <c r="GO304" i="1"/>
  <c r="AS306" i="1"/>
  <c r="AR305" i="1"/>
  <c r="BJ305" i="1"/>
  <c r="BI304" i="1"/>
  <c r="H304" i="1"/>
  <c r="N304" i="1"/>
  <c r="P298" i="1"/>
  <c r="CA305" i="1"/>
  <c r="AT309" i="1"/>
  <c r="AB306" i="1"/>
  <c r="AA306" i="1"/>
  <c r="JE304" i="1"/>
  <c r="JF305" i="1"/>
  <c r="CQ304" i="1"/>
  <c r="JD304" i="1"/>
  <c r="CR305" i="1"/>
  <c r="HW305" i="1"/>
  <c r="HX306" i="1"/>
  <c r="HF305" i="1"/>
  <c r="HG306" i="1"/>
  <c r="FH306" i="1"/>
  <c r="FG305" i="1"/>
  <c r="DY305" i="1"/>
  <c r="DZ306" i="1"/>
  <c r="DI307" i="1"/>
  <c r="DH306" i="1"/>
  <c r="EP305" i="1"/>
  <c r="EQ306" i="1"/>
  <c r="FY306" i="1"/>
  <c r="FX305" i="1"/>
  <c r="IO308" i="1"/>
  <c r="IN307" i="1"/>
  <c r="BZ305" i="1"/>
  <c r="IM305" i="1"/>
  <c r="GP306" i="1"/>
  <c r="GO305" i="1"/>
  <c r="BJ306" i="1"/>
  <c r="BI305" i="1"/>
  <c r="AS307" i="1"/>
  <c r="AR306" i="1"/>
  <c r="H305" i="1"/>
  <c r="N305" i="1"/>
  <c r="CA306" i="1"/>
  <c r="AT310" i="1"/>
  <c r="AB307" i="1"/>
  <c r="AA307" i="1"/>
  <c r="JE305" i="1"/>
  <c r="JF306" i="1"/>
  <c r="CQ305" i="1"/>
  <c r="JD305" i="1"/>
  <c r="CR306" i="1"/>
  <c r="HW306" i="1"/>
  <c r="HX307" i="1"/>
  <c r="EP306" i="1"/>
  <c r="EQ307" i="1"/>
  <c r="FH307" i="1"/>
  <c r="FG306" i="1"/>
  <c r="FY307" i="1"/>
  <c r="FX306" i="1"/>
  <c r="DI308" i="1"/>
  <c r="DH307" i="1"/>
  <c r="IO309" i="1"/>
  <c r="IN308" i="1"/>
  <c r="DY306" i="1"/>
  <c r="DZ307" i="1"/>
  <c r="HF306" i="1"/>
  <c r="HG307" i="1"/>
  <c r="BZ306" i="1"/>
  <c r="IM306" i="1"/>
  <c r="GP307" i="1"/>
  <c r="GO306" i="1"/>
  <c r="AS308" i="1"/>
  <c r="AR307" i="1"/>
  <c r="BJ307" i="1"/>
  <c r="BI306" i="1"/>
  <c r="H306" i="1"/>
  <c r="N306" i="1"/>
  <c r="CA307" i="1"/>
  <c r="AT311" i="1"/>
  <c r="AB308" i="1"/>
  <c r="AA308" i="1"/>
  <c r="JF307" i="1"/>
  <c r="JE306" i="1"/>
  <c r="CQ306" i="1"/>
  <c r="JD306" i="1"/>
  <c r="CR307" i="1"/>
  <c r="HW307" i="1"/>
  <c r="HX308" i="1"/>
  <c r="IN309" i="1"/>
  <c r="IO310" i="1"/>
  <c r="FY308" i="1"/>
  <c r="FX307" i="1"/>
  <c r="DY307" i="1"/>
  <c r="DZ308" i="1"/>
  <c r="EP307" i="1"/>
  <c r="EQ308" i="1"/>
  <c r="HF307" i="1"/>
  <c r="HG308" i="1"/>
  <c r="DI309" i="1"/>
  <c r="DH308" i="1"/>
  <c r="FH308" i="1"/>
  <c r="FG307" i="1"/>
  <c r="BZ307" i="1"/>
  <c r="IM307" i="1"/>
  <c r="GP308" i="1"/>
  <c r="GO307" i="1"/>
  <c r="BJ308" i="1"/>
  <c r="BI307" i="1"/>
  <c r="AS309" i="1"/>
  <c r="AR308" i="1"/>
  <c r="CA308" i="1"/>
  <c r="H307" i="1"/>
  <c r="N307" i="1"/>
  <c r="AT312" i="1"/>
  <c r="AB309" i="1"/>
  <c r="AA309" i="1"/>
  <c r="JE307" i="1"/>
  <c r="JF308" i="1"/>
  <c r="CR308" i="1"/>
  <c r="CQ307" i="1"/>
  <c r="JD307" i="1"/>
  <c r="HW308" i="1"/>
  <c r="HX309" i="1"/>
  <c r="FH309" i="1"/>
  <c r="FG308" i="1"/>
  <c r="HF308" i="1"/>
  <c r="HG309" i="1"/>
  <c r="IO311" i="1"/>
  <c r="IN310" i="1"/>
  <c r="EP308" i="1"/>
  <c r="EQ309" i="1"/>
  <c r="DY308" i="1"/>
  <c r="DZ309" i="1"/>
  <c r="DI310" i="1"/>
  <c r="DH309" i="1"/>
  <c r="FY309" i="1"/>
  <c r="FX308" i="1"/>
  <c r="BZ308" i="1"/>
  <c r="IM308" i="1"/>
  <c r="GP309" i="1"/>
  <c r="GO308" i="1"/>
  <c r="AS310" i="1"/>
  <c r="AR309" i="1"/>
  <c r="BJ309" i="1"/>
  <c r="BI308" i="1"/>
  <c r="H308" i="1"/>
  <c r="N308" i="1"/>
  <c r="CA309" i="1"/>
  <c r="AT313" i="1"/>
  <c r="AB310" i="1"/>
  <c r="AA310" i="1"/>
  <c r="JE308" i="1"/>
  <c r="JF309" i="1"/>
  <c r="CQ308" i="1"/>
  <c r="JD308" i="1"/>
  <c r="CR309" i="1"/>
  <c r="HW309" i="1"/>
  <c r="HX310" i="1"/>
  <c r="FY310" i="1"/>
  <c r="FX309" i="1"/>
  <c r="EP309" i="1"/>
  <c r="EQ310" i="1"/>
  <c r="IN311" i="1"/>
  <c r="IO312" i="1"/>
  <c r="FH310" i="1"/>
  <c r="FG309" i="1"/>
  <c r="DI311" i="1"/>
  <c r="DH310" i="1"/>
  <c r="DY309" i="1"/>
  <c r="DZ310" i="1"/>
  <c r="HF309" i="1"/>
  <c r="HG310" i="1"/>
  <c r="BZ309" i="1"/>
  <c r="IM309" i="1"/>
  <c r="GP310" i="1"/>
  <c r="GO309" i="1"/>
  <c r="AS311" i="1"/>
  <c r="AR310" i="1"/>
  <c r="BJ310" i="1"/>
  <c r="BI309" i="1"/>
  <c r="H309" i="1"/>
  <c r="N309" i="1"/>
  <c r="CA310" i="1"/>
  <c r="AT314" i="1"/>
  <c r="AB311" i="1"/>
  <c r="AA311" i="1"/>
  <c r="JE309" i="1"/>
  <c r="JF310" i="1"/>
  <c r="CQ309" i="1"/>
  <c r="JD309" i="1"/>
  <c r="CR310" i="1"/>
  <c r="HW310" i="1"/>
  <c r="HX311" i="1"/>
  <c r="DY310" i="1"/>
  <c r="DZ311" i="1"/>
  <c r="HF310" i="1"/>
  <c r="HG311" i="1"/>
  <c r="FH311" i="1"/>
  <c r="FG310" i="1"/>
  <c r="IN312" i="1"/>
  <c r="IO313" i="1"/>
  <c r="EQ311" i="1"/>
  <c r="EP310" i="1"/>
  <c r="DI312" i="1"/>
  <c r="DH311" i="1"/>
  <c r="FY311" i="1"/>
  <c r="FX310" i="1"/>
  <c r="BZ310" i="1"/>
  <c r="IM310" i="1"/>
  <c r="GP311" i="1"/>
  <c r="GO310" i="1"/>
  <c r="BJ311" i="1"/>
  <c r="BI310" i="1"/>
  <c r="AS312" i="1"/>
  <c r="AR311" i="1"/>
  <c r="H310" i="1"/>
  <c r="N310" i="1"/>
  <c r="CA311" i="1"/>
  <c r="AT315" i="1"/>
  <c r="AB312" i="1"/>
  <c r="AA312" i="1"/>
  <c r="JF311" i="1"/>
  <c r="JE310" i="1"/>
  <c r="CQ310" i="1"/>
  <c r="JD310" i="1"/>
  <c r="CR311" i="1"/>
  <c r="HW311" i="1"/>
  <c r="HX312" i="1"/>
  <c r="FY312" i="1"/>
  <c r="FX311" i="1"/>
  <c r="EP311" i="1"/>
  <c r="EQ312" i="1"/>
  <c r="IN313" i="1"/>
  <c r="IO314" i="1"/>
  <c r="FH312" i="1"/>
  <c r="FG311" i="1"/>
  <c r="DY311" i="1"/>
  <c r="DZ312" i="1"/>
  <c r="DI313" i="1"/>
  <c r="DH312" i="1"/>
  <c r="HF311" i="1"/>
  <c r="HG312" i="1"/>
  <c r="BZ311" i="1"/>
  <c r="IM311" i="1"/>
  <c r="GP312" i="1"/>
  <c r="GO311" i="1"/>
  <c r="AS313" i="1"/>
  <c r="AR312" i="1"/>
  <c r="BJ312" i="1"/>
  <c r="BI311" i="1"/>
  <c r="CA312" i="1"/>
  <c r="H311" i="1"/>
  <c r="N311" i="1"/>
  <c r="P305" i="1"/>
  <c r="AT316" i="1"/>
  <c r="AB313" i="1"/>
  <c r="AA313" i="1"/>
  <c r="JE311" i="1"/>
  <c r="JF312" i="1"/>
  <c r="CQ311" i="1"/>
  <c r="JD311" i="1"/>
  <c r="CR312" i="1"/>
  <c r="HW312" i="1"/>
  <c r="HX313" i="1"/>
  <c r="FH313" i="1"/>
  <c r="FG312" i="1"/>
  <c r="DI314" i="1"/>
  <c r="DH313" i="1"/>
  <c r="IO315" i="1"/>
  <c r="IN314" i="1"/>
  <c r="HF312" i="1"/>
  <c r="HG313" i="1"/>
  <c r="FY313" i="1"/>
  <c r="FX312" i="1"/>
  <c r="DY312" i="1"/>
  <c r="DZ313" i="1"/>
  <c r="EP312" i="1"/>
  <c r="EQ313" i="1"/>
  <c r="BZ312" i="1"/>
  <c r="IM312" i="1"/>
  <c r="GP313" i="1"/>
  <c r="GO312" i="1"/>
  <c r="BJ313" i="1"/>
  <c r="BI312" i="1"/>
  <c r="AS314" i="1"/>
  <c r="AR313" i="1"/>
  <c r="H312" i="1"/>
  <c r="N312" i="1"/>
  <c r="CA313" i="1"/>
  <c r="AT317" i="1"/>
  <c r="AB314" i="1"/>
  <c r="AA314" i="1"/>
  <c r="JE312" i="1"/>
  <c r="JF313" i="1"/>
  <c r="CR313" i="1"/>
  <c r="CQ312" i="1"/>
  <c r="JD312" i="1"/>
  <c r="HW313" i="1"/>
  <c r="HX314" i="1"/>
  <c r="EP313" i="1"/>
  <c r="EQ314" i="1"/>
  <c r="FH314" i="1"/>
  <c r="FG313" i="1"/>
  <c r="FY314" i="1"/>
  <c r="FX313" i="1"/>
  <c r="IN315" i="1"/>
  <c r="IO316" i="1"/>
  <c r="DI315" i="1"/>
  <c r="DH314" i="1"/>
  <c r="DY313" i="1"/>
  <c r="DZ314" i="1"/>
  <c r="HF313" i="1"/>
  <c r="HG314" i="1"/>
  <c r="BZ313" i="1"/>
  <c r="IM313" i="1"/>
  <c r="GP314" i="1"/>
  <c r="GO313" i="1"/>
  <c r="BJ314" i="1"/>
  <c r="BI313" i="1"/>
  <c r="AS315" i="1"/>
  <c r="AR314" i="1"/>
  <c r="H313" i="1"/>
  <c r="N313" i="1"/>
  <c r="CA314" i="1"/>
  <c r="AT318" i="1"/>
  <c r="AB315" i="1"/>
  <c r="AA315" i="1"/>
  <c r="JE313" i="1"/>
  <c r="JF314" i="1"/>
  <c r="CR314" i="1"/>
  <c r="CQ313" i="1"/>
  <c r="JD313" i="1"/>
  <c r="HW314" i="1"/>
  <c r="HX315" i="1"/>
  <c r="HF314" i="1"/>
  <c r="HG315" i="1"/>
  <c r="DI316" i="1"/>
  <c r="DH315" i="1"/>
  <c r="FY315" i="1"/>
  <c r="FX314" i="1"/>
  <c r="EQ315" i="1"/>
  <c r="EP314" i="1"/>
  <c r="DY314" i="1"/>
  <c r="DZ315" i="1"/>
  <c r="IN316" i="1"/>
  <c r="IO317" i="1"/>
  <c r="FH315" i="1"/>
  <c r="FG314" i="1"/>
  <c r="BZ314" i="1"/>
  <c r="IM314" i="1"/>
  <c r="GP315" i="1"/>
  <c r="GO314" i="1"/>
  <c r="AS316" i="1"/>
  <c r="AR315" i="1"/>
  <c r="BJ315" i="1"/>
  <c r="BI314" i="1"/>
  <c r="H314" i="1"/>
  <c r="N314" i="1"/>
  <c r="CA315" i="1"/>
  <c r="AB316" i="1"/>
  <c r="AA316" i="1"/>
  <c r="JF315" i="1"/>
  <c r="JE314" i="1"/>
  <c r="CQ314" i="1"/>
  <c r="JD314" i="1"/>
  <c r="CR315" i="1"/>
  <c r="HW315" i="1"/>
  <c r="HX316" i="1"/>
  <c r="FH316" i="1"/>
  <c r="FG315" i="1"/>
  <c r="HF315" i="1"/>
  <c r="HG316" i="1"/>
  <c r="EP315" i="1"/>
  <c r="EQ316" i="1"/>
  <c r="DI317" i="1"/>
  <c r="DH316" i="1"/>
  <c r="DZ316" i="1"/>
  <c r="DY315" i="1"/>
  <c r="IO318" i="1"/>
  <c r="IN318" i="1"/>
  <c r="IN317" i="1"/>
  <c r="FY316" i="1"/>
  <c r="FX315" i="1"/>
  <c r="BZ315" i="1"/>
  <c r="IM315" i="1"/>
  <c r="GP316" i="1"/>
  <c r="GO315" i="1"/>
  <c r="BJ316" i="1"/>
  <c r="BI315" i="1"/>
  <c r="AS317" i="1"/>
  <c r="AR316" i="1"/>
  <c r="CA316" i="1"/>
  <c r="H315" i="1"/>
  <c r="N315" i="1"/>
  <c r="AB317" i="1"/>
  <c r="JE315" i="1"/>
  <c r="JF316" i="1"/>
  <c r="CR316" i="1"/>
  <c r="CQ315" i="1"/>
  <c r="JD315" i="1"/>
  <c r="HW316" i="1"/>
  <c r="HX317" i="1"/>
  <c r="HF316" i="1"/>
  <c r="HG317" i="1"/>
  <c r="DY316" i="1"/>
  <c r="DZ317" i="1"/>
  <c r="DI318" i="1"/>
  <c r="DH318" i="1"/>
  <c r="DH317" i="1"/>
  <c r="FY317" i="1"/>
  <c r="FX316" i="1"/>
  <c r="EP316" i="1"/>
  <c r="EQ317" i="1"/>
  <c r="FH317" i="1"/>
  <c r="FG316" i="1"/>
  <c r="BZ316" i="1"/>
  <c r="IM316" i="1"/>
  <c r="GP317" i="1"/>
  <c r="GO316" i="1"/>
  <c r="AB318" i="1"/>
  <c r="AA318" i="1"/>
  <c r="AA317" i="1"/>
  <c r="AS318" i="1"/>
  <c r="AR318" i="1"/>
  <c r="AR317" i="1"/>
  <c r="BJ317" i="1"/>
  <c r="BI316" i="1"/>
  <c r="H316" i="1"/>
  <c r="N316" i="1"/>
  <c r="CA317" i="1"/>
  <c r="JE316" i="1"/>
  <c r="JF317" i="1"/>
  <c r="CR317" i="1"/>
  <c r="CQ316" i="1"/>
  <c r="JD316" i="1"/>
  <c r="HW317" i="1"/>
  <c r="HX318" i="1"/>
  <c r="HW318" i="1"/>
  <c r="FY318" i="1"/>
  <c r="FX318" i="1"/>
  <c r="FX317" i="1"/>
  <c r="DY317" i="1"/>
  <c r="DZ318" i="1"/>
  <c r="DY318" i="1"/>
  <c r="HF317" i="1"/>
  <c r="HG318" i="1"/>
  <c r="HF318" i="1"/>
  <c r="EQ318" i="1"/>
  <c r="EP318" i="1"/>
  <c r="EP317" i="1"/>
  <c r="FG317" i="1"/>
  <c r="FH318" i="1"/>
  <c r="FG318" i="1"/>
  <c r="BZ317" i="1"/>
  <c r="IM317" i="1"/>
  <c r="GP318" i="1"/>
  <c r="GO318" i="1"/>
  <c r="GO317" i="1"/>
  <c r="BJ318" i="1"/>
  <c r="BI318" i="1"/>
  <c r="BI317" i="1"/>
  <c r="H317" i="1"/>
  <c r="N317" i="1"/>
  <c r="CA318" i="1"/>
  <c r="BZ318" i="1"/>
  <c r="JE317" i="1"/>
  <c r="JF318" i="1"/>
  <c r="JE318" i="1"/>
  <c r="CR318" i="1"/>
  <c r="CQ318" i="1"/>
  <c r="JD318" i="1"/>
  <c r="CQ317" i="1"/>
  <c r="JD317" i="1"/>
  <c r="H318" i="1"/>
  <c r="N318" i="1"/>
  <c r="P312" i="1"/>
  <c r="IM3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<sst xmlns="http://schemas.openxmlformats.org/spreadsheetml/2006/main" count="659" uniqueCount="101">
  <si>
    <t>SEMANA 1</t>
  </si>
  <si>
    <t>L</t>
  </si>
  <si>
    <t>M</t>
  </si>
  <si>
    <t>X</t>
  </si>
  <si>
    <t>J</t>
  </si>
  <si>
    <t>V</t>
  </si>
  <si>
    <t>S</t>
  </si>
  <si>
    <t>D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</si>
  <si>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</si>
  <si>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</si>
  <si>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</si>
  <si>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</si>
  <si>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</si>
  <si>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</si>
  <si>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</si>
  <si>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</si>
  <si>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</si>
  <si>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</si>
  <si>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</si>
  <si>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</si>
  <si>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</si>
  <si>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</si>
  <si>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</si>
  <si>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</si>
  <si>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</si>
  <si>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</si>
  <si>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</si>
  <si>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</si>
  <si>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</si>
  <si>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</si>
  <si>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</si>
  <si>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</si>
  <si>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</si>
  <si>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</si>
  <si>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</si>
  <si>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</si>
  <si>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</si>
  <si>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</si>
  <si>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</si>
  <si>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</si>
  <si>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</si>
  <si>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</si>
  <si>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</si>
  <si>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</si>
  <si>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</si>
  <si>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</si>
  <si>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</si>
  <si>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</si>
  <si>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</si>
  <si>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</si>
  <si>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Z1</t>
  </si>
  <si>
    <t>Z2</t>
  </si>
  <si>
    <t>Z3</t>
  </si>
  <si>
    <t>Z4</t>
  </si>
  <si>
    <t>Z5</t>
  </si>
  <si>
    <t>DÍA</t>
  </si>
  <si>
    <t>SEM</t>
  </si>
  <si>
    <t>load
RPE</t>
  </si>
  <si>
    <t>load
FC</t>
  </si>
  <si>
    <t>A-C
RPE</t>
  </si>
  <si>
    <t>A
RPE</t>
  </si>
  <si>
    <t>C
RPE</t>
  </si>
  <si>
    <t>RPEm</t>
  </si>
  <si>
    <t>RPEt</t>
  </si>
  <si>
    <t>VOL
m</t>
  </si>
  <si>
    <t>VOL
t</t>
  </si>
  <si>
    <t>RPE
m</t>
  </si>
  <si>
    <t>load
m</t>
  </si>
  <si>
    <t>RPE
t</t>
  </si>
  <si>
    <t>load
t</t>
  </si>
  <si>
    <t>LOAD
full</t>
  </si>
  <si>
    <t xml:space="preserve">
</t>
  </si>
  <si>
    <t>GIAN</t>
  </si>
  <si>
    <t>BARRA</t>
  </si>
  <si>
    <t>TJ</t>
  </si>
  <si>
    <t>FERDI</t>
  </si>
  <si>
    <t>NICHO</t>
  </si>
  <si>
    <t>BRANDON</t>
  </si>
  <si>
    <t>ROMARIO</t>
  </si>
  <si>
    <t>SANY</t>
  </si>
  <si>
    <t>MERT</t>
  </si>
  <si>
    <t>MARTIN</t>
  </si>
  <si>
    <t>JAMIL</t>
  </si>
  <si>
    <t>CARGA</t>
  </si>
  <si>
    <t>FECHA</t>
  </si>
  <si>
    <t>LOAD
total</t>
  </si>
  <si>
    <t>BANGO</t>
  </si>
  <si>
    <t>SEMANA 44</t>
  </si>
  <si>
    <t>SYLLA</t>
  </si>
  <si>
    <t>ind</t>
  </si>
  <si>
    <t>IND</t>
  </si>
  <si>
    <t>LOAD
FC</t>
  </si>
  <si>
    <t>TOMIC</t>
  </si>
  <si>
    <t>Nº 
jug
total</t>
  </si>
  <si>
    <t>Nº 
jug
BBL</t>
  </si>
  <si>
    <t>EXTRA</t>
  </si>
  <si>
    <t>GRÁFICOS</t>
  </si>
  <si>
    <t>COMPARACIÓN SEMANAL FC</t>
  </si>
  <si>
    <t>CARGA SEMANAL
FC / RPE</t>
  </si>
  <si>
    <t>GENERAL</t>
  </si>
  <si>
    <t>ARNAS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</si>
</sst>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22"/>
      <color rgb="FFCC9900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rgb="FFCC9900"/>
      </top>
      <bottom/>
      <diagonal/>
    </border>
    <border>
      <left/>
      <right style="thick">
        <color rgb="FFCC9900"/>
      </right>
      <top style="thick">
        <color rgb="FFCC9900"/>
      </top>
      <bottom/>
      <diagonal/>
    </border>
    <border>
      <left/>
      <right style="thick">
        <color rgb="FFCC9900"/>
      </right>
      <top/>
      <bottom/>
      <diagonal/>
    </border>
    <border>
      <left/>
      <right/>
      <top/>
      <bottom style="thick">
        <color rgb="FFCC9900"/>
      </bottom>
      <diagonal/>
    </border>
    <border>
      <left/>
      <right style="thick">
        <color rgb="FFCC9900"/>
      </right>
      <top/>
      <bottom style="thick">
        <color rgb="FFCC9900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13" fillId="10" borderId="0" xfId="0" applyNumberFormat="1" applyFont="1" applyFill="1" applyAlignment="1">
      <alignment horizontal="center" vertical="center"/>
    </xf>
    <xf numFmtId="1" fontId="13" fillId="10" borderId="3" xfId="0" applyNumberFormat="1" applyFont="1" applyFill="1" applyBorder="1" applyAlignment="1">
      <alignment horizontal="center" vertical="center"/>
    </xf>
    <xf numFmtId="1" fontId="13" fillId="10" borderId="2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1" fillId="16" borderId="13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" fillId="16" borderId="27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8" fillId="16" borderId="24" xfId="0" applyFont="1" applyFill="1" applyBorder="1" applyAlignment="1">
      <alignment horizontal="center" vertical="center"/>
    </xf>
    <xf numFmtId="0" fontId="8" fillId="16" borderId="15" xfId="0" applyFont="1" applyFill="1" applyBorder="1" applyAlignment="1">
      <alignment horizontal="center" vertical="center"/>
    </xf>
    <xf numFmtId="0" fontId="0" fillId="16" borderId="0" xfId="0" applyFill="1"/>
    <xf numFmtId="16" fontId="0" fillId="16" borderId="0" xfId="0" applyNumberFormat="1" applyFill="1" applyAlignment="1">
      <alignment horizontal="center" vertical="center"/>
    </xf>
    <xf numFmtId="16" fontId="0" fillId="16" borderId="3" xfId="0" applyNumberFormat="1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16" fontId="0" fillId="16" borderId="31" xfId="0" applyNumberFormat="1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16" fontId="0" fillId="16" borderId="33" xfId="0" applyNumberFormat="1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16" fontId="0" fillId="16" borderId="35" xfId="0" applyNumberForma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" fillId="16" borderId="4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16" fontId="0" fillId="12" borderId="33" xfId="0" applyNumberFormat="1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16" fontId="0" fillId="12" borderId="35" xfId="0" applyNumberForma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12" fillId="16" borderId="12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16" fillId="11" borderId="0" xfId="0" applyFont="1" applyFill="1" applyAlignment="1">
      <alignment vertical="center"/>
    </xf>
    <xf numFmtId="0" fontId="16" fillId="11" borderId="0" xfId="0" applyFont="1" applyFill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6" fillId="3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vertical="center"/>
    </xf>
    <xf numFmtId="0" fontId="16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16" fillId="4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vertical="center"/>
    </xf>
    <xf numFmtId="0" fontId="12" fillId="2" borderId="37" xfId="0" applyFont="1" applyFill="1" applyBorder="1" applyAlignment="1">
      <alignment vertical="center"/>
    </xf>
    <xf numFmtId="0" fontId="12" fillId="3" borderId="36" xfId="0" applyFont="1" applyFill="1" applyBorder="1" applyAlignment="1">
      <alignment vertical="center"/>
    </xf>
    <xf numFmtId="0" fontId="12" fillId="3" borderId="37" xfId="0" applyFont="1" applyFill="1" applyBorder="1" applyAlignment="1">
      <alignment vertical="center"/>
    </xf>
    <xf numFmtId="0" fontId="12" fillId="4" borderId="36" xfId="0" applyFont="1" applyFill="1" applyBorder="1" applyAlignment="1">
      <alignment vertical="center"/>
    </xf>
    <xf numFmtId="0" fontId="12" fillId="4" borderId="37" xfId="0" applyFont="1" applyFill="1" applyBorder="1" applyAlignment="1">
      <alignment vertical="center"/>
    </xf>
    <xf numFmtId="0" fontId="12" fillId="11" borderId="36" xfId="0" applyFont="1" applyFill="1" applyBorder="1" applyAlignment="1">
      <alignment vertical="center"/>
    </xf>
    <xf numFmtId="0" fontId="12" fillId="11" borderId="37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12" fillId="3" borderId="38" xfId="0" applyFont="1" applyFill="1" applyBorder="1" applyAlignment="1">
      <alignment vertical="center"/>
    </xf>
    <xf numFmtId="0" fontId="12" fillId="4" borderId="38" xfId="0" applyFont="1" applyFill="1" applyBorder="1" applyAlignment="1">
      <alignment vertical="center"/>
    </xf>
    <xf numFmtId="0" fontId="12" fillId="11" borderId="38" xfId="0" applyFont="1" applyFill="1" applyBorder="1" applyAlignment="1">
      <alignment vertical="center"/>
    </xf>
    <xf numFmtId="0" fontId="12" fillId="6" borderId="36" xfId="0" applyFont="1" applyFill="1" applyBorder="1" applyAlignment="1">
      <alignment vertical="center"/>
    </xf>
    <xf numFmtId="0" fontId="12" fillId="6" borderId="37" xfId="0" applyFont="1" applyFill="1" applyBorder="1" applyAlignment="1">
      <alignment vertical="center"/>
    </xf>
    <xf numFmtId="0" fontId="12" fillId="6" borderId="38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 textRotation="90"/>
    </xf>
    <xf numFmtId="0" fontId="0" fillId="16" borderId="0" xfId="0" applyFill="1" applyAlignment="1">
      <alignment horizontal="center" vertical="center" textRotation="90"/>
    </xf>
    <xf numFmtId="0" fontId="0" fillId="16" borderId="3" xfId="0" applyFill="1" applyBorder="1" applyAlignment="1">
      <alignment horizontal="center" vertical="center" textRotation="90"/>
    </xf>
    <xf numFmtId="0" fontId="0" fillId="16" borderId="12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5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0" fontId="1" fillId="16" borderId="13" xfId="0" applyFont="1" applyFill="1" applyBorder="1" applyAlignment="1">
      <alignment horizontal="center" vertical="center" wrapText="1"/>
    </xf>
    <xf numFmtId="0" fontId="12" fillId="16" borderId="13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0" fontId="17" fillId="16" borderId="5" xfId="0" applyFont="1" applyFill="1" applyBorder="1" applyAlignment="1">
      <alignment horizontal="center" vertical="center"/>
    </xf>
    <xf numFmtId="0" fontId="17" fillId="16" borderId="13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226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0.79998168889431442"/>
      </font>
    </dxf>
  </dxfs>
  <tableStyles count="0" defaultTableStyle="TableStyleMedium2" defaultPivotStyle="PivotStyleLight16"/>
  <colors>
    <mruColors>
      <color rgb="FFFFCCCC"/>
      <color rgb="FFCCFFCC"/>
      <color rgb="FFCCFFFF"/>
      <color rgb="FFFFFFCC"/>
      <color rgb="FFFF9999"/>
      <color rgb="FFCC9900"/>
      <color rgb="FF959533"/>
      <color rgb="FFFFFF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DATOS'!$M$11:$M$17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120</c:v>
                </c:pt>
                <c:pt idx="6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F-4C2E-B334-DA5F82FEB65F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DATOS'!$H$11:$H$17</c:f>
              <c:numCache>
                <c:formatCode>General</c:formatCode>
                <c:ptCount val="7"/>
                <c:pt idx="0">
                  <c:v>135</c:v>
                </c:pt>
                <c:pt idx="1">
                  <c:v>148.5</c:v>
                </c:pt>
                <c:pt idx="2">
                  <c:v>166.5</c:v>
                </c:pt>
                <c:pt idx="3">
                  <c:v>180</c:v>
                </c:pt>
                <c:pt idx="4">
                  <c:v>325</c:v>
                </c:pt>
                <c:pt idx="5">
                  <c:v>490</c:v>
                </c:pt>
                <c:pt idx="6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9-4FEE-9AB0-28365C4B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DATOS'!$C$18:$C$24</c:f>
              <c:numCache>
                <c:formatCode>d\-mmm</c:formatCode>
                <c:ptCount val="7"/>
                <c:pt idx="0">
                  <c:v>45152</c:v>
                </c:pt>
                <c:pt idx="1">
                  <c:v>45153</c:v>
                </c:pt>
                <c:pt idx="2">
                  <c:v>45154</c:v>
                </c:pt>
                <c:pt idx="3">
                  <c:v>45155</c:v>
                </c:pt>
                <c:pt idx="4">
                  <c:v>45156</c:v>
                </c:pt>
                <c:pt idx="5">
                  <c:v>45157</c:v>
                </c:pt>
                <c:pt idx="6">
                  <c:v>45158</c:v>
                </c:pt>
              </c:numCache>
            </c:numRef>
          </c:cat>
          <c:val>
            <c:numRef>
              <c:f>'BASE DE DATOS'!$M$18:$M$24</c:f>
              <c:numCache>
                <c:formatCode>General</c:formatCode>
                <c:ptCount val="7"/>
                <c:pt idx="0">
                  <c:v>420</c:v>
                </c:pt>
                <c:pt idx="1">
                  <c:v>495.83333333333331</c:v>
                </c:pt>
                <c:pt idx="2">
                  <c:v>466.66666666666669</c:v>
                </c:pt>
                <c:pt idx="3">
                  <c:v>385</c:v>
                </c:pt>
                <c:pt idx="4">
                  <c:v>290</c:v>
                </c:pt>
                <c:pt idx="5">
                  <c:v>737.5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0-4C24-85E4-57447BC7563F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'BASE DE DATOS'!$C$18:$C$24</c:f>
              <c:numCache>
                <c:formatCode>d\-mmm</c:formatCode>
                <c:ptCount val="7"/>
                <c:pt idx="0">
                  <c:v>45152</c:v>
                </c:pt>
                <c:pt idx="1">
                  <c:v>45153</c:v>
                </c:pt>
                <c:pt idx="2">
                  <c:v>45154</c:v>
                </c:pt>
                <c:pt idx="3">
                  <c:v>45155</c:v>
                </c:pt>
                <c:pt idx="4">
                  <c:v>45156</c:v>
                </c:pt>
                <c:pt idx="5">
                  <c:v>45157</c:v>
                </c:pt>
                <c:pt idx="6">
                  <c:v>45158</c:v>
                </c:pt>
              </c:numCache>
            </c:numRef>
          </c:cat>
          <c:val>
            <c:numRef>
              <c:f>'BASE DE DATOS'!$H$18:$H$24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0-4C24-85E4-57447BC75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DATOS'!$M$25:$M$31</c:f>
              <c:numCache>
                <c:formatCode>General</c:formatCode>
                <c:ptCount val="7"/>
                <c:pt idx="0">
                  <c:v>389.375</c:v>
                </c:pt>
                <c:pt idx="1">
                  <c:v>519.1875</c:v>
                </c:pt>
                <c:pt idx="2">
                  <c:v>0</c:v>
                </c:pt>
                <c:pt idx="3">
                  <c:v>285</c:v>
                </c:pt>
                <c:pt idx="4">
                  <c:v>0</c:v>
                </c:pt>
                <c:pt idx="5">
                  <c:v>0</c:v>
                </c:pt>
                <c:pt idx="6">
                  <c:v>743.75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0-4768-8454-6E0794316E8B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DATOS'!$H$25:$H$31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300</c:v>
                </c:pt>
                <c:pt idx="3">
                  <c:v>601.875</c:v>
                </c:pt>
                <c:pt idx="4">
                  <c:v>500</c:v>
                </c:pt>
                <c:pt idx="5">
                  <c:v>371.875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0-4768-8454-6E0794316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DATOS'!$M$32:$M$38</c:f>
              <c:numCache>
                <c:formatCode>General</c:formatCode>
                <c:ptCount val="7"/>
                <c:pt idx="0">
                  <c:v>0</c:v>
                </c:pt>
                <c:pt idx="1">
                  <c:v>358.33333333333337</c:v>
                </c:pt>
                <c:pt idx="2">
                  <c:v>374.6875</c:v>
                </c:pt>
                <c:pt idx="3">
                  <c:v>320</c:v>
                </c:pt>
                <c:pt idx="4">
                  <c:v>277.5</c:v>
                </c:pt>
                <c:pt idx="5">
                  <c:v>700</c:v>
                </c:pt>
                <c:pt idx="6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3-4B57-8D40-2C33310F1635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DATOS'!$H$32:$H$38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321.875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3-4B57-8D40-2C33310F1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DATOS'!$M$39:$M$45</c:f>
              <c:numCache>
                <c:formatCode>General</c:formatCode>
                <c:ptCount val="7"/>
                <c:pt idx="0">
                  <c:v>0</c:v>
                </c:pt>
                <c:pt idx="1">
                  <c:v>307.8125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1-4143-9097-FD298F34269E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DATOS'!$H$39:$H$45</c:f>
              <c:numCache>
                <c:formatCode>General</c:formatCode>
                <c:ptCount val="7"/>
                <c:pt idx="0">
                  <c:v>0</c:v>
                </c:pt>
                <c:pt idx="1">
                  <c:v>147.5</c:v>
                </c:pt>
                <c:pt idx="2">
                  <c:v>433.33333333333337</c:v>
                </c:pt>
                <c:pt idx="3">
                  <c:v>565.82000000000005</c:v>
                </c:pt>
                <c:pt idx="4">
                  <c:v>444.81818181818187</c:v>
                </c:pt>
                <c:pt idx="5">
                  <c:v>306.09090909090912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1-4143-9097-FD298F342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DATOS'!$M$46:$M$52</c:f>
              <c:numCache>
                <c:formatCode>General</c:formatCode>
                <c:ptCount val="7"/>
                <c:pt idx="0">
                  <c:v>0</c:v>
                </c:pt>
                <c:pt idx="1">
                  <c:v>406.94545454545454</c:v>
                </c:pt>
                <c:pt idx="2">
                  <c:v>662.72727272727275</c:v>
                </c:pt>
                <c:pt idx="3">
                  <c:v>343.63636363636363</c:v>
                </c:pt>
                <c:pt idx="4">
                  <c:v>341.4545454545455</c:v>
                </c:pt>
                <c:pt idx="5">
                  <c:v>695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9-40F5-847E-591128C0425F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DATOS'!$H$46:$H$52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9-40F5-847E-591128C04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DATOS'!$M$53:$M$59</c:f>
              <c:numCache>
                <c:formatCode>General</c:formatCode>
                <c:ptCount val="7"/>
                <c:pt idx="0">
                  <c:v>453</c:v>
                </c:pt>
                <c:pt idx="1">
                  <c:v>563.34</c:v>
                </c:pt>
                <c:pt idx="2">
                  <c:v>707.48</c:v>
                </c:pt>
                <c:pt idx="3">
                  <c:v>467.5</c:v>
                </c:pt>
                <c:pt idx="4">
                  <c:v>0</c:v>
                </c:pt>
                <c:pt idx="5">
                  <c:v>733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7-472F-9542-DDD8D83F777A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DATOS'!$H$53:$H$59</c:f>
              <c:numCache>
                <c:formatCode>General</c:formatCode>
                <c:ptCount val="7"/>
                <c:pt idx="0">
                  <c:v>165</c:v>
                </c:pt>
                <c:pt idx="1">
                  <c:v>0</c:v>
                </c:pt>
                <c:pt idx="2">
                  <c:v>153.75</c:v>
                </c:pt>
                <c:pt idx="3">
                  <c:v>0</c:v>
                </c:pt>
                <c:pt idx="4">
                  <c:v>345.41999999999996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7-472F-9542-DDD8D83F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DATOS'!$M$60:$M$66</c:f>
              <c:numCache>
                <c:formatCode>General</c:formatCode>
                <c:ptCount val="7"/>
                <c:pt idx="0">
                  <c:v>533.79999999999995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797.77777777777783</c:v>
                </c:pt>
                <c:pt idx="5">
                  <c:v>0</c:v>
                </c:pt>
                <c:pt idx="6">
                  <c:v>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1-4FC3-9BD3-92F44091F7BA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DATOS'!$H$60:$H$66</c:f>
              <c:numCache>
                <c:formatCode>General</c:formatCode>
                <c:ptCount val="7"/>
                <c:pt idx="0">
                  <c:v>0</c:v>
                </c:pt>
                <c:pt idx="1">
                  <c:v>754.00000000000011</c:v>
                </c:pt>
                <c:pt idx="2">
                  <c:v>596.93181818181813</c:v>
                </c:pt>
                <c:pt idx="3">
                  <c:v>366.81818181818181</c:v>
                </c:pt>
                <c:pt idx="4">
                  <c:v>0</c:v>
                </c:pt>
                <c:pt idx="5">
                  <c:v>152.72727272727272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1-4FC3-9BD3-92F44091F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DATOS'!$M$67:$M$73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835.1444444444445</c:v>
                </c:pt>
                <c:pt idx="3">
                  <c:v>0</c:v>
                </c:pt>
                <c:pt idx="4">
                  <c:v>0</c:v>
                </c:pt>
                <c:pt idx="5">
                  <c:v>293.33333333333337</c:v>
                </c:pt>
                <c:pt idx="6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6-403B-BA1E-01549C0E3341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DATOS'!$H$67:$H$73</c:f>
              <c:numCache>
                <c:formatCode>General</c:formatCode>
                <c:ptCount val="7"/>
                <c:pt idx="0">
                  <c:v>0</c:v>
                </c:pt>
                <c:pt idx="1">
                  <c:v>542.22222222222217</c:v>
                </c:pt>
                <c:pt idx="2">
                  <c:v>157.5</c:v>
                </c:pt>
                <c:pt idx="3">
                  <c:v>322.4375</c:v>
                </c:pt>
                <c:pt idx="4">
                  <c:v>377.93333333333334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6-403B-BA1E-01549C0E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DATOS'!$M$74:$M$80</c:f>
              <c:numCache>
                <c:formatCode>General</c:formatCode>
                <c:ptCount val="7"/>
                <c:pt idx="0">
                  <c:v>0</c:v>
                </c:pt>
                <c:pt idx="1">
                  <c:v>474.48000000000008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778.19999999999993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E-4084-B213-01F5AC35ABFC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DATOS'!$H$74:$H$80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518.41111111111115</c:v>
                </c:pt>
                <c:pt idx="3">
                  <c:v>500.04999999999995</c:v>
                </c:pt>
                <c:pt idx="4">
                  <c:v>420</c:v>
                </c:pt>
                <c:pt idx="5">
                  <c:v>366.8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E-4084-B213-01F5AC35A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DATOS'!$M$81:$M$87</c:f>
              <c:numCache>
                <c:formatCode>General</c:formatCode>
                <c:ptCount val="7"/>
                <c:pt idx="0">
                  <c:v>0</c:v>
                </c:pt>
                <c:pt idx="1">
                  <c:v>438.2</c:v>
                </c:pt>
                <c:pt idx="2">
                  <c:v>657.92000000000007</c:v>
                </c:pt>
                <c:pt idx="3">
                  <c:v>0</c:v>
                </c:pt>
                <c:pt idx="4">
                  <c:v>0</c:v>
                </c:pt>
                <c:pt idx="5">
                  <c:v>754.5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216-A614-0B27CCE26804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DATOS'!$H$81:$H$87</c:f>
              <c:numCache>
                <c:formatCode>General</c:formatCode>
                <c:ptCount val="7"/>
                <c:pt idx="0">
                  <c:v>0</c:v>
                </c:pt>
                <c:pt idx="1">
                  <c:v>190.34999999999997</c:v>
                </c:pt>
                <c:pt idx="2">
                  <c:v>0</c:v>
                </c:pt>
                <c:pt idx="3">
                  <c:v>595.4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F-4216-A614-0B27CCE2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DATOS'!$M$88:$M$94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770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2-4721-96DC-F154BBC5F7A8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DATOS'!$H$88:$H$94</c:f>
              <c:numCache>
                <c:formatCode>General</c:formatCode>
                <c:ptCount val="7"/>
                <c:pt idx="0">
                  <c:v>550.57777777777778</c:v>
                </c:pt>
                <c:pt idx="1">
                  <c:v>722.22222222222229</c:v>
                </c:pt>
                <c:pt idx="2">
                  <c:v>459</c:v>
                </c:pt>
                <c:pt idx="3">
                  <c:v>472.58181818181816</c:v>
                </c:pt>
                <c:pt idx="4">
                  <c:v>491.59090909090901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2-4721-96DC-F154BBC5F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DATOS'!$M$95:$M$101</c:f>
              <c:numCache>
                <c:formatCode>General</c:formatCode>
                <c:ptCount val="7"/>
                <c:pt idx="0">
                  <c:v>430.625</c:v>
                </c:pt>
                <c:pt idx="1">
                  <c:v>0</c:v>
                </c:pt>
                <c:pt idx="2">
                  <c:v>406.97999999999996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825.69999999999993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39E-83DF-F77DE7AFC677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DATOS'!$H$95:$H$101</c:f>
              <c:numCache>
                <c:formatCode>General</c:formatCode>
                <c:ptCount val="7"/>
                <c:pt idx="0">
                  <c:v>234.375</c:v>
                </c:pt>
                <c:pt idx="1">
                  <c:v>478.26666666666665</c:v>
                </c:pt>
                <c:pt idx="2">
                  <c:v>222.22222222222223</c:v>
                </c:pt>
                <c:pt idx="3">
                  <c:v>413.23000000000008</c:v>
                </c:pt>
                <c:pt idx="4">
                  <c:v>561.6</c:v>
                </c:pt>
                <c:pt idx="5">
                  <c:v>391.97999999999996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E-439E-83DF-F77DE7AFC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DATOS'!$M$102:$M$108</c:f>
              <c:numCache>
                <c:formatCode>General</c:formatCode>
                <c:ptCount val="7"/>
                <c:pt idx="0">
                  <c:v>0</c:v>
                </c:pt>
                <c:pt idx="1">
                  <c:v>489.9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815.49999999999989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8-41AC-8969-C1DB11B3D02A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DATOS'!$H$102:$H$108</c:f>
              <c:numCache>
                <c:formatCode>General</c:formatCode>
                <c:ptCount val="7"/>
                <c:pt idx="0">
                  <c:v>0</c:v>
                </c:pt>
                <c:pt idx="1">
                  <c:v>232.50000000000003</c:v>
                </c:pt>
                <c:pt idx="2">
                  <c:v>542.04545454545462</c:v>
                </c:pt>
                <c:pt idx="3">
                  <c:v>612.31636363636369</c:v>
                </c:pt>
                <c:pt idx="4">
                  <c:v>548.44999999999993</c:v>
                </c:pt>
                <c:pt idx="5">
                  <c:v>403.05454545454546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C8-41AC-8969-C1DB11B3D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DATOS'!$M$109:$M$115</c:f>
              <c:numCache>
                <c:formatCode>General</c:formatCode>
                <c:ptCount val="7"/>
                <c:pt idx="0">
                  <c:v>0</c:v>
                </c:pt>
                <c:pt idx="1">
                  <c:v>383.79545454545456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3-433F-BFDF-E1FB70168BBB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DATOS'!$H$109:$H$115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686.8</c:v>
                </c:pt>
                <c:pt idx="3">
                  <c:v>393.76363636363635</c:v>
                </c:pt>
                <c:pt idx="4">
                  <c:v>444.36363636363626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13-433F-BFDF-E1FB70168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DATOS'!$M$116:$M$122</c:f>
              <c:numCache>
                <c:formatCode>General</c:formatCode>
                <c:ptCount val="7"/>
                <c:pt idx="0">
                  <c:v>542.04545454545462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814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A-41CC-8589-D0557AF0E0B5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DATOS'!$H$116:$H$122</c:f>
              <c:numCache>
                <c:formatCode>General</c:formatCode>
                <c:ptCount val="7"/>
                <c:pt idx="0">
                  <c:v>200</c:v>
                </c:pt>
                <c:pt idx="1">
                  <c:v>695.0454545454545</c:v>
                </c:pt>
                <c:pt idx="2">
                  <c:v>855.27272727272725</c:v>
                </c:pt>
                <c:pt idx="3">
                  <c:v>444.58399999999995</c:v>
                </c:pt>
                <c:pt idx="4">
                  <c:v>389.12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A-41CC-8589-D0557AF0E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DATOS'!$M$123:$M$129</c:f>
              <c:numCache>
                <c:formatCode>General</c:formatCode>
                <c:ptCount val="7"/>
                <c:pt idx="0">
                  <c:v>477.12000000000006</c:v>
                </c:pt>
                <c:pt idx="1">
                  <c:v>570.95500000000004</c:v>
                </c:pt>
                <c:pt idx="2">
                  <c:v>281.03999999999996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805.00000000000011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0-486C-B945-B81EB61D5D76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DATOS'!$H$123:$H$129</c:f>
              <c:numCache>
                <c:formatCode>General</c:formatCode>
                <c:ptCount val="7"/>
                <c:pt idx="0">
                  <c:v>0</c:v>
                </c:pt>
                <c:pt idx="1">
                  <c:v>152.5</c:v>
                </c:pt>
                <c:pt idx="2">
                  <c:v>0</c:v>
                </c:pt>
                <c:pt idx="3">
                  <c:v>685.35</c:v>
                </c:pt>
                <c:pt idx="4">
                  <c:v>624.79999999999995</c:v>
                </c:pt>
                <c:pt idx="5">
                  <c:v>355.5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0-486C-B945-B81EB61D5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DATOS'!$M$130:$M$136</c:f>
              <c:numCache>
                <c:formatCode>General</c:formatCode>
                <c:ptCount val="7"/>
                <c:pt idx="0">
                  <c:v>0</c:v>
                </c:pt>
                <c:pt idx="1">
                  <c:v>411.84375</c:v>
                </c:pt>
                <c:pt idx="2">
                  <c:v>0</c:v>
                </c:pt>
                <c:pt idx="3">
                  <c:v>428.3125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8-4C27-9E82-6C337E8A8E48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DATOS'!$H$130:$H$136</c:f>
              <c:numCache>
                <c:formatCode>General</c:formatCode>
                <c:ptCount val="7"/>
                <c:pt idx="0">
                  <c:v>0</c:v>
                </c:pt>
                <c:pt idx="1">
                  <c:v>181.25</c:v>
                </c:pt>
                <c:pt idx="2">
                  <c:v>620.42499999999995</c:v>
                </c:pt>
                <c:pt idx="3">
                  <c:v>175</c:v>
                </c:pt>
                <c:pt idx="4">
                  <c:v>511.83333333333337</c:v>
                </c:pt>
                <c:pt idx="5">
                  <c:v>528.43333333333328</c:v>
                </c:pt>
                <c:pt idx="6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8-4C27-9E82-6C337E8A8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val>
            <c:numRef>
              <c:f>'BASE DE DATOS'!$O$130:$O$136</c:f>
              <c:numCache>
                <c:formatCode>General</c:formatCode>
                <c:ptCount val="7"/>
                <c:pt idx="0">
                  <c:v>0</c:v>
                </c:pt>
                <c:pt idx="1">
                  <c:v>161.5625</c:v>
                </c:pt>
                <c:pt idx="2">
                  <c:v>182.44444444444446</c:v>
                </c:pt>
                <c:pt idx="3">
                  <c:v>146.55555555555554</c:v>
                </c:pt>
                <c:pt idx="4">
                  <c:v>166.53333333333333</c:v>
                </c:pt>
                <c:pt idx="5">
                  <c:v>165.99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58-4C27-9E82-6C337E8A8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DATOS'!$M$137:$M$143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827.77777777777783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6-4B6B-B5FC-7AB34EBD6617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DATOS'!$H$137:$H$143</c:f>
              <c:numCache>
                <c:formatCode>General</c:formatCode>
                <c:ptCount val="7"/>
                <c:pt idx="0">
                  <c:v>581.79333333333329</c:v>
                </c:pt>
                <c:pt idx="1">
                  <c:v>395.86666666666667</c:v>
                </c:pt>
                <c:pt idx="2">
                  <c:v>90</c:v>
                </c:pt>
                <c:pt idx="3">
                  <c:v>0</c:v>
                </c:pt>
                <c:pt idx="4">
                  <c:v>359.7</c:v>
                </c:pt>
                <c:pt idx="5">
                  <c:v>242.83333333333334</c:v>
                </c:pt>
                <c:pt idx="6">
                  <c:v>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66-4B6B-B5FC-7AB34EBD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DATOS'!$O$137:$O$143</c:f>
              <c:numCache>
                <c:formatCode>General</c:formatCode>
                <c:ptCount val="7"/>
                <c:pt idx="0">
                  <c:v>165.98461538461541</c:v>
                </c:pt>
                <c:pt idx="1">
                  <c:v>111.21818181818183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66-4B6B-B5FC-7AB34EBD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DATOS'!$M$144:$M$150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692.10555555555561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8-4796-A3AF-BCE19AC6E512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DATOS'!$H$144:$H$150</c:f>
              <c:numCache>
                <c:formatCode>General</c:formatCode>
                <c:ptCount val="7"/>
                <c:pt idx="0">
                  <c:v>0</c:v>
                </c:pt>
                <c:pt idx="1">
                  <c:v>460.95500000000004</c:v>
                </c:pt>
                <c:pt idx="2">
                  <c:v>545.72222222222217</c:v>
                </c:pt>
                <c:pt idx="3">
                  <c:v>470.85</c:v>
                </c:pt>
                <c:pt idx="4">
                  <c:v>448.01</c:v>
                </c:pt>
                <c:pt idx="5">
                  <c:v>843.33333333333337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D8-4796-A3AF-BCE19AC6E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DATOS'!$O$144:$O$150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D8-4796-A3AF-BCE19AC6E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DATOS'!$M$151:$M$157</c:f>
              <c:numCache>
                <c:formatCode>General</c:formatCode>
                <c:ptCount val="7"/>
                <c:pt idx="0">
                  <c:v>0</c:v>
                </c:pt>
                <c:pt idx="1">
                  <c:v>605.67000000000007</c:v>
                </c:pt>
                <c:pt idx="2">
                  <c:v>0</c:v>
                </c:pt>
                <c:pt idx="3">
                  <c:v>180</c:v>
                </c:pt>
                <c:pt idx="4">
                  <c:v>0</c:v>
                </c:pt>
                <c:pt idx="5">
                  <c:v>737</c:v>
                </c:pt>
                <c:pt idx="6">
                  <c:v>333.3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9-4080-A2EE-2D4D25FF65E2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DATOS'!$H$151:$H$157</c:f>
              <c:numCache>
                <c:formatCode>General</c:formatCode>
                <c:ptCount val="7"/>
                <c:pt idx="0">
                  <c:v>0</c:v>
                </c:pt>
                <c:pt idx="1">
                  <c:v>162</c:v>
                </c:pt>
                <c:pt idx="2">
                  <c:v>792</c:v>
                </c:pt>
                <c:pt idx="3">
                  <c:v>648.32400000000007</c:v>
                </c:pt>
                <c:pt idx="4">
                  <c:v>419.64799999999997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9-4080-A2EE-2D4D25FF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DATOS'!$O$151:$O$157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39-4080-A2EE-2D4D25FF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DATOS'!$M$158:$M$164</c:f>
              <c:numCache>
                <c:formatCode>General</c:formatCode>
                <c:ptCount val="7"/>
                <c:pt idx="0">
                  <c:v>0</c:v>
                </c:pt>
                <c:pt idx="1">
                  <c:v>831.81818181818187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809.09090909090912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7-4DAE-831F-48773CDB5BB4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DATOS'!$H$158:$H$164</c:f>
              <c:numCache>
                <c:formatCode>General</c:formatCode>
                <c:ptCount val="7"/>
                <c:pt idx="0">
                  <c:v>391.19299999999998</c:v>
                </c:pt>
                <c:pt idx="1">
                  <c:v>0</c:v>
                </c:pt>
                <c:pt idx="2">
                  <c:v>0</c:v>
                </c:pt>
                <c:pt idx="3">
                  <c:v>525</c:v>
                </c:pt>
                <c:pt idx="4">
                  <c:v>377.63636363636363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7-4DAE-831F-48773CDB5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DATOS'!$O$158:$O$164</c:f>
              <c:numCache>
                <c:formatCode>General</c:formatCode>
                <c:ptCount val="7"/>
                <c:pt idx="0">
                  <c:v>148.6</c:v>
                </c:pt>
                <c:pt idx="1">
                  <c:v>0</c:v>
                </c:pt>
                <c:pt idx="2">
                  <c:v>0</c:v>
                </c:pt>
                <c:pt idx="3">
                  <c:v>180.63636363636363</c:v>
                </c:pt>
                <c:pt idx="4">
                  <c:v>159.54545454545453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B7-4DAE-831F-48773CDB5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DATOS'!$M$165:$M$171</c:f>
              <c:numCache>
                <c:formatCode>General</c:formatCode>
                <c:ptCount val="7"/>
                <c:pt idx="0">
                  <c:v>511.33090909090913</c:v>
                </c:pt>
                <c:pt idx="1">
                  <c:v>670.0181818181818</c:v>
                </c:pt>
                <c:pt idx="2">
                  <c:v>570.80700000000002</c:v>
                </c:pt>
                <c:pt idx="3">
                  <c:v>0</c:v>
                </c:pt>
                <c:pt idx="4">
                  <c:v>180</c:v>
                </c:pt>
                <c:pt idx="5">
                  <c:v>0</c:v>
                </c:pt>
                <c:pt idx="6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7-4E0B-A6A5-4F69708F0034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DATOS'!$H$165:$H$171</c:f>
              <c:numCache>
                <c:formatCode>General</c:formatCode>
                <c:ptCount val="7"/>
                <c:pt idx="0">
                  <c:v>0</c:v>
                </c:pt>
                <c:pt idx="1">
                  <c:v>180</c:v>
                </c:pt>
                <c:pt idx="2">
                  <c:v>0</c:v>
                </c:pt>
                <c:pt idx="3">
                  <c:v>681.05181818181813</c:v>
                </c:pt>
                <c:pt idx="4">
                  <c:v>609.5454545454545</c:v>
                </c:pt>
                <c:pt idx="5">
                  <c:v>401.30727272727268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7-4E0B-A6A5-4F69708F0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DATOS'!$O$165:$O$171</c:f>
              <c:numCache>
                <c:formatCode>General</c:formatCode>
                <c:ptCount val="7"/>
                <c:pt idx="0">
                  <c:v>188.95454545454547</c:v>
                </c:pt>
                <c:pt idx="1">
                  <c:v>201.72727272727272</c:v>
                </c:pt>
                <c:pt idx="2">
                  <c:v>210.5</c:v>
                </c:pt>
                <c:pt idx="3">
                  <c:v>218.72727272727272</c:v>
                </c:pt>
                <c:pt idx="4">
                  <c:v>179.81818181818181</c:v>
                </c:pt>
                <c:pt idx="5">
                  <c:v>171.72727272727272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67-4E0B-A6A5-4F69708F0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DATOS'!$M$172:$M$178</c:f>
              <c:numCache>
                <c:formatCode>General</c:formatCode>
                <c:ptCount val="7"/>
                <c:pt idx="0">
                  <c:v>528.25454545454534</c:v>
                </c:pt>
                <c:pt idx="1">
                  <c:v>263.33333333333331</c:v>
                </c:pt>
                <c:pt idx="2">
                  <c:v>0</c:v>
                </c:pt>
                <c:pt idx="3">
                  <c:v>118.18181818181819</c:v>
                </c:pt>
                <c:pt idx="4">
                  <c:v>0</c:v>
                </c:pt>
                <c:pt idx="5">
                  <c:v>663.63636363636363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8-41C2-B7F7-EB19C577B217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DATOS'!$H$172:$H$178</c:f>
              <c:numCache>
                <c:formatCode>General</c:formatCode>
                <c:ptCount val="7"/>
                <c:pt idx="0">
                  <c:v>0</c:v>
                </c:pt>
                <c:pt idx="1">
                  <c:v>543.38181818181818</c:v>
                </c:pt>
                <c:pt idx="2">
                  <c:v>651.09727272727264</c:v>
                </c:pt>
                <c:pt idx="3">
                  <c:v>489.67818181818177</c:v>
                </c:pt>
                <c:pt idx="4">
                  <c:v>417.53181818181815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8-41C2-B7F7-EB19C577B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DATOS'!$O$172:$O$178</c:f>
              <c:numCache>
                <c:formatCode>General</c:formatCode>
                <c:ptCount val="7"/>
                <c:pt idx="0">
                  <c:v>179.53636363636363</c:v>
                </c:pt>
                <c:pt idx="1">
                  <c:v>191.40909090909091</c:v>
                </c:pt>
                <c:pt idx="2">
                  <c:v>217</c:v>
                </c:pt>
                <c:pt idx="3">
                  <c:v>162.81363636363636</c:v>
                </c:pt>
                <c:pt idx="4">
                  <c:v>164.94545454545457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B8-41C2-B7F7-EB19C577B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DATOS'!$M$179:$M$185</c:f>
              <c:numCache>
                <c:formatCode>General</c:formatCode>
                <c:ptCount val="7"/>
                <c:pt idx="0">
                  <c:v>539.16666666666663</c:v>
                </c:pt>
                <c:pt idx="1">
                  <c:v>0</c:v>
                </c:pt>
                <c:pt idx="2">
                  <c:v>201.15000000000003</c:v>
                </c:pt>
                <c:pt idx="3">
                  <c:v>0</c:v>
                </c:pt>
                <c:pt idx="4">
                  <c:v>0</c:v>
                </c:pt>
                <c:pt idx="5">
                  <c:v>889.09090909090912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5-4217-9938-8305058E40DC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DATOS'!$H$179:$H$185</c:f>
              <c:numCache>
                <c:formatCode>General</c:formatCode>
                <c:ptCount val="7"/>
                <c:pt idx="0">
                  <c:v>181.5</c:v>
                </c:pt>
                <c:pt idx="1">
                  <c:v>596.36363636363637</c:v>
                </c:pt>
                <c:pt idx="2">
                  <c:v>685.90000000000009</c:v>
                </c:pt>
                <c:pt idx="3">
                  <c:v>454.464</c:v>
                </c:pt>
                <c:pt idx="4">
                  <c:v>379.59999999999997</c:v>
                </c:pt>
                <c:pt idx="5">
                  <c:v>85.909090909090907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65-4217-9938-8305058E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DATOS'!$O$179:$O$185</c:f>
              <c:numCache>
                <c:formatCode>General</c:formatCode>
                <c:ptCount val="7"/>
                <c:pt idx="0">
                  <c:v>232.07499999999999</c:v>
                </c:pt>
                <c:pt idx="1">
                  <c:v>203.5</c:v>
                </c:pt>
                <c:pt idx="2">
                  <c:v>352.14499999999998</c:v>
                </c:pt>
                <c:pt idx="3">
                  <c:v>203.9</c:v>
                </c:pt>
                <c:pt idx="4">
                  <c:v>136.6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65-4217-9938-8305058E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DATOS'!$M$186:$M$192</c:f>
              <c:numCache>
                <c:formatCode>General</c:formatCode>
                <c:ptCount val="7"/>
                <c:pt idx="0">
                  <c:v>410.09090909090912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D-4F20-ABDF-B99BBBA0DBE0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DATOS'!$H$186:$H$192</c:f>
              <c:numCache>
                <c:formatCode>General</c:formatCode>
                <c:ptCount val="7"/>
                <c:pt idx="0">
                  <c:v>170.45454545454547</c:v>
                </c:pt>
                <c:pt idx="1">
                  <c:v>599.83636363636356</c:v>
                </c:pt>
                <c:pt idx="2">
                  <c:v>675.40909090909088</c:v>
                </c:pt>
                <c:pt idx="3">
                  <c:v>614.25454545454545</c:v>
                </c:pt>
                <c:pt idx="4">
                  <c:v>529.9</c:v>
                </c:pt>
                <c:pt idx="5">
                  <c:v>283.40909090909088</c:v>
                </c:pt>
                <c:pt idx="6">
                  <c:v>664.28571428571433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D-4F20-ABDF-B99BBBA0D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DATOS'!$O$186:$O$192</c:f>
              <c:numCache>
                <c:formatCode>General</c:formatCode>
                <c:ptCount val="7"/>
                <c:pt idx="0">
                  <c:v>183.97727272727272</c:v>
                </c:pt>
                <c:pt idx="1">
                  <c:v>209.31818181818181</c:v>
                </c:pt>
                <c:pt idx="2">
                  <c:v>237.13636363636363</c:v>
                </c:pt>
                <c:pt idx="3">
                  <c:v>209.81818181818181</c:v>
                </c:pt>
                <c:pt idx="4">
                  <c:v>171.54545454545453</c:v>
                </c:pt>
                <c:pt idx="5">
                  <c:v>145.1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8D-4F20-ABDF-B99BBBA0D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59244972409787E-2"/>
          <c:y val="5.3498554683874967E-2"/>
          <c:w val="0.82968547118817881"/>
          <c:h val="0.899470664026391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'BASE DE DATOS'!$M$10</c:f>
              <c:strCache>
                <c:ptCount val="1"/>
                <c:pt idx="0">
                  <c:v>load
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'BASE DE DATOS'!$C$11:$C$17</c:f>
              <c:numCache>
                <c:formatCode>d\-mmm</c:formatCode>
                <c:ptCount val="7"/>
                <c:pt idx="0">
                  <c:v>45145</c:v>
                </c:pt>
                <c:pt idx="1">
                  <c:v>45146</c:v>
                </c:pt>
                <c:pt idx="2">
                  <c:v>45147</c:v>
                </c:pt>
                <c:pt idx="3">
                  <c:v>45148</c:v>
                </c:pt>
                <c:pt idx="4">
                  <c:v>45149</c:v>
                </c:pt>
                <c:pt idx="5">
                  <c:v>45150</c:v>
                </c:pt>
                <c:pt idx="6">
                  <c:v>45151</c:v>
                </c:pt>
              </c:numCache>
            </c:numRef>
          </c:cat>
          <c:val>
            <c:numRef>
              <c:f>'BASE DE DATOS'!$M$193:$M$199</c:f>
              <c:numCache>
                <c:formatCode>General</c:formatCode>
                <c:ptCount val="7"/>
                <c:pt idx="0">
                  <c:v>0</c:v>
                </c:pt>
                <c:pt idx="1">
                  <c:v>163.63636363636365</c:v>
                </c:pt>
                <c:pt idx="2">
                  <c:v>0</c:v>
                </c:pt>
                <c:pt idx="3">
                  <c:v>0</c:v>
                </c:pt>
                <c:pt idx="4">
                  <c:v>704.54545454545462</c:v>
                </c:pt>
                <c:pt idx="5">
                  <c:v>268.86363636363637</c:v>
                </c:pt>
                <c:pt idx="6">
                  <c:v>502.5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C-4C0C-B0C5-5CE0C870FB94}"/>
            </c:ext>
          </c:extLst>
        </c:ser>
        <c:ser>
          <c:idx val="1"/>
          <c:order val="1"/>
          <c:tx>
            <c:strRef>
              <c:f>'BASE DE DATOS'!$H$10</c:f>
              <c:strCache>
                <c:ptCount val="1"/>
                <c:pt idx="0">
                  <c:v>load
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'BASE DE DATOS'!$H$193:$H$199</c:f>
              <c:numCache>
                <c:formatCode>General</c:formatCode>
                <c:ptCount val="7"/>
                <c:pt idx="0">
                  <c:v>0</c:v>
                </c:pt>
                <c:pt idx="1">
                  <c:v>405.21818181818179</c:v>
                </c:pt>
                <c:pt idx="2">
                  <c:v>571.90909090909099</c:v>
                </c:pt>
                <c:pt idx="3">
                  <c:v>352.39090909090902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C-4C0C-B0C5-5CE0C870F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74891520"/>
        <c:axId val="274894016"/>
      </c:barChart>
      <c:lineChart>
        <c:grouping val="stacked"/>
        <c:varyColors val="0"/>
        <c:ser>
          <c:idx val="2"/>
          <c:order val="2"/>
          <c:tx>
            <c:strRef>
              <c:f>'BASE DE DATOS'!$O$10</c:f>
              <c:strCache>
                <c:ptCount val="1"/>
                <c:pt idx="0">
                  <c:v>LOAD
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'BASE DE DATOS'!$O$193:$O$199</c:f>
              <c:numCache>
                <c:formatCode>General</c:formatCode>
                <c:ptCount val="7"/>
                <c:pt idx="0">
                  <c:v>0</c:v>
                </c:pt>
                <c:pt idx="1">
                  <c:v>200.75</c:v>
                </c:pt>
                <c:pt idx="2">
                  <c:v>209.85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5C-4C0C-B0C5-5CE0C870F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35200"/>
        <c:axId val="1006607856"/>
      </c:lineChart>
      <c:dateAx>
        <c:axId val="274891520"/>
        <c:scaling>
          <c:orientation val="minMax"/>
        </c:scaling>
        <c:delete val="1"/>
        <c:axPos val="b"/>
        <c:numFmt formatCode="d\-mmm" sourceLinked="1"/>
        <c:majorTickMark val="none"/>
        <c:minorTickMark val="none"/>
        <c:tickLblPos val="nextTo"/>
        <c:crossAx val="274894016"/>
        <c:crosses val="autoZero"/>
        <c:auto val="1"/>
        <c:lblOffset val="100"/>
        <c:baseTimeUnit val="days"/>
      </c:dateAx>
      <c:valAx>
        <c:axId val="2748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891520"/>
        <c:crosses val="autoZero"/>
        <c:crossBetween val="between"/>
      </c:valAx>
      <c:valAx>
        <c:axId val="100660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9535200"/>
        <c:crosses val="max"/>
        <c:crossBetween val="between"/>
      </c:valAx>
      <c:catAx>
        <c:axId val="1009535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00660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softEdge rad="558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26" Type="http://schemas.openxmlformats.org/officeDocument/2006/relationships/chart" Target="../charts/chart24.xml"/><Relationship Id="rId3" Type="http://schemas.openxmlformats.org/officeDocument/2006/relationships/chart" Target="../charts/chart1.xml"/><Relationship Id="rId21" Type="http://schemas.openxmlformats.org/officeDocument/2006/relationships/chart" Target="../charts/chart19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5" Type="http://schemas.openxmlformats.org/officeDocument/2006/relationships/chart" Target="../charts/chart23.xml"/><Relationship Id="rId2" Type="http://schemas.openxmlformats.org/officeDocument/2006/relationships/image" Target="../media/image2.png"/><Relationship Id="rId16" Type="http://schemas.openxmlformats.org/officeDocument/2006/relationships/chart" Target="../charts/chart14.xml"/><Relationship Id="rId20" Type="http://schemas.openxmlformats.org/officeDocument/2006/relationships/chart" Target="../charts/chart18.xml"/><Relationship Id="rId29" Type="http://schemas.openxmlformats.org/officeDocument/2006/relationships/chart" Target="../charts/chart27.xml"/><Relationship Id="rId1" Type="http://schemas.openxmlformats.org/officeDocument/2006/relationships/image" Target="../media/image1.jpe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24" Type="http://schemas.openxmlformats.org/officeDocument/2006/relationships/chart" Target="../charts/chart22.xml"/><Relationship Id="rId5" Type="http://schemas.openxmlformats.org/officeDocument/2006/relationships/chart" Target="../charts/chart3.xml"/><Relationship Id="rId15" Type="http://schemas.openxmlformats.org/officeDocument/2006/relationships/chart" Target="../charts/chart13.xml"/><Relationship Id="rId23" Type="http://schemas.openxmlformats.org/officeDocument/2006/relationships/chart" Target="../charts/chart21.xml"/><Relationship Id="rId28" Type="http://schemas.openxmlformats.org/officeDocument/2006/relationships/chart" Target="../charts/chart26.xml"/><Relationship Id="rId10" Type="http://schemas.openxmlformats.org/officeDocument/2006/relationships/chart" Target="../charts/chart8.xml"/><Relationship Id="rId19" Type="http://schemas.openxmlformats.org/officeDocument/2006/relationships/chart" Target="../charts/chart17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Relationship Id="rId22" Type="http://schemas.openxmlformats.org/officeDocument/2006/relationships/chart" Target="../charts/chart20.xml"/><Relationship Id="rId27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5</xdr:col>
      <xdr:colOff>227079</xdr:colOff>
      <xdr:row>5</xdr:row>
      <xdr:rowOff>95251</xdr:rowOff>
    </xdr:to>
    <xdr:pic>
      <xdr:nvPicPr>
        <xdr:cNvPr id="4" name="Imagen 3" descr="Dibujo de la cara de baloncesto&#10;&#10;Descripción generada automáticamente con confianza media">
          <a:extLst>
            <a:ext uri="{FF2B5EF4-FFF2-40B4-BE49-F238E27FC236}">
              <a16:creationId xmlns:a16="http://schemas.microsoft.com/office/drawing/2014/main" id="{E1C54E92-A5DA-77B9-197F-152401F66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625" y="333376"/>
          <a:ext cx="180866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1</xdr:colOff>
      <xdr:row>0</xdr:row>
      <xdr:rowOff>99220</xdr:rowOff>
    </xdr:from>
    <xdr:to>
      <xdr:col>43</xdr:col>
      <xdr:colOff>103188</xdr:colOff>
      <xdr:row>6</xdr:row>
      <xdr:rowOff>119504</xdr:rowOff>
    </xdr:to>
    <xdr:pic>
      <xdr:nvPicPr>
        <xdr:cNvPr id="12" name="Imagen 11" descr="Logotipo, nombre de la empresa&#10;&#10;Descripción generada automáticamente">
          <a:extLst>
            <a:ext uri="{FF2B5EF4-FFF2-40B4-BE49-F238E27FC236}">
              <a16:creationId xmlns:a16="http://schemas.microsoft.com/office/drawing/2014/main" id="{5A76B629-784D-9C41-9A45-C7E0FEA8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1" y="99220"/>
          <a:ext cx="1174750" cy="1163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54428</xdr:colOff>
      <xdr:row>10</xdr:row>
      <xdr:rowOff>40822</xdr:rowOff>
    </xdr:from>
    <xdr:to>
      <xdr:col>21</xdr:col>
      <xdr:colOff>2898321</xdr:colOff>
      <xdr:row>16</xdr:row>
      <xdr:rowOff>176893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53BD0AC-A866-4645-87F9-47C64DB65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47624</xdr:colOff>
      <xdr:row>17</xdr:row>
      <xdr:rowOff>47624</xdr:rowOff>
    </xdr:from>
    <xdr:to>
      <xdr:col>21</xdr:col>
      <xdr:colOff>2891517</xdr:colOff>
      <xdr:row>23</xdr:row>
      <xdr:rowOff>183695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04302C-328A-4830-B69D-E468E0920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47624</xdr:colOff>
      <xdr:row>24</xdr:row>
      <xdr:rowOff>47624</xdr:rowOff>
    </xdr:from>
    <xdr:to>
      <xdr:col>21</xdr:col>
      <xdr:colOff>2891517</xdr:colOff>
      <xdr:row>30</xdr:row>
      <xdr:rowOff>183695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7CCA629-78E9-4E70-9285-44EB1B0BF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44824</xdr:colOff>
      <xdr:row>31</xdr:row>
      <xdr:rowOff>44824</xdr:rowOff>
    </xdr:from>
    <xdr:to>
      <xdr:col>21</xdr:col>
      <xdr:colOff>2888717</xdr:colOff>
      <xdr:row>37</xdr:row>
      <xdr:rowOff>180894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FB022C-2ADF-437B-83A1-52B2599E4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42332</xdr:colOff>
      <xdr:row>38</xdr:row>
      <xdr:rowOff>42332</xdr:rowOff>
    </xdr:from>
    <xdr:to>
      <xdr:col>21</xdr:col>
      <xdr:colOff>2886225</xdr:colOff>
      <xdr:row>44</xdr:row>
      <xdr:rowOff>178402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89C0B24-1CF8-49A9-AE98-133175129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42332</xdr:colOff>
      <xdr:row>45</xdr:row>
      <xdr:rowOff>42332</xdr:rowOff>
    </xdr:from>
    <xdr:to>
      <xdr:col>21</xdr:col>
      <xdr:colOff>2886225</xdr:colOff>
      <xdr:row>51</xdr:row>
      <xdr:rowOff>178402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DEF1DAC-DAD4-458B-93D4-F07E66BFC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42332</xdr:colOff>
      <xdr:row>52</xdr:row>
      <xdr:rowOff>42332</xdr:rowOff>
    </xdr:from>
    <xdr:to>
      <xdr:col>21</xdr:col>
      <xdr:colOff>2886225</xdr:colOff>
      <xdr:row>58</xdr:row>
      <xdr:rowOff>178402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BDC4726-3EDE-464E-8FDA-5E13BFF75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52915</xdr:colOff>
      <xdr:row>59</xdr:row>
      <xdr:rowOff>42332</xdr:rowOff>
    </xdr:from>
    <xdr:to>
      <xdr:col>21</xdr:col>
      <xdr:colOff>2896808</xdr:colOff>
      <xdr:row>65</xdr:row>
      <xdr:rowOff>178402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E813BAB-8EF0-43F4-98F3-B09C79D9E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42332</xdr:colOff>
      <xdr:row>66</xdr:row>
      <xdr:rowOff>42332</xdr:rowOff>
    </xdr:from>
    <xdr:to>
      <xdr:col>21</xdr:col>
      <xdr:colOff>2886225</xdr:colOff>
      <xdr:row>72</xdr:row>
      <xdr:rowOff>178402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ED6B0AB-CAC1-4373-B20D-64ACD4BDE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42332</xdr:colOff>
      <xdr:row>73</xdr:row>
      <xdr:rowOff>42332</xdr:rowOff>
    </xdr:from>
    <xdr:to>
      <xdr:col>21</xdr:col>
      <xdr:colOff>2886225</xdr:colOff>
      <xdr:row>79</xdr:row>
      <xdr:rowOff>178402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99947C8-01AA-42F2-99E7-9225E3927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42332</xdr:colOff>
      <xdr:row>80</xdr:row>
      <xdr:rowOff>42332</xdr:rowOff>
    </xdr:from>
    <xdr:to>
      <xdr:col>21</xdr:col>
      <xdr:colOff>2886225</xdr:colOff>
      <xdr:row>86</xdr:row>
      <xdr:rowOff>178402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D74C95E-E532-40F2-8E4F-6D0BF4B99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42332</xdr:colOff>
      <xdr:row>87</xdr:row>
      <xdr:rowOff>42332</xdr:rowOff>
    </xdr:from>
    <xdr:to>
      <xdr:col>21</xdr:col>
      <xdr:colOff>2886225</xdr:colOff>
      <xdr:row>93</xdr:row>
      <xdr:rowOff>178402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9ADB42A-96C1-488E-8430-5000353EB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42332</xdr:colOff>
      <xdr:row>94</xdr:row>
      <xdr:rowOff>42332</xdr:rowOff>
    </xdr:from>
    <xdr:to>
      <xdr:col>21</xdr:col>
      <xdr:colOff>2886225</xdr:colOff>
      <xdr:row>100</xdr:row>
      <xdr:rowOff>178402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9ED4FE4-F035-4D54-A474-416E54738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42332</xdr:colOff>
      <xdr:row>101</xdr:row>
      <xdr:rowOff>42332</xdr:rowOff>
    </xdr:from>
    <xdr:to>
      <xdr:col>21</xdr:col>
      <xdr:colOff>2886225</xdr:colOff>
      <xdr:row>107</xdr:row>
      <xdr:rowOff>178402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24F26EE-8DE4-42C4-A035-5736E6312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42332</xdr:colOff>
      <xdr:row>108</xdr:row>
      <xdr:rowOff>42332</xdr:rowOff>
    </xdr:from>
    <xdr:to>
      <xdr:col>21</xdr:col>
      <xdr:colOff>2886225</xdr:colOff>
      <xdr:row>114</xdr:row>
      <xdr:rowOff>178402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2ABD1A8D-1A28-4C20-A578-321389A12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42332</xdr:colOff>
      <xdr:row>115</xdr:row>
      <xdr:rowOff>42332</xdr:rowOff>
    </xdr:from>
    <xdr:to>
      <xdr:col>21</xdr:col>
      <xdr:colOff>2886225</xdr:colOff>
      <xdr:row>121</xdr:row>
      <xdr:rowOff>178402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7F24E46-0FB3-4B3B-87C4-EEDDDDADD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42332</xdr:colOff>
      <xdr:row>122</xdr:row>
      <xdr:rowOff>42332</xdr:rowOff>
    </xdr:from>
    <xdr:to>
      <xdr:col>21</xdr:col>
      <xdr:colOff>2886225</xdr:colOff>
      <xdr:row>128</xdr:row>
      <xdr:rowOff>178402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9423EA5-274A-4F91-8179-EC840B379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42332</xdr:colOff>
      <xdr:row>129</xdr:row>
      <xdr:rowOff>42332</xdr:rowOff>
    </xdr:from>
    <xdr:to>
      <xdr:col>21</xdr:col>
      <xdr:colOff>2886225</xdr:colOff>
      <xdr:row>135</xdr:row>
      <xdr:rowOff>178402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BF648E-F951-4A3C-90EE-483060D9C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21</xdr:col>
      <xdr:colOff>42332</xdr:colOff>
      <xdr:row>136</xdr:row>
      <xdr:rowOff>42332</xdr:rowOff>
    </xdr:from>
    <xdr:to>
      <xdr:col>21</xdr:col>
      <xdr:colOff>2886225</xdr:colOff>
      <xdr:row>142</xdr:row>
      <xdr:rowOff>178402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11358A4-D41C-450C-B476-57917F760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21</xdr:col>
      <xdr:colOff>42332</xdr:colOff>
      <xdr:row>143</xdr:row>
      <xdr:rowOff>42332</xdr:rowOff>
    </xdr:from>
    <xdr:to>
      <xdr:col>21</xdr:col>
      <xdr:colOff>2886225</xdr:colOff>
      <xdr:row>149</xdr:row>
      <xdr:rowOff>178402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A654DBFC-6FB3-4CD4-9DD4-F69CC1D53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21</xdr:col>
      <xdr:colOff>42332</xdr:colOff>
      <xdr:row>150</xdr:row>
      <xdr:rowOff>42332</xdr:rowOff>
    </xdr:from>
    <xdr:to>
      <xdr:col>21</xdr:col>
      <xdr:colOff>2886225</xdr:colOff>
      <xdr:row>156</xdr:row>
      <xdr:rowOff>178402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A75B09C-B780-47ED-875D-9DDC79446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21</xdr:col>
      <xdr:colOff>42332</xdr:colOff>
      <xdr:row>157</xdr:row>
      <xdr:rowOff>42332</xdr:rowOff>
    </xdr:from>
    <xdr:to>
      <xdr:col>21</xdr:col>
      <xdr:colOff>2886225</xdr:colOff>
      <xdr:row>163</xdr:row>
      <xdr:rowOff>178402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42212B7F-88AA-4ED8-AB4B-BA542A343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21</xdr:col>
      <xdr:colOff>42332</xdr:colOff>
      <xdr:row>164</xdr:row>
      <xdr:rowOff>42332</xdr:rowOff>
    </xdr:from>
    <xdr:to>
      <xdr:col>21</xdr:col>
      <xdr:colOff>2886225</xdr:colOff>
      <xdr:row>170</xdr:row>
      <xdr:rowOff>178402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68485B14-CC1F-4C9D-8DF5-58DA0105E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21</xdr:col>
      <xdr:colOff>42332</xdr:colOff>
      <xdr:row>171</xdr:row>
      <xdr:rowOff>42332</xdr:rowOff>
    </xdr:from>
    <xdr:to>
      <xdr:col>21</xdr:col>
      <xdr:colOff>2886225</xdr:colOff>
      <xdr:row>177</xdr:row>
      <xdr:rowOff>178402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331593E5-2AEC-46B1-850E-35CD9F22E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21</xdr:col>
      <xdr:colOff>47624</xdr:colOff>
      <xdr:row>178</xdr:row>
      <xdr:rowOff>47624</xdr:rowOff>
    </xdr:from>
    <xdr:to>
      <xdr:col>21</xdr:col>
      <xdr:colOff>2891517</xdr:colOff>
      <xdr:row>184</xdr:row>
      <xdr:rowOff>183694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9AF9E996-13DD-4EC4-BFDB-A13B00EF7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21</xdr:col>
      <xdr:colOff>47624</xdr:colOff>
      <xdr:row>185</xdr:row>
      <xdr:rowOff>47624</xdr:rowOff>
    </xdr:from>
    <xdr:to>
      <xdr:col>21</xdr:col>
      <xdr:colOff>2891517</xdr:colOff>
      <xdr:row>191</xdr:row>
      <xdr:rowOff>183694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BAA546F-B14F-4124-927C-96DFB5064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21</xdr:col>
      <xdr:colOff>47624</xdr:colOff>
      <xdr:row>192</xdr:row>
      <xdr:rowOff>47624</xdr:rowOff>
    </xdr:from>
    <xdr:to>
      <xdr:col>21</xdr:col>
      <xdr:colOff>2891517</xdr:colOff>
      <xdr:row>198</xdr:row>
      <xdr:rowOff>183694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A09A7818-F222-4D36-B711-52F262D58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678979-C031-40AC-AC2F-B6F044955AFC}">
  <we:reference id="wa200005271" version="1.1.0.0" store="es-ES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AE85-9843-46DB-B55B-2A367DCCC19E}">
  <dimension ref="A1:MF432"/>
  <sheetViews>
    <sheetView tabSelected="1" topLeftCell="A8" zoomScale="80" zoomScaleNormal="80" workbookViewId="0">
      <pane xSplit="16" ySplit="3" topLeftCell="U167" activePane="bottomRight" state="frozen"/>
      <selection activeCell="A8" sqref="A8"/>
      <selection pane="topRight" activeCell="L8" sqref="L8"/>
      <selection pane="bottomLeft" activeCell="A11" sqref="A11"/>
      <selection pane="bottomRight" activeCell="W172" sqref="W172:X178"/>
    </sheetView>
  </sheetViews>
  <sheetFormatPr baseColWidth="10" defaultColWidth="10.85546875" defaultRowHeight="17.25" customHeight="1" outlineLevelCol="1" x14ac:dyDescent="0.25"/>
  <cols>
    <col min="1" max="1" width="4.42578125" style="58" customWidth="1"/>
    <col min="2" max="2" width="4" style="58" customWidth="1"/>
    <col min="3" max="3" width="10.85546875" style="58" customWidth="1"/>
    <col min="4" max="5" width="4.42578125" style="39" customWidth="1"/>
    <col min="6" max="6" width="4.5703125" style="103" bestFit="1" customWidth="1"/>
    <col min="7" max="8" width="4.5703125" style="1" customWidth="1" outlineLevel="1"/>
    <col min="9" max="9" width="4.5703125" style="1" customWidth="1"/>
    <col min="10" max="10" width="4.42578125" style="39" customWidth="1"/>
    <col min="11" max="11" width="4.5703125" style="103" customWidth="1"/>
    <col min="12" max="12" width="4.5703125" style="1" customWidth="1" outlineLevel="1"/>
    <col min="13" max="13" width="5.85546875" style="1" customWidth="1" outlineLevel="1"/>
    <col min="14" max="16" width="5.85546875" style="1" customWidth="1"/>
    <col min="17" max="17" width="3.5703125" style="122" customWidth="1"/>
    <col min="18" max="18" width="3.5703125" style="112" customWidth="1"/>
    <col min="19" max="19" width="3.5703125" style="127" customWidth="1"/>
    <col min="20" max="20" width="3.5703125" style="107" customWidth="1"/>
    <col min="21" max="21" width="3.5703125" style="117" customWidth="1"/>
    <col min="22" max="22" width="44.28515625" style="22" customWidth="1" outlineLevel="1"/>
    <col min="23" max="23" width="5.42578125" style="11" customWidth="1"/>
    <col min="24" max="27" width="5.42578125" style="1" customWidth="1"/>
    <col min="28" max="29" width="3.140625" style="39" customWidth="1" outlineLevel="1"/>
    <col min="30" max="30" width="3.5703125" style="7" customWidth="1" outlineLevel="1" collapsed="1"/>
    <col min="31" max="31" width="3.5703125" style="8" customWidth="1" outlineLevel="1"/>
    <col min="32" max="32" width="3.5703125" style="9" customWidth="1" outlineLevel="1"/>
    <col min="33" max="33" width="3.5703125" style="10" customWidth="1" outlineLevel="1"/>
    <col min="34" max="34" width="3.5703125" style="30" customWidth="1" outlineLevel="1"/>
    <col min="35" max="35" width="3.5703125" style="7" customWidth="1" outlineLevel="1"/>
    <col min="36" max="36" width="3.5703125" style="8" customWidth="1" outlineLevel="1"/>
    <col min="37" max="37" width="3.5703125" style="9" customWidth="1" outlineLevel="1"/>
    <col min="38" max="38" width="3.5703125" style="10" customWidth="1" outlineLevel="1"/>
    <col min="39" max="39" width="3.5703125" style="12" customWidth="1" outlineLevel="1"/>
    <col min="40" max="40" width="5.42578125" style="11" customWidth="1"/>
    <col min="41" max="44" width="5.42578125" style="1" customWidth="1"/>
    <col min="45" max="46" width="5" style="1" customWidth="1" outlineLevel="1"/>
    <col min="47" max="47" width="3.5703125" style="7" customWidth="1" outlineLevel="1"/>
    <col min="48" max="48" width="3.5703125" style="8" customWidth="1" outlineLevel="1"/>
    <col min="49" max="49" width="3.5703125" style="9" customWidth="1" outlineLevel="1"/>
    <col min="50" max="50" width="3.5703125" style="10" customWidth="1" outlineLevel="1"/>
    <col min="51" max="51" width="3.5703125" style="30" customWidth="1" outlineLevel="1"/>
    <col min="52" max="52" width="3.5703125" style="7" customWidth="1" outlineLevel="1"/>
    <col min="53" max="53" width="3.5703125" style="8" customWidth="1" outlineLevel="1"/>
    <col min="54" max="54" width="3.5703125" style="9" customWidth="1" outlineLevel="1"/>
    <col min="55" max="55" width="3.5703125" style="10" customWidth="1" outlineLevel="1"/>
    <col min="56" max="56" width="3.5703125" style="12" customWidth="1" outlineLevel="1"/>
    <col min="57" max="57" width="5.42578125" style="11" customWidth="1"/>
    <col min="58" max="61" width="5.42578125" style="1" customWidth="1"/>
    <col min="62" max="63" width="5" style="1" customWidth="1" outlineLevel="1"/>
    <col min="64" max="64" width="3.5703125" style="7" customWidth="1" outlineLevel="1"/>
    <col min="65" max="65" width="3.5703125" style="8" customWidth="1" outlineLevel="1"/>
    <col min="66" max="66" width="3.5703125" style="9" customWidth="1" outlineLevel="1"/>
    <col min="67" max="67" width="3.5703125" style="10" customWidth="1" outlineLevel="1"/>
    <col min="68" max="68" width="3.5703125" style="30" customWidth="1" outlineLevel="1"/>
    <col min="69" max="69" width="3.5703125" style="7" customWidth="1" outlineLevel="1"/>
    <col min="70" max="70" width="3.5703125" style="8" customWidth="1" outlineLevel="1"/>
    <col min="71" max="71" width="3.5703125" style="9" customWidth="1" outlineLevel="1"/>
    <col min="72" max="72" width="3.5703125" style="10" customWidth="1" outlineLevel="1"/>
    <col min="73" max="73" width="3.5703125" style="12" customWidth="1" outlineLevel="1"/>
    <col min="74" max="74" width="5.42578125" style="11" customWidth="1"/>
    <col min="75" max="78" width="5.42578125" style="1" customWidth="1"/>
    <col min="79" max="80" width="5" style="1" customWidth="1" outlineLevel="1"/>
    <col min="81" max="81" width="3.5703125" style="7" customWidth="1" outlineLevel="1"/>
    <col min="82" max="82" width="3.5703125" style="8" customWidth="1" outlineLevel="1"/>
    <col min="83" max="83" width="3.5703125" style="9" customWidth="1" outlineLevel="1"/>
    <col min="84" max="84" width="3.5703125" style="10" customWidth="1" outlineLevel="1"/>
    <col min="85" max="85" width="3.5703125" style="30" customWidth="1" outlineLevel="1"/>
    <col min="86" max="86" width="3.5703125" style="7" customWidth="1" outlineLevel="1"/>
    <col min="87" max="87" width="3.5703125" style="8" customWidth="1" outlineLevel="1"/>
    <col min="88" max="88" width="3.5703125" style="9" customWidth="1" outlineLevel="1"/>
    <col min="89" max="89" width="3.5703125" style="10" customWidth="1" outlineLevel="1"/>
    <col min="90" max="90" width="3.5703125" style="12" customWidth="1" outlineLevel="1"/>
    <col min="91" max="91" width="5.42578125" style="11" customWidth="1"/>
    <col min="92" max="95" width="5.42578125" style="1" customWidth="1"/>
    <col min="96" max="97" width="5" style="1" customWidth="1" outlineLevel="1"/>
    <col min="98" max="98" width="3.5703125" style="7" customWidth="1" outlineLevel="1"/>
    <col min="99" max="99" width="3.5703125" style="8" customWidth="1" outlineLevel="1"/>
    <col min="100" max="100" width="3.5703125" style="9" customWidth="1" outlineLevel="1"/>
    <col min="101" max="101" width="3.5703125" style="10" customWidth="1" outlineLevel="1"/>
    <col min="102" max="102" width="3.5703125" style="30" customWidth="1" outlineLevel="1"/>
    <col min="103" max="103" width="3.5703125" style="7" customWidth="1" outlineLevel="1"/>
    <col min="104" max="104" width="3.5703125" style="8" customWidth="1" outlineLevel="1"/>
    <col min="105" max="105" width="3.5703125" style="9" customWidth="1" outlineLevel="1"/>
    <col min="106" max="106" width="3.5703125" style="10" customWidth="1" outlineLevel="1"/>
    <col min="107" max="107" width="3.5703125" style="12" customWidth="1" outlineLevel="1"/>
    <col min="108" max="108" width="5.42578125" style="11" customWidth="1"/>
    <col min="109" max="112" width="5.42578125" style="1" customWidth="1"/>
    <col min="113" max="114" width="5" style="1" customWidth="1" outlineLevel="1"/>
    <col min="115" max="115" width="3.5703125" style="7" customWidth="1" outlineLevel="1"/>
    <col min="116" max="116" width="3.5703125" style="8" customWidth="1" outlineLevel="1"/>
    <col min="117" max="117" width="3.5703125" style="9" customWidth="1" outlineLevel="1"/>
    <col min="118" max="118" width="3.5703125" style="10" customWidth="1" outlineLevel="1"/>
    <col min="119" max="119" width="3.5703125" style="30" customWidth="1" outlineLevel="1"/>
    <col min="120" max="120" width="3.5703125" style="7" customWidth="1" outlineLevel="1"/>
    <col min="121" max="121" width="3.5703125" style="8" customWidth="1" outlineLevel="1"/>
    <col min="122" max="122" width="3.5703125" style="9" customWidth="1" outlineLevel="1"/>
    <col min="123" max="123" width="3.5703125" style="10" customWidth="1" outlineLevel="1"/>
    <col min="124" max="124" width="3.5703125" style="12" customWidth="1" outlineLevel="1"/>
    <col min="125" max="125" width="5.42578125" style="11" customWidth="1"/>
    <col min="126" max="129" width="5.42578125" style="1" customWidth="1"/>
    <col min="130" max="131" width="5" style="1" customWidth="1" outlineLevel="1"/>
    <col min="132" max="132" width="3.5703125" style="7" customWidth="1" outlineLevel="1"/>
    <col min="133" max="133" width="3.5703125" style="8" customWidth="1" outlineLevel="1"/>
    <col min="134" max="134" width="3.5703125" style="9" customWidth="1" outlineLevel="1"/>
    <col min="135" max="135" width="3.5703125" style="10" customWidth="1" outlineLevel="1"/>
    <col min="136" max="136" width="3.5703125" style="30" customWidth="1" outlineLevel="1"/>
    <col min="137" max="137" width="3.5703125" style="7" customWidth="1" outlineLevel="1"/>
    <col min="138" max="138" width="3.5703125" style="8" customWidth="1" outlineLevel="1"/>
    <col min="139" max="139" width="3.5703125" style="9" customWidth="1" outlineLevel="1"/>
    <col min="140" max="140" width="3.5703125" style="10" customWidth="1" outlineLevel="1"/>
    <col min="141" max="141" width="3.5703125" style="12" customWidth="1" outlineLevel="1"/>
    <col min="142" max="142" width="5.42578125" style="11" customWidth="1"/>
    <col min="143" max="146" width="5.42578125" style="1" customWidth="1"/>
    <col min="147" max="148" width="5" style="1" customWidth="1" outlineLevel="1"/>
    <col min="149" max="149" width="3.5703125" style="7" customWidth="1" outlineLevel="1"/>
    <col min="150" max="150" width="3.5703125" style="8" customWidth="1" outlineLevel="1"/>
    <col min="151" max="151" width="3.5703125" style="9" customWidth="1" outlineLevel="1"/>
    <col min="152" max="152" width="3.5703125" style="10" customWidth="1" outlineLevel="1"/>
    <col min="153" max="153" width="3.5703125" style="30" customWidth="1" outlineLevel="1"/>
    <col min="154" max="154" width="3.5703125" style="7" customWidth="1" outlineLevel="1"/>
    <col min="155" max="155" width="3.5703125" style="8" customWidth="1" outlineLevel="1"/>
    <col min="156" max="156" width="3.5703125" style="9" customWidth="1" outlineLevel="1"/>
    <col min="157" max="157" width="3.5703125" style="10" customWidth="1" outlineLevel="1"/>
    <col min="158" max="158" width="3.5703125" style="12" customWidth="1" outlineLevel="1"/>
    <col min="159" max="159" width="5.42578125" style="11" customWidth="1"/>
    <col min="160" max="163" width="5.42578125" style="1" customWidth="1"/>
    <col min="164" max="165" width="5" style="1" customWidth="1" outlineLevel="1"/>
    <col min="166" max="166" width="3.5703125" style="7" customWidth="1" outlineLevel="1"/>
    <col min="167" max="167" width="3.5703125" style="8" customWidth="1" outlineLevel="1"/>
    <col min="168" max="168" width="3.5703125" style="9" customWidth="1" outlineLevel="1"/>
    <col min="169" max="169" width="3.5703125" style="10" customWidth="1" outlineLevel="1"/>
    <col min="170" max="170" width="3.5703125" style="30" customWidth="1" outlineLevel="1"/>
    <col min="171" max="171" width="3.5703125" style="7" customWidth="1" outlineLevel="1"/>
    <col min="172" max="172" width="3.5703125" style="8" customWidth="1" outlineLevel="1"/>
    <col min="173" max="173" width="3.5703125" style="9" customWidth="1" outlineLevel="1"/>
    <col min="174" max="174" width="3.5703125" style="10" customWidth="1" outlineLevel="1"/>
    <col min="175" max="175" width="3.5703125" style="12" customWidth="1" outlineLevel="1"/>
    <col min="176" max="176" width="5.42578125" style="11" customWidth="1"/>
    <col min="177" max="180" width="5.42578125" style="1" customWidth="1"/>
    <col min="181" max="182" width="5" style="1" customWidth="1" outlineLevel="1"/>
    <col min="183" max="183" width="3.5703125" style="7" customWidth="1" outlineLevel="1"/>
    <col min="184" max="184" width="3.5703125" style="8" customWidth="1" outlineLevel="1"/>
    <col min="185" max="185" width="3.5703125" style="9" customWidth="1" outlineLevel="1"/>
    <col min="186" max="186" width="3.5703125" style="10" customWidth="1" outlineLevel="1"/>
    <col min="187" max="187" width="3.5703125" style="30" customWidth="1" outlineLevel="1"/>
    <col min="188" max="188" width="3.5703125" style="7" customWidth="1" outlineLevel="1"/>
    <col min="189" max="189" width="3.5703125" style="8" customWidth="1" outlineLevel="1"/>
    <col min="190" max="190" width="3.5703125" style="9" customWidth="1" outlineLevel="1"/>
    <col min="191" max="191" width="3.5703125" style="10" customWidth="1" outlineLevel="1"/>
    <col min="192" max="192" width="3.5703125" style="12" customWidth="1" outlineLevel="1"/>
    <col min="193" max="193" width="5.42578125" style="11" customWidth="1"/>
    <col min="194" max="197" width="5.42578125" style="1" customWidth="1"/>
    <col min="198" max="199" width="5" style="1" customWidth="1" outlineLevel="1"/>
    <col min="200" max="200" width="3.5703125" style="7" customWidth="1" outlineLevel="1"/>
    <col min="201" max="201" width="3.5703125" style="8" customWidth="1" outlineLevel="1"/>
    <col min="202" max="202" width="3.5703125" style="9" customWidth="1" outlineLevel="1"/>
    <col min="203" max="203" width="3.5703125" style="10" customWidth="1" outlineLevel="1"/>
    <col min="204" max="204" width="3.5703125" style="30" customWidth="1" outlineLevel="1"/>
    <col min="205" max="205" width="3.5703125" style="7" customWidth="1" outlineLevel="1"/>
    <col min="206" max="206" width="3.5703125" style="8" customWidth="1" outlineLevel="1"/>
    <col min="207" max="207" width="3.5703125" style="9" customWidth="1" outlineLevel="1"/>
    <col min="208" max="208" width="3.5703125" style="10" customWidth="1" outlineLevel="1"/>
    <col min="209" max="209" width="3.5703125" style="12" customWidth="1" outlineLevel="1"/>
    <col min="210" max="210" width="5.42578125" style="11" customWidth="1"/>
    <col min="211" max="214" width="5.42578125" style="1" customWidth="1"/>
    <col min="215" max="216" width="5" style="1" customWidth="1" outlineLevel="1"/>
    <col min="217" max="217" width="3.5703125" style="7" customWidth="1" outlineLevel="1"/>
    <col min="218" max="218" width="3.5703125" style="8" customWidth="1" outlineLevel="1"/>
    <col min="219" max="219" width="3.5703125" style="9" customWidth="1" outlineLevel="1"/>
    <col min="220" max="220" width="3.5703125" style="10" customWidth="1" outlineLevel="1"/>
    <col min="221" max="221" width="3.5703125" style="30" customWidth="1" outlineLevel="1"/>
    <col min="222" max="222" width="3.5703125" style="7" customWidth="1" outlineLevel="1"/>
    <col min="223" max="223" width="3.5703125" style="8" customWidth="1" outlineLevel="1"/>
    <col min="224" max="224" width="3.5703125" style="9" customWidth="1" outlineLevel="1"/>
    <col min="225" max="225" width="3.5703125" style="10" customWidth="1" outlineLevel="1"/>
    <col min="226" max="226" width="3.5703125" style="12" customWidth="1" outlineLevel="1"/>
    <col min="227" max="227" width="5.42578125" style="11" customWidth="1"/>
    <col min="228" max="231" width="5.42578125" style="1" customWidth="1"/>
    <col min="232" max="233" width="5" style="1" hidden="1" customWidth="1" outlineLevel="1"/>
    <col min="234" max="234" width="3.5703125" style="7" hidden="1" customWidth="1" outlineLevel="1"/>
    <col min="235" max="235" width="3.5703125" style="8" hidden="1" customWidth="1" outlineLevel="1"/>
    <col min="236" max="236" width="3.5703125" style="9" hidden="1" customWidth="1" outlineLevel="1"/>
    <col min="237" max="237" width="3.5703125" style="10" hidden="1" customWidth="1" outlineLevel="1"/>
    <col min="238" max="238" width="3.5703125" style="30" hidden="1" customWidth="1" outlineLevel="1"/>
    <col min="239" max="239" width="3.5703125" style="7" hidden="1" customWidth="1" outlineLevel="1"/>
    <col min="240" max="240" width="3.5703125" style="8" hidden="1" customWidth="1" outlineLevel="1"/>
    <col min="241" max="241" width="3.5703125" style="9" hidden="1" customWidth="1" outlineLevel="1"/>
    <col min="242" max="242" width="3.5703125" style="10" hidden="1" customWidth="1" outlineLevel="1"/>
    <col min="243" max="243" width="3.5703125" style="30" hidden="1" customWidth="1" outlineLevel="1"/>
    <col min="244" max="244" width="5.42578125" style="11" customWidth="1" collapsed="1"/>
    <col min="245" max="248" width="5.42578125" style="1" customWidth="1"/>
    <col min="249" max="250" width="5" style="1" hidden="1" customWidth="1" outlineLevel="1"/>
    <col min="251" max="251" width="3.5703125" style="7" hidden="1" customWidth="1" outlineLevel="1"/>
    <col min="252" max="252" width="3.5703125" style="8" hidden="1" customWidth="1" outlineLevel="1"/>
    <col min="253" max="253" width="3.5703125" style="9" hidden="1" customWidth="1" outlineLevel="1"/>
    <col min="254" max="254" width="3.5703125" style="10" hidden="1" customWidth="1" outlineLevel="1"/>
    <col min="255" max="255" width="3.5703125" style="30" hidden="1" customWidth="1" outlineLevel="1"/>
    <col min="256" max="256" width="3.5703125" style="7" hidden="1" customWidth="1" outlineLevel="1"/>
    <col min="257" max="257" width="3.5703125" style="8" hidden="1" customWidth="1" outlineLevel="1"/>
    <col min="258" max="258" width="3.5703125" style="9" hidden="1" customWidth="1" outlineLevel="1"/>
    <col min="259" max="259" width="3.5703125" style="10" hidden="1" customWidth="1" outlineLevel="1"/>
    <col min="260" max="260" width="3.5703125" style="12" hidden="1" customWidth="1" outlineLevel="1"/>
    <col min="261" max="261" width="5.42578125" style="11" customWidth="1" collapsed="1"/>
    <col min="262" max="265" width="5.42578125" style="1" customWidth="1"/>
    <col min="266" max="267" width="5" style="1" hidden="1" customWidth="1" outlineLevel="1"/>
    <col min="268" max="268" width="3.5703125" style="7" hidden="1" customWidth="1" outlineLevel="1"/>
    <col min="269" max="269" width="3.5703125" style="8" hidden="1" customWidth="1" outlineLevel="1"/>
    <col min="270" max="270" width="3.5703125" style="9" hidden="1" customWidth="1" outlineLevel="1"/>
    <col min="271" max="271" width="3.5703125" style="10" hidden="1" customWidth="1" outlineLevel="1"/>
    <col min="272" max="272" width="3.5703125" style="30" hidden="1" customWidth="1" outlineLevel="1"/>
    <col min="273" max="273" width="3.5703125" style="7" hidden="1" customWidth="1" outlineLevel="1"/>
    <col min="274" max="274" width="3.5703125" style="8" hidden="1" customWidth="1" outlineLevel="1"/>
    <col min="275" max="275" width="3.5703125" style="9" hidden="1" customWidth="1" outlineLevel="1"/>
    <col min="276" max="276" width="3.5703125" style="10" hidden="1" customWidth="1" outlineLevel="1"/>
    <col min="277" max="277" width="3.5703125" style="12" hidden="1" customWidth="1" outlineLevel="1"/>
    <col min="278" max="278" width="5.42578125" style="1" customWidth="1" collapsed="1"/>
    <col min="279" max="281" width="5.42578125" style="1" customWidth="1"/>
    <col min="282" max="282" width="6.85546875" style="1" customWidth="1"/>
    <col min="283" max="284" width="5" style="1" customWidth="1"/>
    <col min="285" max="294" width="3.5703125" style="41" customWidth="1"/>
    <col min="295" max="299" width="5.42578125" style="1" customWidth="1"/>
    <col min="300" max="301" width="5" style="1" customWidth="1"/>
    <col min="302" max="311" width="3.5703125" style="41" customWidth="1"/>
    <col min="312" max="316" width="5.42578125" style="1" customWidth="1"/>
    <col min="317" max="318" width="5" style="1" customWidth="1"/>
    <col min="319" max="328" width="3.5703125" style="41" customWidth="1"/>
    <col min="329" max="16384" width="10.85546875" style="1"/>
  </cols>
  <sheetData>
    <row r="1" spans="1:344" s="18" customFormat="1" ht="9" customHeight="1" x14ac:dyDescent="0.25">
      <c r="A1" s="58"/>
      <c r="B1" s="58"/>
      <c r="C1" s="58"/>
      <c r="D1" s="39"/>
      <c r="E1" s="39"/>
      <c r="F1" s="102"/>
      <c r="I1" s="1"/>
      <c r="J1" s="39"/>
      <c r="K1" s="102"/>
      <c r="N1" s="40" t="s">
        <v>71</v>
      </c>
      <c r="O1" s="40"/>
      <c r="P1" s="40"/>
      <c r="Q1" s="121"/>
      <c r="R1" s="111"/>
      <c r="S1" s="126"/>
      <c r="T1" s="106"/>
      <c r="U1" s="116"/>
      <c r="V1" s="17"/>
      <c r="AB1" s="38"/>
      <c r="AC1" s="38"/>
      <c r="AD1" s="19"/>
      <c r="AE1" s="19"/>
      <c r="AF1" s="19"/>
      <c r="AG1" s="19"/>
      <c r="AH1" s="19"/>
      <c r="AI1" s="19"/>
      <c r="AJ1" s="19"/>
      <c r="AK1" s="19"/>
      <c r="AL1" s="19"/>
      <c r="AM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"/>
      <c r="JS1" s="1"/>
      <c r="JT1" s="1"/>
      <c r="JU1" s="1"/>
      <c r="JV1" s="1"/>
      <c r="JW1" s="1"/>
      <c r="JX1" s="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1"/>
      <c r="KJ1" s="1"/>
      <c r="KK1" s="1"/>
      <c r="KL1" s="1"/>
      <c r="KM1" s="1"/>
      <c r="KN1" s="1"/>
      <c r="KO1" s="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1"/>
      <c r="LA1" s="1"/>
      <c r="LB1" s="1"/>
      <c r="LC1" s="1"/>
      <c r="LD1" s="1"/>
      <c r="LE1" s="1"/>
      <c r="LF1" s="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1"/>
    </row>
    <row r="2" spans="1:344" s="18" customFormat="1" ht="17.25" customHeight="1" thickBot="1" x14ac:dyDescent="0.3">
      <c r="A2" s="58"/>
      <c r="B2" s="58"/>
      <c r="C2" s="58"/>
      <c r="D2" s="39"/>
      <c r="E2" s="39"/>
      <c r="F2" s="102"/>
      <c r="I2" s="1"/>
      <c r="J2" s="39"/>
      <c r="K2" s="102"/>
      <c r="Q2" s="122"/>
      <c r="R2" s="112"/>
      <c r="S2" s="127"/>
      <c r="T2" s="107"/>
      <c r="U2" s="117"/>
      <c r="V2" s="17"/>
      <c r="AB2" s="38"/>
      <c r="AC2" s="38"/>
      <c r="AD2" s="19"/>
      <c r="AE2" s="19"/>
      <c r="AF2" s="19"/>
      <c r="AG2" s="19"/>
      <c r="AH2" s="19"/>
      <c r="AI2" s="19"/>
      <c r="AJ2" s="19"/>
      <c r="AK2" s="19"/>
      <c r="AL2" s="19"/>
      <c r="AM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"/>
      <c r="JS2" s="1"/>
      <c r="JT2" s="1"/>
      <c r="JU2" s="1"/>
      <c r="JV2" s="1"/>
      <c r="JW2" s="1"/>
      <c r="JX2" s="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1"/>
      <c r="KJ2" s="1"/>
      <c r="KK2" s="1"/>
      <c r="KL2" s="1"/>
      <c r="KM2" s="1"/>
      <c r="KN2" s="1"/>
      <c r="KO2" s="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1"/>
      <c r="LA2" s="1"/>
      <c r="LB2" s="1"/>
      <c r="LC2" s="1"/>
      <c r="LD2" s="1"/>
      <c r="LE2" s="1"/>
      <c r="LF2" s="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1"/>
    </row>
    <row r="3" spans="1:344" s="18" customFormat="1" ht="17.25" customHeight="1" thickTop="1" x14ac:dyDescent="0.25">
      <c r="A3" s="58"/>
      <c r="B3" s="76"/>
      <c r="C3" s="58"/>
      <c r="D3" s="39"/>
      <c r="E3" s="39"/>
      <c r="F3" s="25"/>
      <c r="G3" s="25"/>
      <c r="H3" s="25"/>
      <c r="I3" s="46"/>
      <c r="J3" s="39"/>
      <c r="K3" s="25"/>
      <c r="L3" s="25"/>
      <c r="M3" s="25"/>
      <c r="N3" s="25"/>
      <c r="O3" s="25"/>
      <c r="P3" s="25"/>
      <c r="Q3" s="123"/>
      <c r="R3" s="113"/>
      <c r="S3" s="128"/>
      <c r="T3" s="108"/>
      <c r="U3" s="118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8"/>
      <c r="AG3" s="19"/>
      <c r="AH3" s="19"/>
      <c r="AI3" s="19"/>
      <c r="AJ3" s="19"/>
      <c r="AK3" s="19"/>
      <c r="AL3" s="19"/>
      <c r="AM3" s="19"/>
      <c r="AP3"/>
      <c r="AR3" s="17"/>
      <c r="AS3" s="17"/>
      <c r="AT3" s="17"/>
      <c r="AU3" s="17"/>
      <c r="AV3" s="17"/>
      <c r="AX3" s="19"/>
      <c r="AY3" s="19"/>
      <c r="AZ3" s="19"/>
      <c r="BA3" s="19"/>
      <c r="BB3" s="19"/>
      <c r="BC3" s="19"/>
      <c r="BD3" s="19"/>
      <c r="BE3" s="17"/>
      <c r="BJ3" s="17"/>
      <c r="BK3" s="17"/>
      <c r="BL3" s="19"/>
      <c r="BM3" s="19"/>
      <c r="BN3" s="17"/>
      <c r="BO3" s="19"/>
      <c r="BP3" s="19"/>
      <c r="BQ3" s="19"/>
      <c r="BR3" s="19"/>
      <c r="BS3" s="19"/>
      <c r="BT3" s="19"/>
      <c r="BU3" s="19"/>
      <c r="BV3" s="17"/>
      <c r="BW3" s="17"/>
      <c r="BY3" s="19"/>
      <c r="BZ3" s="19"/>
      <c r="CA3" s="17"/>
      <c r="CB3" s="17"/>
      <c r="CC3" s="17"/>
      <c r="CD3" s="17"/>
      <c r="CE3" s="17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T3" s="17"/>
      <c r="CU3" s="17"/>
      <c r="CV3" s="17"/>
      <c r="CW3" s="19"/>
      <c r="CX3" s="19"/>
      <c r="CY3" s="19"/>
      <c r="CZ3" s="19"/>
      <c r="DA3" s="19"/>
      <c r="DB3" s="19"/>
      <c r="DC3" s="19"/>
      <c r="DD3" s="17"/>
      <c r="DE3" s="17"/>
      <c r="DF3" s="17"/>
      <c r="DG3" s="17"/>
      <c r="DH3" s="20"/>
      <c r="DI3" s="20"/>
      <c r="DJ3" s="20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7"/>
      <c r="DV3" s="17"/>
      <c r="DW3" s="17"/>
      <c r="DX3" s="17"/>
      <c r="DY3" s="19"/>
      <c r="DZ3" s="19"/>
      <c r="EA3" s="17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7"/>
      <c r="EO3" s="17"/>
      <c r="EP3" s="17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E3" s="17"/>
      <c r="FF3" s="17"/>
      <c r="FG3" s="17"/>
      <c r="FH3" s="17"/>
      <c r="FI3" s="17"/>
      <c r="FL3" s="19"/>
      <c r="FM3" s="19"/>
      <c r="FN3" s="19"/>
      <c r="FO3" s="19"/>
      <c r="FP3" s="19"/>
      <c r="FQ3" s="19"/>
      <c r="FR3" s="19"/>
      <c r="FS3" s="19"/>
      <c r="FW3" s="17"/>
      <c r="FX3" s="17"/>
      <c r="FY3" s="19"/>
      <c r="FZ3" s="19"/>
      <c r="GA3" s="17"/>
      <c r="GD3" s="19"/>
      <c r="GE3" s="19"/>
      <c r="GF3" s="19"/>
      <c r="GG3" s="19"/>
      <c r="GH3" s="19"/>
      <c r="GI3" s="19"/>
      <c r="GJ3" s="19"/>
      <c r="GL3" s="19"/>
      <c r="GM3" s="19"/>
      <c r="GN3" s="17"/>
      <c r="GO3" s="17"/>
      <c r="GP3" s="17"/>
      <c r="GQ3" s="17"/>
      <c r="GR3" s="17"/>
      <c r="GS3" s="20"/>
      <c r="GU3" s="19"/>
      <c r="GV3" s="19"/>
      <c r="GW3" s="19"/>
      <c r="GX3" s="19"/>
      <c r="GY3" s="19"/>
      <c r="GZ3" s="19"/>
      <c r="HA3" s="19"/>
      <c r="HE3" s="17"/>
      <c r="HF3" s="17"/>
      <c r="HG3" s="19"/>
      <c r="HH3" s="19"/>
      <c r="HI3" s="17"/>
      <c r="HL3" s="19"/>
      <c r="HM3" s="19"/>
      <c r="HN3" s="19"/>
      <c r="HO3" s="19"/>
      <c r="HP3" s="19"/>
      <c r="HQ3" s="19"/>
      <c r="HR3" s="19"/>
      <c r="HS3" s="19"/>
      <c r="HT3" s="19"/>
      <c r="HU3" s="17"/>
      <c r="HV3" s="17"/>
      <c r="HW3" s="17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7"/>
      <c r="IO3" s="17"/>
      <c r="IP3" s="17"/>
      <c r="IQ3" s="19"/>
      <c r="IR3" s="19"/>
      <c r="IS3" s="17"/>
      <c r="IT3" s="19"/>
      <c r="IU3" s="19"/>
      <c r="IV3" s="19"/>
      <c r="IW3" s="19"/>
      <c r="IX3" s="19"/>
      <c r="IY3" s="19"/>
      <c r="IZ3" s="19"/>
      <c r="JA3" s="17"/>
      <c r="JF3" s="17"/>
      <c r="JG3" s="17"/>
      <c r="JH3" s="19"/>
      <c r="JI3" s="19"/>
      <c r="JJ3" s="17"/>
      <c r="JK3" s="19"/>
      <c r="JL3" s="19"/>
      <c r="JM3" s="19"/>
      <c r="JN3" s="19"/>
      <c r="JO3" s="19"/>
      <c r="JP3" s="19"/>
      <c r="JQ3" s="19"/>
      <c r="JR3" s="1"/>
      <c r="JS3" s="1"/>
      <c r="JT3" s="1"/>
      <c r="JU3" s="1"/>
      <c r="JV3" s="1"/>
      <c r="JW3" s="1"/>
      <c r="JX3" s="1"/>
      <c r="JY3" s="1"/>
      <c r="JZ3" s="1"/>
      <c r="KA3" s="1"/>
      <c r="KB3" s="41"/>
      <c r="KC3" s="41"/>
      <c r="KD3" s="41"/>
      <c r="KE3" s="41"/>
      <c r="KF3" s="41"/>
      <c r="KG3" s="41"/>
      <c r="KH3" s="41"/>
      <c r="KI3" s="1"/>
      <c r="KJ3" s="1"/>
      <c r="KK3" s="1"/>
      <c r="KL3" s="1"/>
      <c r="KM3" s="1"/>
      <c r="KN3" s="1"/>
      <c r="KO3" s="1"/>
      <c r="KP3" s="1"/>
      <c r="KQ3" s="1"/>
      <c r="KR3" s="1"/>
      <c r="KS3" s="41"/>
      <c r="KT3" s="41"/>
      <c r="KU3" s="41"/>
      <c r="KV3" s="41"/>
      <c r="KW3" s="41"/>
      <c r="KX3" s="41"/>
      <c r="KY3" s="41"/>
      <c r="KZ3" s="1"/>
      <c r="LA3" s="1"/>
      <c r="LB3" s="1"/>
      <c r="LC3" s="1"/>
      <c r="LD3" s="1"/>
      <c r="LE3" s="1"/>
      <c r="LF3" s="1"/>
      <c r="LG3" s="1"/>
      <c r="LH3" s="1"/>
      <c r="LI3" s="1"/>
      <c r="LJ3" s="41"/>
      <c r="LK3" s="41"/>
      <c r="LL3" s="41"/>
      <c r="LM3" s="41"/>
      <c r="LN3" s="41"/>
      <c r="LO3" s="41"/>
      <c r="LP3" s="41"/>
      <c r="LQ3" s="1"/>
    </row>
    <row r="4" spans="1:344" s="18" customFormat="1" ht="17.25" customHeight="1" x14ac:dyDescent="0.25">
      <c r="A4" s="58"/>
      <c r="B4" s="58"/>
      <c r="C4" s="58"/>
      <c r="D4" s="39"/>
      <c r="E4" s="39"/>
      <c r="F4" s="25"/>
      <c r="G4" s="25"/>
      <c r="H4" s="25"/>
      <c r="I4" s="46"/>
      <c r="J4" s="39"/>
      <c r="K4" s="25"/>
      <c r="L4" s="25"/>
      <c r="M4" s="25"/>
      <c r="N4" s="25"/>
      <c r="O4" s="25"/>
      <c r="P4" s="25"/>
      <c r="Q4" s="123"/>
      <c r="R4" s="113"/>
      <c r="S4" s="128"/>
      <c r="T4" s="108"/>
      <c r="U4" s="118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70"/>
      <c r="AG4" s="19"/>
      <c r="AH4" s="19"/>
      <c r="AI4" s="19"/>
      <c r="AJ4" s="19"/>
      <c r="AK4" s="19"/>
      <c r="AL4" s="19"/>
      <c r="AM4" s="19"/>
      <c r="AR4" s="17"/>
      <c r="AS4" s="17"/>
      <c r="AT4" s="17"/>
      <c r="AU4" s="17"/>
      <c r="AV4" s="17"/>
      <c r="AX4" s="19"/>
      <c r="AY4" s="19"/>
      <c r="AZ4" s="19"/>
      <c r="BA4" s="19"/>
      <c r="BB4" s="19"/>
      <c r="BC4" s="19"/>
      <c r="BD4" s="19"/>
      <c r="BE4" s="17"/>
      <c r="BJ4" s="17"/>
      <c r="BK4" s="17"/>
      <c r="BL4" s="19"/>
      <c r="BM4" s="19"/>
      <c r="BN4" s="17"/>
      <c r="BO4" s="19"/>
      <c r="BP4" s="19"/>
      <c r="BQ4" s="19"/>
      <c r="BR4" s="19"/>
      <c r="BS4" s="19"/>
      <c r="BT4" s="19"/>
      <c r="BU4" s="19"/>
      <c r="BV4" s="17"/>
      <c r="BW4" s="17"/>
      <c r="BY4" s="19"/>
      <c r="BZ4" s="19"/>
      <c r="CA4" s="17"/>
      <c r="CB4" s="17"/>
      <c r="CC4" s="17"/>
      <c r="CD4" s="17"/>
      <c r="CE4" s="17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T4" s="17"/>
      <c r="CU4" s="17"/>
      <c r="CV4" s="17"/>
      <c r="CW4" s="19"/>
      <c r="CX4" s="19"/>
      <c r="CY4" s="19"/>
      <c r="CZ4" s="19"/>
      <c r="DA4" s="19"/>
      <c r="DB4" s="19"/>
      <c r="DC4" s="19"/>
      <c r="DD4" s="17"/>
      <c r="DE4" s="17"/>
      <c r="DF4" s="17"/>
      <c r="DG4" s="17"/>
      <c r="DH4" s="20"/>
      <c r="DI4" s="20"/>
      <c r="DJ4" s="20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7"/>
      <c r="DV4" s="17"/>
      <c r="DW4" s="17"/>
      <c r="DX4" s="17"/>
      <c r="DY4" s="19"/>
      <c r="DZ4" s="19"/>
      <c r="EA4" s="17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7"/>
      <c r="EO4" s="17"/>
      <c r="EP4" s="17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E4" s="17"/>
      <c r="FF4" s="17"/>
      <c r="FG4" s="17"/>
      <c r="FH4" s="17"/>
      <c r="FI4" s="17"/>
      <c r="FL4" s="19"/>
      <c r="FM4" s="19"/>
      <c r="FN4" s="19"/>
      <c r="FO4" s="19"/>
      <c r="FP4" s="19"/>
      <c r="FQ4" s="19"/>
      <c r="FR4" s="19"/>
      <c r="FS4" s="19"/>
      <c r="FW4" s="17"/>
      <c r="FX4" s="17"/>
      <c r="FY4" s="19"/>
      <c r="FZ4" s="19"/>
      <c r="GA4" s="17"/>
      <c r="GD4" s="19"/>
      <c r="GE4" s="19"/>
      <c r="GF4" s="19"/>
      <c r="GG4" s="19"/>
      <c r="GH4" s="19"/>
      <c r="GI4" s="19"/>
      <c r="GJ4" s="19"/>
      <c r="GL4" s="19"/>
      <c r="GM4" s="19"/>
      <c r="GN4" s="17"/>
      <c r="GO4" s="17"/>
      <c r="GP4" s="17"/>
      <c r="GQ4" s="17"/>
      <c r="GR4" s="17"/>
      <c r="GS4" s="20"/>
      <c r="GU4" s="19"/>
      <c r="GV4" s="19"/>
      <c r="GW4" s="19"/>
      <c r="GX4" s="19"/>
      <c r="GY4" s="19"/>
      <c r="GZ4" s="19"/>
      <c r="HA4" s="19"/>
      <c r="HE4" s="17"/>
      <c r="HF4" s="17"/>
      <c r="HG4" s="19"/>
      <c r="HH4" s="19"/>
      <c r="HI4" s="17"/>
      <c r="HL4" s="19"/>
      <c r="HM4" s="19"/>
      <c r="HN4" s="19"/>
      <c r="HO4" s="19"/>
      <c r="HP4" s="19"/>
      <c r="HQ4" s="19"/>
      <c r="HR4" s="19"/>
      <c r="HS4" s="19"/>
      <c r="HT4" s="19"/>
      <c r="HU4" s="17"/>
      <c r="HV4" s="17"/>
      <c r="HW4" s="17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7"/>
      <c r="IO4" s="17"/>
      <c r="IP4" s="17"/>
      <c r="IQ4" s="19"/>
      <c r="IR4" s="19"/>
      <c r="IS4" s="17"/>
      <c r="IT4" s="19"/>
      <c r="IU4" s="19"/>
      <c r="IV4" s="19"/>
      <c r="IW4" s="19"/>
      <c r="IX4" s="19"/>
      <c r="IY4" s="19"/>
      <c r="IZ4" s="19"/>
      <c r="JA4" s="17"/>
      <c r="JF4" s="17"/>
      <c r="JG4" s="17"/>
      <c r="JH4" s="19"/>
      <c r="JI4" s="19"/>
      <c r="JJ4" s="17"/>
      <c r="JK4" s="19"/>
      <c r="JL4" s="19"/>
      <c r="JM4" s="19"/>
      <c r="JN4" s="19"/>
      <c r="JO4" s="19"/>
      <c r="JP4" s="19"/>
      <c r="JQ4" s="19"/>
      <c r="JR4" s="1"/>
      <c r="JS4" s="1"/>
      <c r="JT4" s="1"/>
      <c r="JU4" s="1"/>
      <c r="JV4" s="1"/>
      <c r="JW4" s="1"/>
      <c r="JX4" s="1"/>
      <c r="JY4" s="1"/>
      <c r="JZ4" s="1"/>
      <c r="KA4" s="1"/>
      <c r="KB4" s="41"/>
      <c r="KC4" s="41"/>
      <c r="KD4" s="41"/>
      <c r="KE4" s="41"/>
      <c r="KF4" s="41"/>
      <c r="KG4" s="41"/>
      <c r="KH4" s="41"/>
      <c r="KI4" s="1"/>
      <c r="KJ4" s="1"/>
      <c r="KK4" s="1"/>
      <c r="KL4" s="1"/>
      <c r="KM4" s="1"/>
      <c r="KN4" s="1"/>
      <c r="KO4" s="1"/>
      <c r="KP4" s="1"/>
      <c r="KQ4" s="1"/>
      <c r="KR4" s="1"/>
      <c r="KS4" s="41"/>
      <c r="KT4" s="41"/>
      <c r="KU4" s="41"/>
      <c r="KV4" s="41"/>
      <c r="KW4" s="41"/>
      <c r="KX4" s="41"/>
      <c r="KY4" s="41"/>
      <c r="KZ4" s="1"/>
      <c r="LA4" s="1"/>
      <c r="LB4" s="1"/>
      <c r="LC4" s="1"/>
      <c r="LD4" s="1"/>
      <c r="LE4" s="1"/>
      <c r="LF4" s="1"/>
      <c r="LG4" s="1"/>
      <c r="LH4" s="1"/>
      <c r="LI4" s="1"/>
      <c r="LJ4" s="41"/>
      <c r="LK4" s="41"/>
      <c r="LL4" s="41"/>
      <c r="LM4" s="41"/>
      <c r="LN4" s="41"/>
      <c r="LO4" s="41"/>
      <c r="LP4" s="41"/>
      <c r="LQ4" s="1"/>
    </row>
    <row r="5" spans="1:344" s="18" customFormat="1" ht="17.25" customHeight="1" thickBot="1" x14ac:dyDescent="0.3">
      <c r="A5" s="58"/>
      <c r="B5" s="58"/>
      <c r="C5" s="58"/>
      <c r="D5" s="39"/>
      <c r="E5" s="39"/>
      <c r="F5" s="25"/>
      <c r="G5" s="25"/>
      <c r="H5" s="25"/>
      <c r="I5" s="46"/>
      <c r="J5" s="39"/>
      <c r="K5" s="25"/>
      <c r="L5" s="25"/>
      <c r="M5" s="25"/>
      <c r="N5" s="25"/>
      <c r="O5" s="25"/>
      <c r="P5" s="25"/>
      <c r="Q5" s="123"/>
      <c r="R5" s="113"/>
      <c r="S5" s="128"/>
      <c r="T5" s="108"/>
      <c r="U5" s="118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2"/>
      <c r="AG5" s="19"/>
      <c r="AH5" s="19"/>
      <c r="AI5" s="19"/>
      <c r="AJ5" s="19"/>
      <c r="AK5" s="19"/>
      <c r="AL5" s="19"/>
      <c r="AM5" s="19"/>
      <c r="AR5" s="17"/>
      <c r="AS5" s="17"/>
      <c r="AT5" s="17"/>
      <c r="AU5" s="17"/>
      <c r="AV5" s="17"/>
      <c r="AX5" s="19"/>
      <c r="AY5" s="19"/>
      <c r="AZ5" s="19"/>
      <c r="BA5" s="19"/>
      <c r="BB5" s="19"/>
      <c r="BC5" s="19"/>
      <c r="BD5" s="19"/>
      <c r="BE5" s="17"/>
      <c r="BJ5" s="17"/>
      <c r="BK5" s="17"/>
      <c r="BL5" s="19"/>
      <c r="BM5" s="19"/>
      <c r="BN5" s="17"/>
      <c r="BO5" s="19"/>
      <c r="BP5" s="19"/>
      <c r="BQ5" s="19"/>
      <c r="BR5" s="19"/>
      <c r="BS5" s="19"/>
      <c r="BT5" s="19"/>
      <c r="BU5" s="19"/>
      <c r="BV5" s="17"/>
      <c r="BW5" s="17"/>
      <c r="BY5" s="19"/>
      <c r="BZ5" s="19"/>
      <c r="CA5" s="17"/>
      <c r="CB5" s="17"/>
      <c r="CC5" s="17"/>
      <c r="CD5" s="17"/>
      <c r="CE5" s="17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T5" s="17"/>
      <c r="CU5" s="17"/>
      <c r="CV5" s="17"/>
      <c r="CW5" s="19"/>
      <c r="CX5" s="19"/>
      <c r="CY5" s="19"/>
      <c r="CZ5" s="19"/>
      <c r="DA5" s="19"/>
      <c r="DB5" s="19"/>
      <c r="DC5" s="19"/>
      <c r="DD5" s="17"/>
      <c r="DE5" s="17"/>
      <c r="DF5" s="17"/>
      <c r="DG5" s="17"/>
      <c r="DH5" s="20"/>
      <c r="DI5" s="20"/>
      <c r="DJ5" s="20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7"/>
      <c r="DV5" s="17"/>
      <c r="DW5" s="17"/>
      <c r="DX5" s="17"/>
      <c r="DY5" s="19"/>
      <c r="DZ5" s="19"/>
      <c r="EA5" s="17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7"/>
      <c r="EO5" s="17"/>
      <c r="EP5" s="17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E5" s="17"/>
      <c r="FF5" s="17"/>
      <c r="FG5" s="17"/>
      <c r="FH5" s="17"/>
      <c r="FI5" s="17"/>
      <c r="FL5" s="19"/>
      <c r="FM5" s="19"/>
      <c r="FN5" s="19"/>
      <c r="FO5" s="19"/>
      <c r="FP5" s="19"/>
      <c r="FQ5" s="19"/>
      <c r="FR5" s="19"/>
      <c r="FS5" s="19"/>
      <c r="FW5" s="17"/>
      <c r="FX5" s="17"/>
      <c r="FY5" s="19"/>
      <c r="FZ5" s="19"/>
      <c r="GA5" s="17"/>
      <c r="GD5" s="19"/>
      <c r="GE5" s="19"/>
      <c r="GF5" s="19"/>
      <c r="GG5" s="19"/>
      <c r="GH5" s="19"/>
      <c r="GI5" s="19"/>
      <c r="GJ5" s="19"/>
      <c r="GL5" s="19"/>
      <c r="GM5" s="19"/>
      <c r="GN5" s="17"/>
      <c r="GO5" s="17"/>
      <c r="GP5" s="17"/>
      <c r="GQ5" s="17"/>
      <c r="GR5" s="17"/>
      <c r="GS5" s="20"/>
      <c r="GU5" s="19"/>
      <c r="GV5" s="19"/>
      <c r="GW5" s="19"/>
      <c r="GX5" s="19"/>
      <c r="GY5" s="19"/>
      <c r="GZ5" s="19"/>
      <c r="HA5" s="19"/>
      <c r="HE5" s="17"/>
      <c r="HF5" s="17"/>
      <c r="HG5" s="19"/>
      <c r="HH5" s="19"/>
      <c r="HI5" s="17"/>
      <c r="HL5" s="19"/>
      <c r="HM5" s="19"/>
      <c r="HN5" s="19"/>
      <c r="HO5" s="19"/>
      <c r="HP5" s="19"/>
      <c r="HQ5" s="19"/>
      <c r="HR5" s="19"/>
      <c r="HS5" s="19"/>
      <c r="HT5" s="19"/>
      <c r="HU5" s="17"/>
      <c r="HV5" s="17"/>
      <c r="HW5" s="17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7"/>
      <c r="IO5" s="17"/>
      <c r="IP5" s="17"/>
      <c r="IQ5" s="19"/>
      <c r="IR5" s="19"/>
      <c r="IS5" s="17"/>
      <c r="IT5" s="19"/>
      <c r="IU5" s="19"/>
      <c r="IV5" s="19"/>
      <c r="IW5" s="19"/>
      <c r="IX5" s="19"/>
      <c r="IY5" s="19"/>
      <c r="IZ5" s="19"/>
      <c r="JA5" s="17"/>
      <c r="JF5" s="17"/>
      <c r="JG5" s="17"/>
      <c r="JH5" s="19"/>
      <c r="JI5" s="19"/>
      <c r="JJ5" s="17"/>
      <c r="JK5" s="19"/>
      <c r="JL5" s="19"/>
      <c r="JM5" s="19"/>
      <c r="JN5" s="19"/>
      <c r="JO5" s="19"/>
      <c r="JP5" s="19"/>
      <c r="JQ5" s="19"/>
      <c r="JR5" s="1"/>
      <c r="JS5" s="1"/>
      <c r="JT5" s="1"/>
      <c r="JU5" s="1"/>
      <c r="JV5" s="1"/>
      <c r="JW5" s="1"/>
      <c r="JX5" s="1"/>
      <c r="JY5" s="1"/>
      <c r="JZ5" s="1"/>
      <c r="KA5" s="1"/>
      <c r="KB5" s="41"/>
      <c r="KC5" s="41"/>
      <c r="KD5" s="41"/>
      <c r="KE5" s="41"/>
      <c r="KF5" s="41"/>
      <c r="KG5" s="41"/>
      <c r="KH5" s="41"/>
      <c r="KI5" s="1"/>
      <c r="KJ5" s="1"/>
      <c r="KK5" s="1"/>
      <c r="KL5" s="1"/>
      <c r="KM5" s="1"/>
      <c r="KN5" s="1"/>
      <c r="KO5" s="1"/>
      <c r="KP5" s="1"/>
      <c r="KQ5" s="1"/>
      <c r="KR5" s="1"/>
      <c r="KS5" s="41"/>
      <c r="KT5" s="41"/>
      <c r="KU5" s="41"/>
      <c r="KV5" s="41"/>
      <c r="KW5" s="41"/>
      <c r="KX5" s="41"/>
      <c r="KY5" s="41"/>
      <c r="KZ5" s="1"/>
      <c r="LA5" s="1"/>
      <c r="LB5" s="1"/>
      <c r="LC5" s="1"/>
      <c r="LD5" s="1"/>
      <c r="LE5" s="1"/>
      <c r="LF5" s="1"/>
      <c r="LG5" s="1"/>
      <c r="LH5" s="1"/>
      <c r="LI5" s="1"/>
      <c r="LJ5" s="41"/>
      <c r="LK5" s="41"/>
      <c r="LL5" s="41"/>
      <c r="LM5" s="41"/>
      <c r="LN5" s="41"/>
      <c r="LO5" s="41"/>
      <c r="LP5" s="41"/>
      <c r="LQ5" s="1"/>
    </row>
    <row r="6" spans="1:344" s="18" customFormat="1" ht="13.5" customHeight="1" thickTop="1" x14ac:dyDescent="0.25">
      <c r="A6" s="58"/>
      <c r="B6" s="58"/>
      <c r="C6" s="58"/>
      <c r="D6" s="39"/>
      <c r="E6" s="39"/>
      <c r="F6" s="21"/>
      <c r="G6" s="21"/>
      <c r="H6" s="21"/>
      <c r="I6" s="42"/>
      <c r="J6" s="39"/>
      <c r="K6" s="21"/>
      <c r="L6" s="21"/>
      <c r="M6" s="21"/>
      <c r="N6" s="21"/>
      <c r="O6" s="21"/>
      <c r="P6" s="21"/>
      <c r="Q6" s="124"/>
      <c r="R6" s="114"/>
      <c r="S6" s="129"/>
      <c r="T6" s="109"/>
      <c r="U6" s="119"/>
      <c r="V6" s="24"/>
      <c r="W6" s="21"/>
      <c r="X6" s="21"/>
      <c r="Y6" s="21"/>
      <c r="Z6" s="21"/>
      <c r="AA6" s="21"/>
      <c r="AB6" s="38"/>
      <c r="AC6" s="38"/>
      <c r="AD6" s="21"/>
      <c r="AE6" s="21"/>
      <c r="AF6" s="21"/>
      <c r="AG6" s="19"/>
      <c r="AH6" s="19"/>
      <c r="AI6" s="21"/>
      <c r="AJ6" s="21"/>
      <c r="AK6" s="21"/>
      <c r="AL6" s="19"/>
      <c r="AM6" s="19"/>
      <c r="AN6" s="21"/>
      <c r="AO6" s="21"/>
      <c r="AP6" s="21"/>
      <c r="AQ6" s="21"/>
      <c r="AR6" s="21"/>
      <c r="AU6" s="21"/>
      <c r="AV6" s="21"/>
      <c r="AW6" s="21"/>
      <c r="AX6" s="19"/>
      <c r="AY6" s="19"/>
      <c r="AZ6" s="21"/>
      <c r="BA6" s="21"/>
      <c r="BB6" s="21"/>
      <c r="BC6" s="19"/>
      <c r="BD6" s="19"/>
      <c r="BE6" s="21"/>
      <c r="BF6" s="21"/>
      <c r="BG6" s="21"/>
      <c r="BH6" s="21"/>
      <c r="BI6" s="21"/>
      <c r="BL6" s="21"/>
      <c r="BM6" s="21"/>
      <c r="BN6" s="21"/>
      <c r="BO6" s="19"/>
      <c r="BP6" s="19"/>
      <c r="BQ6" s="21"/>
      <c r="BR6" s="21"/>
      <c r="BS6" s="21"/>
      <c r="BT6" s="19"/>
      <c r="BU6" s="19"/>
      <c r="BV6" s="21"/>
      <c r="BW6" s="21"/>
      <c r="BX6" s="21"/>
      <c r="BY6" s="21"/>
      <c r="BZ6" s="21"/>
      <c r="CC6" s="21"/>
      <c r="CD6" s="21"/>
      <c r="CE6" s="21"/>
      <c r="CF6" s="19"/>
      <c r="CG6" s="19"/>
      <c r="CH6" s="21"/>
      <c r="CI6" s="21"/>
      <c r="CJ6" s="21"/>
      <c r="CK6" s="19"/>
      <c r="CL6" s="19"/>
      <c r="CM6" s="21"/>
      <c r="CN6" s="21"/>
      <c r="CO6" s="21"/>
      <c r="CP6" s="21"/>
      <c r="CQ6" s="21"/>
      <c r="CT6" s="21"/>
      <c r="CU6" s="21"/>
      <c r="CV6" s="21"/>
      <c r="CW6" s="19"/>
      <c r="CX6" s="19"/>
      <c r="CY6" s="21"/>
      <c r="CZ6" s="21"/>
      <c r="DA6" s="21"/>
      <c r="DB6" s="19"/>
      <c r="DC6" s="19"/>
      <c r="DD6" s="21"/>
      <c r="DE6" s="21"/>
      <c r="DF6" s="21"/>
      <c r="DG6" s="21"/>
      <c r="DH6" s="21"/>
      <c r="DK6" s="21"/>
      <c r="DL6" s="21"/>
      <c r="DM6" s="21"/>
      <c r="DN6" s="19"/>
      <c r="DO6" s="19"/>
      <c r="DP6" s="21"/>
      <c r="DQ6" s="21"/>
      <c r="DR6" s="21"/>
      <c r="DS6" s="19"/>
      <c r="DT6" s="19"/>
      <c r="DU6" s="21"/>
      <c r="DV6" s="21"/>
      <c r="DW6" s="21"/>
      <c r="DX6" s="21"/>
      <c r="DY6" s="21"/>
      <c r="EB6" s="21"/>
      <c r="EC6" s="21"/>
      <c r="ED6" s="21"/>
      <c r="EE6" s="19"/>
      <c r="EF6" s="19"/>
      <c r="EG6" s="21"/>
      <c r="EH6" s="21"/>
      <c r="EI6" s="21"/>
      <c r="EJ6" s="19"/>
      <c r="EK6" s="19"/>
      <c r="EL6" s="21"/>
      <c r="EM6" s="21"/>
      <c r="EN6" s="21"/>
      <c r="EO6" s="21"/>
      <c r="EP6" s="21"/>
      <c r="ES6" s="21"/>
      <c r="ET6" s="21"/>
      <c r="EU6" s="21"/>
      <c r="EV6" s="19"/>
      <c r="EW6" s="19"/>
      <c r="EX6" s="21"/>
      <c r="EY6" s="21"/>
      <c r="EZ6" s="21"/>
      <c r="FA6" s="19"/>
      <c r="FB6" s="19"/>
      <c r="FC6" s="21"/>
      <c r="FD6" s="21"/>
      <c r="FE6" s="21"/>
      <c r="FF6" s="21"/>
      <c r="FG6" s="21"/>
      <c r="FJ6" s="21"/>
      <c r="FK6" s="21"/>
      <c r="FL6" s="21"/>
      <c r="FM6" s="19"/>
      <c r="FN6" s="19"/>
      <c r="FO6" s="21"/>
      <c r="FP6" s="21"/>
      <c r="FQ6" s="21"/>
      <c r="FR6" s="19"/>
      <c r="FS6" s="19"/>
      <c r="FT6" s="21"/>
      <c r="FU6" s="21"/>
      <c r="FV6" s="21"/>
      <c r="FW6" s="21"/>
      <c r="FX6" s="21"/>
      <c r="GA6" s="21"/>
      <c r="GB6" s="21"/>
      <c r="GC6" s="21"/>
      <c r="GD6" s="19"/>
      <c r="GE6" s="19"/>
      <c r="GF6" s="21"/>
      <c r="GG6" s="21"/>
      <c r="GH6" s="21"/>
      <c r="GI6" s="19"/>
      <c r="GJ6" s="19"/>
      <c r="GK6" s="21"/>
      <c r="GL6" s="21"/>
      <c r="GM6" s="21"/>
      <c r="GN6" s="21"/>
      <c r="GO6" s="21"/>
      <c r="GR6" s="21"/>
      <c r="GS6" s="21"/>
      <c r="GT6" s="21"/>
      <c r="GU6" s="19"/>
      <c r="GV6" s="19"/>
      <c r="GW6" s="21"/>
      <c r="GX6" s="21"/>
      <c r="GY6" s="21"/>
      <c r="GZ6" s="19"/>
      <c r="HA6" s="19"/>
      <c r="HB6" s="21"/>
      <c r="HC6" s="21"/>
      <c r="HD6" s="21"/>
      <c r="HE6" s="21"/>
      <c r="HF6" s="21"/>
      <c r="HI6" s="21"/>
      <c r="HJ6" s="21"/>
      <c r="HK6" s="21"/>
      <c r="HL6" s="19"/>
      <c r="HM6" s="19"/>
      <c r="HN6" s="21"/>
      <c r="HO6" s="21"/>
      <c r="HP6" s="21"/>
      <c r="HQ6" s="19"/>
      <c r="HR6" s="19"/>
      <c r="HS6" s="21"/>
      <c r="HT6" s="21"/>
      <c r="HU6" s="21"/>
      <c r="HV6" s="21"/>
      <c r="HW6" s="21"/>
      <c r="HZ6" s="21"/>
      <c r="IA6" s="21"/>
      <c r="IB6" s="21"/>
      <c r="IC6" s="19"/>
      <c r="ID6" s="19"/>
      <c r="IE6" s="21"/>
      <c r="IF6" s="21"/>
      <c r="IG6" s="21"/>
      <c r="IH6" s="19"/>
      <c r="II6" s="19"/>
      <c r="IJ6" s="21"/>
      <c r="IK6" s="21"/>
      <c r="IL6" s="21"/>
      <c r="IM6" s="21"/>
      <c r="IN6" s="21"/>
      <c r="IQ6" s="21"/>
      <c r="IR6" s="21"/>
      <c r="IS6" s="21"/>
      <c r="IT6" s="19"/>
      <c r="IU6" s="19"/>
      <c r="IV6" s="21"/>
      <c r="IW6" s="21"/>
      <c r="IX6" s="21"/>
      <c r="IY6" s="19"/>
      <c r="IZ6" s="19"/>
      <c r="JA6" s="21"/>
      <c r="JB6" s="21"/>
      <c r="JC6" s="21"/>
      <c r="JD6" s="21"/>
      <c r="JE6" s="21"/>
      <c r="JH6" s="21"/>
      <c r="JI6" s="21"/>
      <c r="JJ6" s="21"/>
      <c r="JK6" s="19"/>
      <c r="JL6" s="19"/>
      <c r="JM6" s="21"/>
      <c r="JN6" s="21"/>
      <c r="JO6" s="21"/>
      <c r="JP6" s="19"/>
      <c r="JQ6" s="19"/>
      <c r="JR6" s="42"/>
      <c r="JS6" s="42"/>
      <c r="JT6" s="42"/>
      <c r="JU6" s="94"/>
      <c r="JV6" s="94"/>
      <c r="JW6" s="1"/>
      <c r="JX6" s="1"/>
      <c r="JY6" s="42"/>
      <c r="JZ6" s="42"/>
      <c r="KA6" s="42"/>
      <c r="KB6" s="41"/>
      <c r="KC6" s="41"/>
      <c r="KD6" s="42"/>
      <c r="KE6" s="42"/>
      <c r="KF6" s="42"/>
      <c r="KG6" s="41"/>
      <c r="KH6" s="41"/>
      <c r="KI6" s="42"/>
      <c r="KJ6" s="42"/>
      <c r="KK6" s="42"/>
      <c r="KL6" s="42"/>
      <c r="KM6" s="42"/>
      <c r="KN6" s="1"/>
      <c r="KO6" s="1"/>
      <c r="KP6" s="42"/>
      <c r="KQ6" s="42"/>
      <c r="KR6" s="42"/>
      <c r="KS6" s="41"/>
      <c r="KT6" s="41"/>
      <c r="KU6" s="42"/>
      <c r="KV6" s="42"/>
      <c r="KW6" s="42"/>
      <c r="KX6" s="41"/>
      <c r="KY6" s="41"/>
      <c r="KZ6" s="42"/>
      <c r="LA6" s="42"/>
      <c r="LB6" s="42"/>
      <c r="LC6" s="42"/>
      <c r="LD6" s="42"/>
      <c r="LE6" s="1"/>
      <c r="LF6" s="1"/>
      <c r="LG6" s="42"/>
      <c r="LH6" s="42"/>
      <c r="LI6" s="42"/>
      <c r="LJ6" s="41"/>
      <c r="LK6" s="41"/>
      <c r="LL6" s="42"/>
      <c r="LM6" s="42"/>
      <c r="LN6" s="42"/>
      <c r="LO6" s="41"/>
      <c r="LP6" s="41"/>
      <c r="LQ6" s="1"/>
    </row>
    <row r="7" spans="1:344" s="18" customFormat="1" ht="58.5" customHeight="1" x14ac:dyDescent="0.25">
      <c r="A7" s="58"/>
      <c r="B7" s="58"/>
      <c r="C7" s="58"/>
      <c r="D7" s="39"/>
      <c r="E7" s="39"/>
      <c r="F7" s="102"/>
      <c r="I7" s="1"/>
      <c r="J7" s="39"/>
      <c r="K7" s="102"/>
      <c r="Q7" s="122"/>
      <c r="R7" s="112"/>
      <c r="S7" s="127"/>
      <c r="T7" s="107"/>
      <c r="U7" s="117"/>
      <c r="V7" s="17"/>
      <c r="AB7" s="38"/>
      <c r="AC7" s="38"/>
      <c r="AD7" s="19"/>
      <c r="AE7" s="19"/>
      <c r="AF7" s="19"/>
      <c r="AG7" s="19"/>
      <c r="AH7" s="19"/>
      <c r="AI7" s="19"/>
      <c r="AJ7" s="19"/>
      <c r="AK7" s="19"/>
      <c r="AL7" s="19"/>
      <c r="AM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"/>
      <c r="JS7" s="1"/>
      <c r="JT7" s="1"/>
      <c r="JU7" s="1"/>
      <c r="JV7" s="1"/>
      <c r="JW7" s="1"/>
      <c r="JX7" s="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1"/>
      <c r="KJ7" s="1"/>
      <c r="KK7" s="1"/>
      <c r="KL7" s="1"/>
      <c r="KM7" s="1"/>
      <c r="KN7" s="1"/>
      <c r="KO7" s="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1"/>
      <c r="LA7" s="1"/>
      <c r="LB7" s="1"/>
      <c r="LC7" s="1"/>
      <c r="LD7" s="1"/>
      <c r="LE7" s="1"/>
      <c r="LF7" s="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1"/>
    </row>
    <row r="8" spans="1:344" s="60" customFormat="1" ht="17.25" customHeight="1" thickBot="1" x14ac:dyDescent="0.3">
      <c r="A8" s="173" t="s">
        <v>99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5"/>
      <c r="W8" s="58"/>
      <c r="X8" s="58"/>
      <c r="Y8" s="58"/>
      <c r="Z8" s="58"/>
      <c r="AA8" s="58"/>
      <c r="AB8" s="59"/>
      <c r="AC8" s="59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58"/>
      <c r="AO8" s="58"/>
      <c r="AP8" s="58"/>
      <c r="AQ8" s="58"/>
      <c r="AR8" s="58"/>
      <c r="AS8" s="58"/>
      <c r="AT8" s="58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58"/>
      <c r="BF8" s="58"/>
      <c r="BG8" s="58"/>
      <c r="BH8" s="58"/>
      <c r="BI8" s="58"/>
      <c r="BJ8" s="58"/>
      <c r="BK8" s="58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58"/>
      <c r="BW8" s="58"/>
      <c r="BX8" s="58"/>
      <c r="BY8" s="58"/>
      <c r="BZ8" s="58"/>
      <c r="CA8" s="58"/>
      <c r="CB8" s="58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58"/>
      <c r="CN8" s="58"/>
      <c r="CO8" s="58"/>
      <c r="CP8" s="58"/>
      <c r="CQ8" s="58"/>
      <c r="CR8" s="58"/>
      <c r="CS8" s="58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58"/>
      <c r="DE8" s="58"/>
      <c r="DF8" s="58"/>
      <c r="DG8" s="58"/>
      <c r="DH8" s="58"/>
      <c r="DI8" s="58"/>
      <c r="DJ8" s="58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58"/>
      <c r="DV8" s="58"/>
      <c r="DW8" s="58"/>
      <c r="DX8" s="58"/>
      <c r="DY8" s="58"/>
      <c r="DZ8" s="58"/>
      <c r="EA8" s="58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58"/>
      <c r="EM8" s="58"/>
      <c r="EN8" s="58"/>
      <c r="EO8" s="58"/>
      <c r="EP8" s="58"/>
      <c r="EQ8" s="58"/>
      <c r="ER8" s="58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58"/>
      <c r="FD8" s="58"/>
      <c r="FE8" s="58"/>
      <c r="FF8" s="58"/>
      <c r="FG8" s="58"/>
      <c r="FH8" s="58"/>
      <c r="FI8" s="58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58"/>
      <c r="FU8" s="58"/>
      <c r="FV8" s="58"/>
      <c r="FW8" s="58"/>
      <c r="FX8" s="58"/>
      <c r="FY8" s="58"/>
      <c r="FZ8" s="58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58"/>
      <c r="GL8" s="58"/>
      <c r="GM8" s="58"/>
      <c r="GN8" s="58"/>
      <c r="GO8" s="58"/>
      <c r="GP8" s="58"/>
      <c r="GQ8" s="58"/>
      <c r="GR8" s="61"/>
      <c r="GS8" s="61"/>
      <c r="GT8" s="61"/>
      <c r="GU8" s="61"/>
      <c r="GV8" s="61"/>
      <c r="GW8" s="61"/>
      <c r="GX8" s="61"/>
      <c r="GY8" s="61"/>
      <c r="GZ8" s="61"/>
      <c r="HA8" s="61"/>
      <c r="HB8" s="58"/>
      <c r="HC8" s="58"/>
      <c r="HD8" s="58"/>
      <c r="HE8" s="58"/>
      <c r="HF8" s="58"/>
      <c r="HG8" s="58"/>
      <c r="HH8" s="58"/>
      <c r="HI8" s="61"/>
      <c r="HJ8" s="61"/>
      <c r="HK8" s="61"/>
      <c r="HL8" s="61"/>
      <c r="HM8" s="61"/>
      <c r="HN8" s="61"/>
      <c r="HO8" s="61"/>
      <c r="HP8" s="61"/>
      <c r="HQ8" s="61"/>
      <c r="HR8" s="61"/>
      <c r="HS8" s="58"/>
      <c r="HT8" s="58"/>
      <c r="HU8" s="58"/>
      <c r="HV8" s="58"/>
      <c r="HW8" s="58"/>
      <c r="HX8" s="58"/>
      <c r="HY8" s="58"/>
      <c r="HZ8" s="61"/>
      <c r="IA8" s="61"/>
      <c r="IB8" s="61"/>
      <c r="IC8" s="61"/>
      <c r="ID8" s="61"/>
      <c r="IE8" s="61"/>
      <c r="IF8" s="61"/>
      <c r="IG8" s="61"/>
      <c r="IH8" s="61"/>
      <c r="II8" s="61"/>
      <c r="IJ8" s="58"/>
      <c r="IK8" s="58"/>
      <c r="IL8" s="58"/>
      <c r="IM8" s="58"/>
      <c r="IN8" s="58"/>
      <c r="IO8" s="58"/>
      <c r="IP8" s="58"/>
      <c r="IQ8" s="61"/>
      <c r="IR8" s="61"/>
      <c r="IS8" s="61"/>
      <c r="IT8" s="61"/>
      <c r="IU8" s="61"/>
      <c r="IV8" s="61"/>
      <c r="IW8" s="61"/>
      <c r="IX8" s="61"/>
      <c r="IY8" s="61"/>
      <c r="IZ8" s="61"/>
      <c r="JA8" s="58"/>
      <c r="JB8" s="58"/>
      <c r="JC8" s="58"/>
      <c r="JD8" s="58"/>
      <c r="JE8" s="58"/>
      <c r="JF8" s="58"/>
      <c r="JG8" s="58"/>
      <c r="JH8" s="61"/>
      <c r="JI8" s="61"/>
      <c r="JJ8" s="61"/>
      <c r="JK8" s="61"/>
      <c r="JL8" s="61"/>
      <c r="JM8" s="61"/>
      <c r="JN8" s="61"/>
      <c r="JO8" s="61"/>
      <c r="JP8" s="61"/>
      <c r="JQ8" s="61"/>
      <c r="JR8" s="99"/>
      <c r="JS8" s="99"/>
      <c r="JT8" s="99"/>
      <c r="JU8" s="99"/>
      <c r="JV8" s="99"/>
      <c r="JW8" s="99"/>
      <c r="JX8" s="99"/>
      <c r="JY8" s="99"/>
      <c r="JZ8" s="99"/>
      <c r="KA8" s="99"/>
      <c r="KB8" s="99"/>
      <c r="KC8" s="99"/>
      <c r="KD8" s="99"/>
      <c r="KE8" s="99"/>
      <c r="KF8" s="99"/>
      <c r="KG8" s="99"/>
      <c r="KH8" s="99"/>
      <c r="KI8" s="99"/>
      <c r="KJ8" s="99"/>
      <c r="KK8" s="99"/>
      <c r="KL8" s="99"/>
      <c r="KM8" s="99"/>
      <c r="KN8" s="99"/>
      <c r="KO8" s="99"/>
      <c r="KP8" s="99"/>
      <c r="KQ8" s="99"/>
      <c r="KR8" s="99"/>
      <c r="KS8" s="99"/>
      <c r="KT8" s="99"/>
      <c r="KU8" s="99"/>
      <c r="KV8" s="99"/>
      <c r="KW8" s="99"/>
      <c r="KX8" s="99"/>
      <c r="KY8" s="99"/>
      <c r="KZ8" s="99"/>
      <c r="LA8" s="99"/>
      <c r="LB8" s="99"/>
      <c r="LC8" s="99"/>
      <c r="LD8" s="99"/>
      <c r="LE8" s="99"/>
      <c r="LF8" s="99"/>
      <c r="LG8" s="99"/>
      <c r="LH8" s="99"/>
      <c r="LI8" s="99"/>
      <c r="LJ8" s="99"/>
      <c r="LK8" s="99"/>
      <c r="LL8" s="99"/>
      <c r="LM8" s="99"/>
      <c r="LN8" s="99"/>
      <c r="LO8" s="99"/>
      <c r="LP8" s="99"/>
      <c r="LQ8" s="99"/>
      <c r="LR8" s="99"/>
      <c r="LS8" s="99"/>
      <c r="LT8" s="99"/>
      <c r="LU8" s="99"/>
      <c r="LV8" s="99"/>
      <c r="LW8" s="99"/>
      <c r="LX8" s="99"/>
      <c r="LY8" s="99"/>
      <c r="LZ8" s="99"/>
      <c r="MA8" s="99"/>
      <c r="MB8" s="99"/>
      <c r="MC8" s="99"/>
      <c r="MD8" s="99"/>
      <c r="ME8" s="99"/>
      <c r="MF8" s="99"/>
    </row>
    <row r="9" spans="1:344" s="58" customFormat="1" ht="17.25" customHeight="1" thickBot="1" x14ac:dyDescent="0.3">
      <c r="A9" s="158" t="s">
        <v>84</v>
      </c>
      <c r="B9" s="159"/>
      <c r="C9" s="160"/>
      <c r="D9" s="161" t="s">
        <v>83</v>
      </c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1" t="s">
        <v>96</v>
      </c>
      <c r="R9" s="162"/>
      <c r="S9" s="162"/>
      <c r="T9" s="162"/>
      <c r="U9" s="162"/>
      <c r="V9" s="166"/>
      <c r="W9" s="153" t="s">
        <v>100</v>
      </c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4"/>
      <c r="AN9" s="152" t="s">
        <v>73</v>
      </c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4"/>
      <c r="BE9" s="152" t="s">
        <v>72</v>
      </c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4"/>
      <c r="BV9" s="152" t="s">
        <v>74</v>
      </c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4"/>
      <c r="CM9" s="152" t="s">
        <v>75</v>
      </c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4"/>
      <c r="DD9" s="152" t="s">
        <v>76</v>
      </c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4"/>
      <c r="DU9" s="152" t="s">
        <v>77</v>
      </c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4"/>
      <c r="EL9" s="152" t="s">
        <v>88</v>
      </c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4"/>
      <c r="FC9" s="152" t="s">
        <v>79</v>
      </c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4"/>
      <c r="FT9" s="152" t="s">
        <v>86</v>
      </c>
      <c r="FU9" s="153"/>
      <c r="FV9" s="153"/>
      <c r="FW9" s="153"/>
      <c r="FX9" s="153"/>
      <c r="FY9" s="153"/>
      <c r="FZ9" s="153"/>
      <c r="GA9" s="153"/>
      <c r="GB9" s="153"/>
      <c r="GC9" s="153"/>
      <c r="GD9" s="153"/>
      <c r="GE9" s="153"/>
      <c r="GF9" s="153"/>
      <c r="GG9" s="153"/>
      <c r="GH9" s="153"/>
      <c r="GI9" s="153"/>
      <c r="GJ9" s="154"/>
      <c r="GK9" s="152" t="s">
        <v>81</v>
      </c>
      <c r="GL9" s="153"/>
      <c r="GM9" s="153"/>
      <c r="GN9" s="153"/>
      <c r="GO9" s="153"/>
      <c r="GP9" s="153"/>
      <c r="GQ9" s="153"/>
      <c r="GR9" s="153"/>
      <c r="GS9" s="153"/>
      <c r="GT9" s="153"/>
      <c r="GU9" s="153"/>
      <c r="GV9" s="153"/>
      <c r="GW9" s="153"/>
      <c r="GX9" s="153"/>
      <c r="GY9" s="153"/>
      <c r="GZ9" s="153"/>
      <c r="HA9" s="154"/>
      <c r="HB9" s="152" t="s">
        <v>80</v>
      </c>
      <c r="HC9" s="153"/>
      <c r="HD9" s="153"/>
      <c r="HE9" s="153"/>
      <c r="HF9" s="153"/>
      <c r="HG9" s="153"/>
      <c r="HH9" s="153"/>
      <c r="HI9" s="153"/>
      <c r="HJ9" s="153"/>
      <c r="HK9" s="153"/>
      <c r="HL9" s="153"/>
      <c r="HM9" s="153"/>
      <c r="HN9" s="153"/>
      <c r="HO9" s="153"/>
      <c r="HP9" s="153"/>
      <c r="HQ9" s="153"/>
      <c r="HR9" s="154"/>
      <c r="HS9" s="152" t="s">
        <v>78</v>
      </c>
      <c r="HT9" s="153"/>
      <c r="HU9" s="153"/>
      <c r="HV9" s="153"/>
      <c r="HW9" s="153"/>
      <c r="HX9" s="153"/>
      <c r="HY9" s="153"/>
      <c r="HZ9" s="153"/>
      <c r="IA9" s="153"/>
      <c r="IB9" s="153"/>
      <c r="IC9" s="153"/>
      <c r="ID9" s="153"/>
      <c r="IE9" s="153"/>
      <c r="IF9" s="153"/>
      <c r="IG9" s="153"/>
      <c r="IH9" s="153"/>
      <c r="II9" s="154"/>
      <c r="IJ9" s="152" t="s">
        <v>82</v>
      </c>
      <c r="IK9" s="153"/>
      <c r="IL9" s="153"/>
      <c r="IM9" s="153"/>
      <c r="IN9" s="153"/>
      <c r="IO9" s="153"/>
      <c r="IP9" s="153"/>
      <c r="IQ9" s="153"/>
      <c r="IR9" s="153"/>
      <c r="IS9" s="153"/>
      <c r="IT9" s="153"/>
      <c r="IU9" s="153"/>
      <c r="IV9" s="153"/>
      <c r="IW9" s="153"/>
      <c r="IX9" s="153"/>
      <c r="IY9" s="153"/>
      <c r="IZ9" s="154"/>
      <c r="JA9" s="152" t="s">
        <v>92</v>
      </c>
      <c r="JB9" s="153"/>
      <c r="JC9" s="153"/>
      <c r="JD9" s="153"/>
      <c r="JE9" s="153"/>
      <c r="JF9" s="153"/>
      <c r="JG9" s="153"/>
      <c r="JH9" s="153"/>
      <c r="JI9" s="153"/>
      <c r="JJ9" s="153"/>
      <c r="JK9" s="153"/>
      <c r="JL9" s="153"/>
      <c r="JM9" s="153"/>
      <c r="JN9" s="153"/>
      <c r="JO9" s="153"/>
      <c r="JP9" s="153"/>
      <c r="JQ9" s="154"/>
      <c r="JR9" s="99"/>
      <c r="JS9" s="99"/>
      <c r="JT9" s="99"/>
      <c r="JU9" s="99"/>
      <c r="JV9" s="99"/>
      <c r="JW9" s="99"/>
      <c r="JX9" s="99"/>
      <c r="JY9" s="99"/>
      <c r="JZ9" s="99"/>
      <c r="KA9" s="99"/>
      <c r="KB9" s="99"/>
      <c r="KC9" s="99"/>
      <c r="KD9" s="99"/>
      <c r="KE9" s="99"/>
      <c r="KF9" s="99"/>
      <c r="KG9" s="99"/>
      <c r="KH9" s="99"/>
      <c r="KI9" s="99"/>
      <c r="KJ9" s="99"/>
      <c r="KK9" s="99"/>
      <c r="KL9" s="99"/>
      <c r="KM9" s="99"/>
      <c r="KN9" s="99"/>
      <c r="KO9" s="99"/>
      <c r="KP9" s="99"/>
      <c r="KQ9" s="99"/>
      <c r="KR9" s="99"/>
      <c r="KS9" s="99"/>
      <c r="KT9" s="99"/>
      <c r="KU9" s="99"/>
      <c r="KV9" s="99"/>
      <c r="KW9" s="99"/>
      <c r="KX9" s="99"/>
      <c r="KY9" s="99"/>
      <c r="KZ9" s="99"/>
      <c r="LA9" s="99"/>
      <c r="LB9" s="99"/>
      <c r="LC9" s="99"/>
      <c r="LD9" s="99"/>
      <c r="LE9" s="99"/>
      <c r="LF9" s="99"/>
      <c r="LG9" s="99"/>
      <c r="LH9" s="99"/>
      <c r="LI9" s="99"/>
      <c r="LJ9" s="99"/>
      <c r="LK9" s="99"/>
      <c r="LL9" s="99"/>
      <c r="LM9" s="99"/>
      <c r="LN9" s="99"/>
      <c r="LO9" s="99"/>
      <c r="LP9" s="99"/>
      <c r="LQ9" s="99"/>
      <c r="LR9" s="99"/>
      <c r="LS9" s="99"/>
      <c r="LT9" s="99"/>
      <c r="LU9" s="99"/>
      <c r="LV9" s="99"/>
      <c r="LW9" s="99"/>
      <c r="LX9" s="99"/>
      <c r="LY9" s="99"/>
      <c r="LZ9" s="99"/>
      <c r="MA9" s="99"/>
      <c r="MB9" s="99"/>
      <c r="MC9" s="99"/>
      <c r="MD9" s="99"/>
      <c r="ME9" s="99"/>
      <c r="MF9" s="99"/>
    </row>
    <row r="10" spans="1:344" s="62" customFormat="1" ht="35.25" customHeight="1" x14ac:dyDescent="0.25">
      <c r="A10" s="176" t="s">
        <v>56</v>
      </c>
      <c r="B10" s="177"/>
      <c r="C10" s="63" t="s">
        <v>55</v>
      </c>
      <c r="D10" s="100" t="s">
        <v>93</v>
      </c>
      <c r="E10" s="101" t="s">
        <v>94</v>
      </c>
      <c r="F10" s="64" t="s">
        <v>64</v>
      </c>
      <c r="G10" s="64" t="s">
        <v>66</v>
      </c>
      <c r="H10" s="64" t="s">
        <v>67</v>
      </c>
      <c r="I10" s="100" t="s">
        <v>93</v>
      </c>
      <c r="J10" s="101" t="s">
        <v>94</v>
      </c>
      <c r="K10" s="64" t="s">
        <v>65</v>
      </c>
      <c r="L10" s="88" t="s">
        <v>68</v>
      </c>
      <c r="M10" s="64" t="s">
        <v>69</v>
      </c>
      <c r="N10" s="64" t="s">
        <v>70</v>
      </c>
      <c r="O10" s="64" t="s">
        <v>91</v>
      </c>
      <c r="P10" s="65" t="s">
        <v>85</v>
      </c>
      <c r="Q10" s="163" t="s">
        <v>97</v>
      </c>
      <c r="R10" s="164"/>
      <c r="S10" s="164"/>
      <c r="T10" s="164"/>
      <c r="U10" s="165"/>
      <c r="V10" s="64" t="s">
        <v>98</v>
      </c>
      <c r="W10" s="66" t="s">
        <v>62</v>
      </c>
      <c r="X10" s="67" t="s">
        <v>63</v>
      </c>
      <c r="Y10" s="68" t="s">
        <v>57</v>
      </c>
      <c r="Z10" s="68" t="s">
        <v>58</v>
      </c>
      <c r="AA10" s="68" t="s">
        <v>59</v>
      </c>
      <c r="AB10" s="69" t="s">
        <v>60</v>
      </c>
      <c r="AC10" s="69" t="s">
        <v>61</v>
      </c>
      <c r="AD10" s="70" t="s">
        <v>50</v>
      </c>
      <c r="AE10" s="71" t="s">
        <v>51</v>
      </c>
      <c r="AF10" s="72" t="s">
        <v>52</v>
      </c>
      <c r="AG10" s="73" t="s">
        <v>53</v>
      </c>
      <c r="AH10" s="74" t="s">
        <v>54</v>
      </c>
      <c r="AI10" s="67" t="s">
        <v>50</v>
      </c>
      <c r="AJ10" s="71" t="s">
        <v>51</v>
      </c>
      <c r="AK10" s="72" t="s">
        <v>52</v>
      </c>
      <c r="AL10" s="73" t="s">
        <v>53</v>
      </c>
      <c r="AM10" s="75" t="s">
        <v>54</v>
      </c>
      <c r="AN10" s="66" t="s">
        <v>62</v>
      </c>
      <c r="AO10" s="67" t="s">
        <v>63</v>
      </c>
      <c r="AP10" s="68" t="s">
        <v>57</v>
      </c>
      <c r="AQ10" s="68" t="s">
        <v>58</v>
      </c>
      <c r="AR10" s="68" t="s">
        <v>59</v>
      </c>
      <c r="AS10" s="68" t="s">
        <v>60</v>
      </c>
      <c r="AT10" s="68" t="s">
        <v>61</v>
      </c>
      <c r="AU10" s="70" t="s">
        <v>50</v>
      </c>
      <c r="AV10" s="71" t="s">
        <v>51</v>
      </c>
      <c r="AW10" s="72" t="s">
        <v>52</v>
      </c>
      <c r="AX10" s="73" t="s">
        <v>53</v>
      </c>
      <c r="AY10" s="74" t="s">
        <v>54</v>
      </c>
      <c r="AZ10" s="67" t="s">
        <v>50</v>
      </c>
      <c r="BA10" s="71" t="s">
        <v>51</v>
      </c>
      <c r="BB10" s="72" t="s">
        <v>52</v>
      </c>
      <c r="BC10" s="73" t="s">
        <v>53</v>
      </c>
      <c r="BD10" s="75" t="s">
        <v>54</v>
      </c>
      <c r="BE10" s="66" t="s">
        <v>62</v>
      </c>
      <c r="BF10" s="67" t="s">
        <v>63</v>
      </c>
      <c r="BG10" s="68" t="s">
        <v>57</v>
      </c>
      <c r="BH10" s="68" t="s">
        <v>58</v>
      </c>
      <c r="BI10" s="68" t="s">
        <v>59</v>
      </c>
      <c r="BJ10" s="68" t="s">
        <v>60</v>
      </c>
      <c r="BK10" s="68" t="s">
        <v>61</v>
      </c>
      <c r="BL10" s="70" t="s">
        <v>50</v>
      </c>
      <c r="BM10" s="71" t="s">
        <v>51</v>
      </c>
      <c r="BN10" s="72" t="s">
        <v>52</v>
      </c>
      <c r="BO10" s="73" t="s">
        <v>53</v>
      </c>
      <c r="BP10" s="74" t="s">
        <v>54</v>
      </c>
      <c r="BQ10" s="67" t="s">
        <v>50</v>
      </c>
      <c r="BR10" s="71" t="s">
        <v>51</v>
      </c>
      <c r="BS10" s="72" t="s">
        <v>52</v>
      </c>
      <c r="BT10" s="73" t="s">
        <v>53</v>
      </c>
      <c r="BU10" s="75" t="s">
        <v>54</v>
      </c>
      <c r="BV10" s="66" t="s">
        <v>62</v>
      </c>
      <c r="BW10" s="67" t="s">
        <v>63</v>
      </c>
      <c r="BX10" s="68" t="s">
        <v>57</v>
      </c>
      <c r="BY10" s="68" t="s">
        <v>58</v>
      </c>
      <c r="BZ10" s="68" t="s">
        <v>59</v>
      </c>
      <c r="CA10" s="68" t="s">
        <v>60</v>
      </c>
      <c r="CB10" s="68" t="s">
        <v>61</v>
      </c>
      <c r="CC10" s="70" t="s">
        <v>50</v>
      </c>
      <c r="CD10" s="71" t="s">
        <v>51</v>
      </c>
      <c r="CE10" s="72" t="s">
        <v>52</v>
      </c>
      <c r="CF10" s="73" t="s">
        <v>53</v>
      </c>
      <c r="CG10" s="74" t="s">
        <v>54</v>
      </c>
      <c r="CH10" s="67" t="s">
        <v>50</v>
      </c>
      <c r="CI10" s="71" t="s">
        <v>51</v>
      </c>
      <c r="CJ10" s="72" t="s">
        <v>52</v>
      </c>
      <c r="CK10" s="73" t="s">
        <v>53</v>
      </c>
      <c r="CL10" s="75" t="s">
        <v>54</v>
      </c>
      <c r="CM10" s="66" t="s">
        <v>62</v>
      </c>
      <c r="CN10" s="67" t="s">
        <v>63</v>
      </c>
      <c r="CO10" s="68" t="s">
        <v>57</v>
      </c>
      <c r="CP10" s="68" t="s">
        <v>58</v>
      </c>
      <c r="CQ10" s="68" t="s">
        <v>59</v>
      </c>
      <c r="CR10" s="68" t="s">
        <v>60</v>
      </c>
      <c r="CS10" s="68" t="s">
        <v>61</v>
      </c>
      <c r="CT10" s="70" t="s">
        <v>50</v>
      </c>
      <c r="CU10" s="71" t="s">
        <v>51</v>
      </c>
      <c r="CV10" s="72" t="s">
        <v>52</v>
      </c>
      <c r="CW10" s="73" t="s">
        <v>53</v>
      </c>
      <c r="CX10" s="74" t="s">
        <v>54</v>
      </c>
      <c r="CY10" s="67" t="s">
        <v>50</v>
      </c>
      <c r="CZ10" s="71" t="s">
        <v>51</v>
      </c>
      <c r="DA10" s="72" t="s">
        <v>52</v>
      </c>
      <c r="DB10" s="73" t="s">
        <v>53</v>
      </c>
      <c r="DC10" s="75" t="s">
        <v>54</v>
      </c>
      <c r="DD10" s="66" t="s">
        <v>62</v>
      </c>
      <c r="DE10" s="67" t="s">
        <v>63</v>
      </c>
      <c r="DF10" s="68" t="s">
        <v>57</v>
      </c>
      <c r="DG10" s="68" t="s">
        <v>58</v>
      </c>
      <c r="DH10" s="68" t="s">
        <v>59</v>
      </c>
      <c r="DI10" s="68" t="s">
        <v>60</v>
      </c>
      <c r="DJ10" s="68" t="s">
        <v>61</v>
      </c>
      <c r="DK10" s="70" t="s">
        <v>50</v>
      </c>
      <c r="DL10" s="71" t="s">
        <v>51</v>
      </c>
      <c r="DM10" s="72" t="s">
        <v>52</v>
      </c>
      <c r="DN10" s="73" t="s">
        <v>53</v>
      </c>
      <c r="DO10" s="74" t="s">
        <v>54</v>
      </c>
      <c r="DP10" s="67" t="s">
        <v>50</v>
      </c>
      <c r="DQ10" s="71" t="s">
        <v>51</v>
      </c>
      <c r="DR10" s="72" t="s">
        <v>52</v>
      </c>
      <c r="DS10" s="73" t="s">
        <v>53</v>
      </c>
      <c r="DT10" s="75" t="s">
        <v>54</v>
      </c>
      <c r="DU10" s="66" t="s">
        <v>62</v>
      </c>
      <c r="DV10" s="67" t="s">
        <v>63</v>
      </c>
      <c r="DW10" s="68" t="s">
        <v>57</v>
      </c>
      <c r="DX10" s="68" t="s">
        <v>58</v>
      </c>
      <c r="DY10" s="68" t="s">
        <v>59</v>
      </c>
      <c r="DZ10" s="68" t="s">
        <v>60</v>
      </c>
      <c r="EA10" s="68" t="s">
        <v>61</v>
      </c>
      <c r="EB10" s="70" t="s">
        <v>50</v>
      </c>
      <c r="EC10" s="71" t="s">
        <v>51</v>
      </c>
      <c r="ED10" s="72" t="s">
        <v>52</v>
      </c>
      <c r="EE10" s="73" t="s">
        <v>53</v>
      </c>
      <c r="EF10" s="74" t="s">
        <v>54</v>
      </c>
      <c r="EG10" s="67" t="s">
        <v>50</v>
      </c>
      <c r="EH10" s="71" t="s">
        <v>51</v>
      </c>
      <c r="EI10" s="72" t="s">
        <v>52</v>
      </c>
      <c r="EJ10" s="73" t="s">
        <v>53</v>
      </c>
      <c r="EK10" s="75" t="s">
        <v>54</v>
      </c>
      <c r="EL10" s="66" t="s">
        <v>62</v>
      </c>
      <c r="EM10" s="67" t="s">
        <v>63</v>
      </c>
      <c r="EN10" s="68" t="s">
        <v>57</v>
      </c>
      <c r="EO10" s="68" t="s">
        <v>58</v>
      </c>
      <c r="EP10" s="68" t="s">
        <v>59</v>
      </c>
      <c r="EQ10" s="68" t="s">
        <v>60</v>
      </c>
      <c r="ER10" s="68" t="s">
        <v>61</v>
      </c>
      <c r="ES10" s="70" t="s">
        <v>50</v>
      </c>
      <c r="ET10" s="71" t="s">
        <v>51</v>
      </c>
      <c r="EU10" s="72" t="s">
        <v>52</v>
      </c>
      <c r="EV10" s="73" t="s">
        <v>53</v>
      </c>
      <c r="EW10" s="74" t="s">
        <v>54</v>
      </c>
      <c r="EX10" s="67" t="s">
        <v>50</v>
      </c>
      <c r="EY10" s="71" t="s">
        <v>51</v>
      </c>
      <c r="EZ10" s="72" t="s">
        <v>52</v>
      </c>
      <c r="FA10" s="73" t="s">
        <v>53</v>
      </c>
      <c r="FB10" s="75" t="s">
        <v>54</v>
      </c>
      <c r="FC10" s="66" t="s">
        <v>62</v>
      </c>
      <c r="FD10" s="67" t="s">
        <v>63</v>
      </c>
      <c r="FE10" s="68" t="s">
        <v>57</v>
      </c>
      <c r="FF10" s="68" t="s">
        <v>58</v>
      </c>
      <c r="FG10" s="68" t="s">
        <v>59</v>
      </c>
      <c r="FH10" s="68" t="s">
        <v>60</v>
      </c>
      <c r="FI10" s="68" t="s">
        <v>61</v>
      </c>
      <c r="FJ10" s="70" t="s">
        <v>50</v>
      </c>
      <c r="FK10" s="71" t="s">
        <v>51</v>
      </c>
      <c r="FL10" s="72" t="s">
        <v>52</v>
      </c>
      <c r="FM10" s="73" t="s">
        <v>53</v>
      </c>
      <c r="FN10" s="74" t="s">
        <v>54</v>
      </c>
      <c r="FO10" s="67" t="s">
        <v>50</v>
      </c>
      <c r="FP10" s="71" t="s">
        <v>51</v>
      </c>
      <c r="FQ10" s="72" t="s">
        <v>52</v>
      </c>
      <c r="FR10" s="73" t="s">
        <v>53</v>
      </c>
      <c r="FS10" s="75" t="s">
        <v>54</v>
      </c>
      <c r="FT10" s="66" t="s">
        <v>62</v>
      </c>
      <c r="FU10" s="67" t="s">
        <v>63</v>
      </c>
      <c r="FV10" s="68" t="s">
        <v>57</v>
      </c>
      <c r="FW10" s="68" t="s">
        <v>58</v>
      </c>
      <c r="FX10" s="68" t="s">
        <v>59</v>
      </c>
      <c r="FY10" s="68" t="s">
        <v>60</v>
      </c>
      <c r="FZ10" s="68" t="s">
        <v>61</v>
      </c>
      <c r="GA10" s="70" t="s">
        <v>50</v>
      </c>
      <c r="GB10" s="71" t="s">
        <v>51</v>
      </c>
      <c r="GC10" s="72" t="s">
        <v>52</v>
      </c>
      <c r="GD10" s="73" t="s">
        <v>53</v>
      </c>
      <c r="GE10" s="74" t="s">
        <v>54</v>
      </c>
      <c r="GF10" s="67" t="s">
        <v>50</v>
      </c>
      <c r="GG10" s="71" t="s">
        <v>51</v>
      </c>
      <c r="GH10" s="72" t="s">
        <v>52</v>
      </c>
      <c r="GI10" s="73" t="s">
        <v>53</v>
      </c>
      <c r="GJ10" s="75" t="s">
        <v>54</v>
      </c>
      <c r="GK10" s="66" t="s">
        <v>62</v>
      </c>
      <c r="GL10" s="67" t="s">
        <v>63</v>
      </c>
      <c r="GM10" s="68" t="s">
        <v>57</v>
      </c>
      <c r="GN10" s="68" t="s">
        <v>58</v>
      </c>
      <c r="GO10" s="68" t="s">
        <v>59</v>
      </c>
      <c r="GP10" s="68" t="s">
        <v>60</v>
      </c>
      <c r="GQ10" s="68" t="s">
        <v>61</v>
      </c>
      <c r="GR10" s="70" t="s">
        <v>50</v>
      </c>
      <c r="GS10" s="71" t="s">
        <v>51</v>
      </c>
      <c r="GT10" s="72" t="s">
        <v>52</v>
      </c>
      <c r="GU10" s="73" t="s">
        <v>53</v>
      </c>
      <c r="GV10" s="74" t="s">
        <v>54</v>
      </c>
      <c r="GW10" s="67" t="s">
        <v>50</v>
      </c>
      <c r="GX10" s="71" t="s">
        <v>51</v>
      </c>
      <c r="GY10" s="72" t="s">
        <v>52</v>
      </c>
      <c r="GZ10" s="73" t="s">
        <v>53</v>
      </c>
      <c r="HA10" s="75" t="s">
        <v>54</v>
      </c>
      <c r="HB10" s="66" t="s">
        <v>62</v>
      </c>
      <c r="HC10" s="67" t="s">
        <v>63</v>
      </c>
      <c r="HD10" s="68" t="s">
        <v>57</v>
      </c>
      <c r="HE10" s="68" t="s">
        <v>58</v>
      </c>
      <c r="HF10" s="68" t="s">
        <v>59</v>
      </c>
      <c r="HG10" s="68" t="s">
        <v>60</v>
      </c>
      <c r="HH10" s="68" t="s">
        <v>61</v>
      </c>
      <c r="HI10" s="70" t="s">
        <v>50</v>
      </c>
      <c r="HJ10" s="71" t="s">
        <v>51</v>
      </c>
      <c r="HK10" s="72" t="s">
        <v>52</v>
      </c>
      <c r="HL10" s="73" t="s">
        <v>53</v>
      </c>
      <c r="HM10" s="74" t="s">
        <v>54</v>
      </c>
      <c r="HN10" s="67" t="s">
        <v>50</v>
      </c>
      <c r="HO10" s="71" t="s">
        <v>51</v>
      </c>
      <c r="HP10" s="72" t="s">
        <v>52</v>
      </c>
      <c r="HQ10" s="73" t="s">
        <v>53</v>
      </c>
      <c r="HR10" s="75" t="s">
        <v>54</v>
      </c>
      <c r="HS10" s="66" t="s">
        <v>62</v>
      </c>
      <c r="HT10" s="67" t="s">
        <v>63</v>
      </c>
      <c r="HU10" s="68" t="s">
        <v>57</v>
      </c>
      <c r="HV10" s="68" t="s">
        <v>58</v>
      </c>
      <c r="HW10" s="68" t="s">
        <v>59</v>
      </c>
      <c r="HX10" s="68" t="s">
        <v>60</v>
      </c>
      <c r="HY10" s="68" t="s">
        <v>61</v>
      </c>
      <c r="HZ10" s="70" t="s">
        <v>50</v>
      </c>
      <c r="IA10" s="71" t="s">
        <v>51</v>
      </c>
      <c r="IB10" s="72" t="s">
        <v>52</v>
      </c>
      <c r="IC10" s="73" t="s">
        <v>53</v>
      </c>
      <c r="ID10" s="74" t="s">
        <v>54</v>
      </c>
      <c r="IE10" s="67" t="s">
        <v>50</v>
      </c>
      <c r="IF10" s="71" t="s">
        <v>51</v>
      </c>
      <c r="IG10" s="72" t="s">
        <v>52</v>
      </c>
      <c r="IH10" s="73" t="s">
        <v>53</v>
      </c>
      <c r="II10" s="75" t="s">
        <v>54</v>
      </c>
      <c r="IJ10" s="66" t="s">
        <v>62</v>
      </c>
      <c r="IK10" s="67" t="s">
        <v>63</v>
      </c>
      <c r="IL10" s="68" t="s">
        <v>57</v>
      </c>
      <c r="IM10" s="68" t="s">
        <v>58</v>
      </c>
      <c r="IN10" s="68" t="s">
        <v>59</v>
      </c>
      <c r="IO10" s="68" t="s">
        <v>60</v>
      </c>
      <c r="IP10" s="68" t="s">
        <v>61</v>
      </c>
      <c r="IQ10" s="70" t="s">
        <v>50</v>
      </c>
      <c r="IR10" s="71" t="s">
        <v>51</v>
      </c>
      <c r="IS10" s="72" t="s">
        <v>52</v>
      </c>
      <c r="IT10" s="73" t="s">
        <v>53</v>
      </c>
      <c r="IU10" s="74" t="s">
        <v>54</v>
      </c>
      <c r="IV10" s="67" t="s">
        <v>50</v>
      </c>
      <c r="IW10" s="71" t="s">
        <v>51</v>
      </c>
      <c r="IX10" s="72" t="s">
        <v>52</v>
      </c>
      <c r="IY10" s="73" t="s">
        <v>53</v>
      </c>
      <c r="IZ10" s="75" t="s">
        <v>54</v>
      </c>
      <c r="JA10" s="66" t="s">
        <v>62</v>
      </c>
      <c r="JB10" s="67" t="s">
        <v>63</v>
      </c>
      <c r="JC10" s="68" t="s">
        <v>57</v>
      </c>
      <c r="JD10" s="68" t="s">
        <v>58</v>
      </c>
      <c r="JE10" s="68" t="s">
        <v>59</v>
      </c>
      <c r="JF10" s="68" t="s">
        <v>60</v>
      </c>
      <c r="JG10" s="68" t="s">
        <v>61</v>
      </c>
      <c r="JH10" s="70" t="s">
        <v>50</v>
      </c>
      <c r="JI10" s="71" t="s">
        <v>51</v>
      </c>
      <c r="JJ10" s="72" t="s">
        <v>52</v>
      </c>
      <c r="JK10" s="73" t="s">
        <v>53</v>
      </c>
      <c r="JL10" s="74" t="s">
        <v>54</v>
      </c>
      <c r="JM10" s="67" t="s">
        <v>50</v>
      </c>
      <c r="JN10" s="71" t="s">
        <v>51</v>
      </c>
      <c r="JO10" s="72" t="s">
        <v>52</v>
      </c>
      <c r="JP10" s="73" t="s">
        <v>53</v>
      </c>
      <c r="JQ10" s="75" t="s">
        <v>54</v>
      </c>
      <c r="JR10" s="99"/>
      <c r="JS10" s="99"/>
      <c r="JT10" s="99"/>
      <c r="JU10" s="99"/>
      <c r="JV10" s="99"/>
      <c r="JW10" s="99"/>
      <c r="JX10" s="99"/>
      <c r="JY10" s="99"/>
      <c r="JZ10" s="99"/>
      <c r="KA10" s="99"/>
      <c r="KB10" s="99"/>
      <c r="KC10" s="99"/>
      <c r="KD10" s="99"/>
      <c r="KE10" s="99"/>
      <c r="KF10" s="99"/>
      <c r="KG10" s="99"/>
      <c r="KH10" s="99"/>
      <c r="KI10" s="99"/>
      <c r="KJ10" s="99"/>
      <c r="KK10" s="99"/>
      <c r="KL10" s="99"/>
      <c r="KM10" s="99"/>
      <c r="KN10" s="99"/>
      <c r="KO10" s="99"/>
      <c r="KP10" s="99"/>
      <c r="KQ10" s="99"/>
      <c r="KR10" s="99"/>
      <c r="KS10" s="99"/>
      <c r="KT10" s="99"/>
      <c r="KU10" s="99"/>
      <c r="KV10" s="99"/>
      <c r="KW10" s="99"/>
      <c r="KX10" s="99"/>
      <c r="KY10" s="99"/>
      <c r="KZ10" s="99"/>
      <c r="LA10" s="99"/>
      <c r="LB10" s="99"/>
      <c r="LC10" s="99"/>
      <c r="LD10" s="99"/>
      <c r="LE10" s="99"/>
      <c r="LF10" s="99"/>
      <c r="LG10" s="99"/>
      <c r="LH10" s="99"/>
      <c r="LI10" s="99"/>
      <c r="LJ10" s="99"/>
      <c r="LK10" s="99"/>
      <c r="LL10" s="99"/>
      <c r="LM10" s="99"/>
      <c r="LN10" s="99"/>
      <c r="LO10" s="99"/>
      <c r="LP10" s="99"/>
      <c r="LQ10" s="99"/>
      <c r="LR10" s="99"/>
      <c r="LS10" s="99"/>
      <c r="LT10" s="99"/>
      <c r="LU10" s="99"/>
      <c r="LV10" s="99"/>
      <c r="LW10" s="99"/>
      <c r="LX10" s="99"/>
      <c r="LY10" s="99"/>
      <c r="LZ10" s="99"/>
      <c r="MA10" s="99"/>
      <c r="MB10" s="99"/>
      <c r="MC10" s="99"/>
      <c r="MD10" s="99"/>
      <c r="ME10" s="99"/>
      <c r="MF10" s="99"/>
    </row>
    <row r="11" spans="1:344" ht="17.25" customHeight="1" x14ac:dyDescent="0.25">
      <c r="A11" s="155" t="s">
        <v>0</v>
      </c>
      <c r="B11" s="79" t="s">
        <v>1</v>
      </c>
      <c r="C11" s="80">
        <v>45145</v>
      </c>
      <c r="D11" s="49"/>
      <c r="F11" s="103">
        <v>45</v>
      </c>
      <c r="G11" s="36">
        <f t="shared" ref="G11:G74" si="0">AVERAGE(W11,AN11,BE11,BV11,CM11,DD11,DU11,EL11,FC11,FT11,GK11,KI1)</f>
        <v>3</v>
      </c>
      <c r="H11" s="27">
        <f t="shared" ref="H11:H74" si="1">F11*G11</f>
        <v>135</v>
      </c>
      <c r="I11" s="47"/>
      <c r="K11" s="105"/>
      <c r="L11" s="89">
        <f t="shared" ref="L11:L74" si="2">AVERAGE(X11,AO11,BF11,BW11,CN11,DE11,DV11,EM11,FD11,FU11,GL11)</f>
        <v>0</v>
      </c>
      <c r="M11" s="27">
        <f>K11*L11</f>
        <v>0</v>
      </c>
      <c r="N11" s="35">
        <f>H11+M11</f>
        <v>135</v>
      </c>
      <c r="O11" s="97"/>
      <c r="P11" s="149">
        <f>SUM(N11:N17)</f>
        <v>2325</v>
      </c>
      <c r="X11" s="1">
        <v>0</v>
      </c>
      <c r="Y11" s="27">
        <f t="shared" ref="Y11:Y74" si="3">(W11*F11)+X11*K11</f>
        <v>0</v>
      </c>
      <c r="Z11" s="27">
        <f>(AD11*1+AE11*2+AF11*3+AG11*4+AH11*5)+(AI11*1+AJ11*2+AK11*3+AL11*4+AM11*5)</f>
        <v>0</v>
      </c>
      <c r="AA11" s="52"/>
      <c r="AB11" s="43">
        <f>Y11*(2/(7+1))+((1-(2/(7+1)))*Y11)</f>
        <v>0</v>
      </c>
      <c r="AC11" s="43">
        <f>Y11*(2/(28+1))+((1-(2/(28+1)))*Y11)</f>
        <v>0</v>
      </c>
      <c r="AD11" s="33"/>
      <c r="AH11" s="31"/>
      <c r="AP11" s="27">
        <f t="shared" ref="AP11:AP74" si="4">(AN11*$F11)+AO11*$K11</f>
        <v>0</v>
      </c>
      <c r="AQ11" s="27">
        <f>(AU11*1+AV11*2+AW11*3+AX11*4+AY11*5)+(AZ11*1+BA11*2+BB11*3+BC11*4+BD11*5)</f>
        <v>0</v>
      </c>
      <c r="AR11" s="52"/>
      <c r="AS11" s="28">
        <f>AP11*(2/(7+1))+((1-(2/(7+1)))*AP11)</f>
        <v>0</v>
      </c>
      <c r="AT11" s="28">
        <f>AP11*(2/(28+1))+((1-(2/(28+1)))*AP11)</f>
        <v>0</v>
      </c>
      <c r="AU11" s="33"/>
      <c r="AY11" s="31"/>
      <c r="BE11" s="11">
        <v>3</v>
      </c>
      <c r="BG11" s="27">
        <f t="shared" ref="BG11:BG74" si="5">(BE11*$F11)+BF11*$K11</f>
        <v>135</v>
      </c>
      <c r="BH11" s="27">
        <f>(BL11*1+BM11*2+BN11*3+BO11*4+BP11*5)+(BQ11*1+BR11*2+BS11*3+BT11*4+BU11*5)</f>
        <v>0</v>
      </c>
      <c r="BI11" s="15">
        <f>BJ11/BK11</f>
        <v>1</v>
      </c>
      <c r="BJ11" s="28">
        <f>BG11*(2/(7+1))+((1-(2/(7+1)))*BG11)</f>
        <v>135</v>
      </c>
      <c r="BK11" s="28">
        <f>BG11*(2/(28+1))+((1-(2/(28+1)))*BG11)</f>
        <v>135</v>
      </c>
      <c r="BL11" s="33"/>
      <c r="BP11" s="31"/>
      <c r="BV11" s="11">
        <v>3</v>
      </c>
      <c r="BX11" s="27">
        <f t="shared" ref="BX11:BX74" si="6">(BV11*$F11)+BW11*$K11</f>
        <v>135</v>
      </c>
      <c r="BY11" s="27">
        <f>(CC11*1+CD11*2+CE11*3+CF11*4+CG11*5)+(CH11*1+CI11*2+CJ11*3+CK11*4+CL11*5)</f>
        <v>0</v>
      </c>
      <c r="BZ11" s="15">
        <f>CA11/CB11</f>
        <v>1</v>
      </c>
      <c r="CA11" s="28">
        <f>BX11*(2/(7+1))+((1-(2/(7+1)))*BX11)</f>
        <v>135</v>
      </c>
      <c r="CB11" s="28">
        <f>BX11*(2/(28+1))+((1-(2/(28+1)))*BX11)</f>
        <v>135</v>
      </c>
      <c r="CC11" s="33"/>
      <c r="CG11" s="31"/>
      <c r="CM11" s="11">
        <v>3</v>
      </c>
      <c r="CO11" s="27">
        <f t="shared" ref="CO11:CO74" si="7">(CM11*$F11)+CN11*$K11</f>
        <v>135</v>
      </c>
      <c r="CP11" s="27">
        <f>(CT11*1+CU11*2+CV11*3+CW11*4+CX11*5)+(CY11*1+CZ11*2+DA11*3+DB11*4+DC11*5)</f>
        <v>0</v>
      </c>
      <c r="CQ11" s="15">
        <f>CR11/CS11</f>
        <v>1</v>
      </c>
      <c r="CR11" s="28">
        <f>CO11*(2/(7+1))+((1-(2/(7+1)))*CO11)</f>
        <v>135</v>
      </c>
      <c r="CS11" s="28">
        <f>CO11*(2/(28+1))+((1-(2/(28+1)))*CO11)</f>
        <v>135</v>
      </c>
      <c r="CT11" s="33"/>
      <c r="CX11" s="31"/>
      <c r="DD11" s="11">
        <v>3</v>
      </c>
      <c r="DF11" s="27">
        <f t="shared" ref="DF11:DF74" si="8">(DD11*$F11)+DE11*$K11</f>
        <v>135</v>
      </c>
      <c r="DG11" s="27">
        <f>(DK11*1+DL11*2+DM11*3+DN11*4+DO11*5)+(DP11*1+DQ11*2+DR11*3+DS11*4+DT11*5)</f>
        <v>0</v>
      </c>
      <c r="DH11" s="15">
        <f>DI11/DJ11</f>
        <v>1</v>
      </c>
      <c r="DI11" s="28">
        <f>DF11*(2/(7+1))+((1-(2/(7+1)))*DF11)</f>
        <v>135</v>
      </c>
      <c r="DJ11" s="28">
        <f>DF11*(2/(28+1))+((1-(2/(28+1)))*DF11)</f>
        <v>135</v>
      </c>
      <c r="DK11" s="33"/>
      <c r="DO11" s="31"/>
      <c r="DU11" s="11">
        <v>3</v>
      </c>
      <c r="DW11" s="27">
        <f t="shared" ref="DW11:DW74" si="9">(DU11*$F11)+DV11*$K11</f>
        <v>135</v>
      </c>
      <c r="DX11" s="27">
        <f>(EB11*1+EC11*2+ED11*3+EE11*4+EF11*5)+(EG11*1+EH11*2+EI11*3+EJ11*4+EK11*5)</f>
        <v>0</v>
      </c>
      <c r="DY11" s="15">
        <f>DZ11/EA11</f>
        <v>1</v>
      </c>
      <c r="DZ11" s="28">
        <f>DW11*(2/(7+1))+((1-(2/(7+1)))*DW11)</f>
        <v>135</v>
      </c>
      <c r="EA11" s="28">
        <f>DW11*(2/(28+1))+((1-(2/(28+1)))*DW11)</f>
        <v>135</v>
      </c>
      <c r="EB11" s="33"/>
      <c r="EF11" s="31"/>
      <c r="EN11" s="27">
        <f t="shared" ref="EN11:EN74" si="10">(EL11*$F11)+EM11*$K11</f>
        <v>0</v>
      </c>
      <c r="EO11" s="27">
        <f>(ES11*1+ET11*2+EU11*3+EV11*4+EW11*5)+(EX11*1+EY11*2+EZ11*3+FA11*4+FB11*5)</f>
        <v>0</v>
      </c>
      <c r="EP11" s="52"/>
      <c r="EQ11" s="28">
        <f>EN11*(2/(7+1))+((1-(2/(7+1)))*EN11)</f>
        <v>0</v>
      </c>
      <c r="ER11" s="28">
        <f>EN11*(2/(28+1))+((1-(2/(28+1)))*EN11)</f>
        <v>0</v>
      </c>
      <c r="ES11" s="33"/>
      <c r="EW11" s="31"/>
      <c r="FC11" s="11">
        <v>3</v>
      </c>
      <c r="FE11" s="27">
        <f t="shared" ref="FE11:FE74" si="11">(FC11*$F11)+FD11*$K11</f>
        <v>135</v>
      </c>
      <c r="FF11" s="27">
        <f>(FJ11*1+FK11*2+FL11*3+FM11*4+FN11*5)+(FO11*1+FP11*2+FQ11*3+FR11*4+FS11*5)</f>
        <v>0</v>
      </c>
      <c r="FG11" s="15">
        <f>FH11/FI11</f>
        <v>1</v>
      </c>
      <c r="FH11" s="28">
        <f>FE11*(2/(7+1))+((1-(2/(7+1)))*FE11)</f>
        <v>135</v>
      </c>
      <c r="FI11" s="28">
        <f>FE11*(2/(28+1))+((1-(2/(28+1)))*FE11)</f>
        <v>135</v>
      </c>
      <c r="FJ11" s="33"/>
      <c r="FN11" s="31"/>
      <c r="FV11" s="27">
        <f t="shared" ref="FV11:FV74" si="12">(FT11*$F11)+FU11*$K11</f>
        <v>0</v>
      </c>
      <c r="FW11" s="27">
        <f>(GA11*1+GB11*2+GC11*3+GD11*4+GE11*5)+(GF11*1+GG11*2+GH11*3+GI11*4+GJ11*5)</f>
        <v>0</v>
      </c>
      <c r="FX11" s="52"/>
      <c r="FY11" s="28">
        <f>FV11*(2/(7+1))+((1-(2/(7+1)))*FV11)</f>
        <v>0</v>
      </c>
      <c r="FZ11" s="28">
        <f>FV11*(2/(28+1))+((1-(2/(28+1)))*FV11)</f>
        <v>0</v>
      </c>
      <c r="GA11" s="33"/>
      <c r="GE11" s="31"/>
      <c r="GM11" s="27">
        <f t="shared" ref="GM11:GM74" si="13">(GK11*$F11)+GL11*$K11</f>
        <v>0</v>
      </c>
      <c r="GN11" s="27">
        <f>(GR11*1+GS11*2+GT11*3+GU11*4+GV11*5)+(GW11*1+GX11*2+GY11*3+GZ11*4+HA11*5)</f>
        <v>0</v>
      </c>
      <c r="GO11" s="52"/>
      <c r="GP11" s="28">
        <f>GM11*(2/(7+1))+((1-(2/(7+1)))*GM11)</f>
        <v>0</v>
      </c>
      <c r="GQ11" s="28">
        <f>GM11*(2/(28+1))+((1-(2/(28+1)))*GM11)</f>
        <v>0</v>
      </c>
      <c r="GR11" s="33"/>
      <c r="GV11" s="31"/>
      <c r="HB11" s="11">
        <v>3</v>
      </c>
      <c r="HD11" s="27">
        <f t="shared" ref="HD11:HD74" si="14">(HB11*$F11)+HC11*$K11</f>
        <v>135</v>
      </c>
      <c r="HE11" s="27">
        <f>(HI11*1+HJ11*2+HK11*3+HL11*4+HM11*5)+(HN11*1+HO11*2+HP11*3+HQ11*4+HR11*5)</f>
        <v>0</v>
      </c>
      <c r="HF11" s="15">
        <f>HG11/HH11</f>
        <v>1</v>
      </c>
      <c r="HG11" s="28">
        <f>HD11*(2/(7+1))+((1-(2/(7+1)))*HD11)</f>
        <v>135</v>
      </c>
      <c r="HH11" s="28">
        <f>HD11*(2/(28+1))+((1-(2/(28+1)))*HD11)</f>
        <v>135</v>
      </c>
      <c r="HI11" s="33"/>
      <c r="HM11" s="31"/>
      <c r="HS11" s="11">
        <v>3</v>
      </c>
      <c r="HU11" s="27">
        <f t="shared" ref="HU11:HU74" si="15">(HS11*$F11)+HT11*$K11</f>
        <v>135</v>
      </c>
      <c r="HV11" s="27">
        <f>(HZ11*1+IA11*2+IB11*3+IC11*4+ID11*5)+(IE11*1+IF11*2+IG11*3+IH11*4+II11*5)</f>
        <v>0</v>
      </c>
      <c r="HW11" s="15">
        <f>HX11/HY11</f>
        <v>1</v>
      </c>
      <c r="HX11" s="28">
        <f>HU11*(2/(7+1))+((1-(2/(7+1)))*HU11)</f>
        <v>135</v>
      </c>
      <c r="HY11" s="28">
        <f>HU11*(2/(28+1))+((1-(2/(28+1)))*HU11)</f>
        <v>135</v>
      </c>
      <c r="HZ11" s="33"/>
      <c r="ID11" s="31"/>
      <c r="II11" s="12"/>
      <c r="IJ11" s="11">
        <v>3</v>
      </c>
      <c r="IL11" s="27">
        <f t="shared" ref="IL11:IL74" si="16">(IJ11*$F11)+IK11*$K11</f>
        <v>135</v>
      </c>
      <c r="IM11" s="27">
        <f t="shared" ref="IM11:IM74" si="17">(BX11*1+BY11*2+BZ11*3+CA11*4+CB11*5)+(CC11*1+CD11*2+CE11*3+CF11*4+CG11*5)</f>
        <v>1353</v>
      </c>
      <c r="IN11" s="15">
        <f>IO11/IP11</f>
        <v>1</v>
      </c>
      <c r="IO11" s="28">
        <f>IL11*(2/(7+1))+((1-(2/(7+1)))*IL11)</f>
        <v>135</v>
      </c>
      <c r="IP11" s="28">
        <f>IL11*(2/(28+1))+((1-(2/(28+1)))*IL11)</f>
        <v>135</v>
      </c>
      <c r="IQ11" s="33"/>
      <c r="IU11" s="31"/>
      <c r="JC11" s="27">
        <f t="shared" ref="JC11:JC74" si="18">(JA11*$F11)+JB11*$K11</f>
        <v>0</v>
      </c>
      <c r="JD11" s="27">
        <f t="shared" ref="JD11:JD74" si="19">(CO11*1+CP11*2+CQ11*3+CR11*4+CS11*5)+(CT11*1+CU11*2+CV11*3+CW11*4+CX11*5)</f>
        <v>1353</v>
      </c>
      <c r="JE11" s="15" t="e">
        <f>JF11/JG11</f>
        <v>#DIV/0!</v>
      </c>
      <c r="JF11" s="28">
        <f>JC11*(2/(7+1))+((1-(2/(7+1)))*JC11)</f>
        <v>0</v>
      </c>
      <c r="JG11" s="28">
        <f>JC11*(2/(28+1))+((1-(2/(28+1)))*JC11)</f>
        <v>0</v>
      </c>
      <c r="JH11" s="33"/>
      <c r="JL11" s="31"/>
      <c r="JR11" s="99"/>
      <c r="JS11" s="99"/>
      <c r="JT11" s="99"/>
      <c r="JU11" s="99"/>
      <c r="JV11" s="99"/>
      <c r="JW11" s="99"/>
      <c r="JX11" s="99"/>
      <c r="JY11" s="99"/>
      <c r="JZ11" s="99"/>
      <c r="KA11" s="99"/>
      <c r="KB11" s="99"/>
      <c r="KC11" s="99"/>
      <c r="KD11" s="99"/>
      <c r="KE11" s="99"/>
      <c r="KF11" s="99"/>
      <c r="KG11" s="99"/>
      <c r="KH11" s="99"/>
      <c r="KI11" s="99"/>
      <c r="KJ11" s="99"/>
      <c r="KK11" s="99"/>
      <c r="KL11" s="99"/>
      <c r="KM11" s="99"/>
      <c r="KN11" s="99"/>
      <c r="KO11" s="99"/>
      <c r="KP11" s="99"/>
      <c r="KQ11" s="99"/>
      <c r="KR11" s="99"/>
      <c r="KS11" s="99"/>
      <c r="KT11" s="99"/>
      <c r="KU11" s="99"/>
      <c r="KV11" s="99"/>
      <c r="KW11" s="99"/>
      <c r="KX11" s="99"/>
      <c r="KY11" s="99"/>
      <c r="KZ11" s="99"/>
      <c r="LA11" s="99"/>
      <c r="LB11" s="99"/>
      <c r="LC11" s="99"/>
      <c r="LD11" s="99"/>
      <c r="LE11" s="99"/>
      <c r="LF11" s="99"/>
      <c r="LG11" s="99"/>
      <c r="LH11" s="99"/>
      <c r="LI11" s="99"/>
      <c r="LJ11" s="99"/>
      <c r="LK11" s="99"/>
      <c r="LL11" s="99"/>
      <c r="LM11" s="99"/>
      <c r="LN11" s="99"/>
      <c r="LO11" s="99"/>
      <c r="LP11" s="99"/>
      <c r="LQ11" s="99"/>
      <c r="LR11" s="99"/>
      <c r="LS11" s="99"/>
      <c r="LT11" s="99"/>
      <c r="LU11" s="99"/>
      <c r="LV11" s="99"/>
      <c r="LW11" s="99"/>
      <c r="LX11" s="99"/>
      <c r="LY11" s="99"/>
      <c r="LZ11" s="99"/>
      <c r="MA11" s="99"/>
      <c r="MB11" s="99"/>
      <c r="MC11" s="99"/>
      <c r="MD11" s="99"/>
      <c r="ME11" s="99"/>
      <c r="MF11" s="99"/>
    </row>
    <row r="12" spans="1:344" ht="17.25" customHeight="1" x14ac:dyDescent="0.25">
      <c r="A12" s="156"/>
      <c r="B12" s="81" t="s">
        <v>2</v>
      </c>
      <c r="C12" s="82">
        <v>45146</v>
      </c>
      <c r="D12" s="49"/>
      <c r="F12" s="103">
        <v>45</v>
      </c>
      <c r="G12" s="89">
        <f t="shared" si="0"/>
        <v>3.3000000000000003</v>
      </c>
      <c r="H12" s="35">
        <f t="shared" si="1"/>
        <v>148.5</v>
      </c>
      <c r="I12" s="39"/>
      <c r="L12" s="89">
        <f t="shared" si="2"/>
        <v>0</v>
      </c>
      <c r="M12" s="35">
        <f t="shared" ref="M12:M75" si="20">K12*L12</f>
        <v>0</v>
      </c>
      <c r="N12" s="35">
        <f t="shared" ref="N12:N75" si="21">H12+M12</f>
        <v>148.5</v>
      </c>
      <c r="O12" s="97"/>
      <c r="P12" s="150"/>
      <c r="X12" s="1">
        <v>0</v>
      </c>
      <c r="Y12" s="35">
        <f t="shared" si="3"/>
        <v>0</v>
      </c>
      <c r="Z12" s="35">
        <f t="shared" ref="Z12:Z75" si="22">(AD12*1+AE12*2+AF12*3+AG12*4+AH12*5)+(AI12*1+AJ12*2+AK12*3+AL12*4+AM12*5)</f>
        <v>0</v>
      </c>
      <c r="AA12" s="52"/>
      <c r="AB12" s="43">
        <f>Y12*(2/(7+1))+((1-(2/(7+1)))*AB11)</f>
        <v>0</v>
      </c>
      <c r="AC12" s="43">
        <f>Y12*(2/(28+1))+((1-(2/(28+1)))*AC11)</f>
        <v>0</v>
      </c>
      <c r="AD12" s="33"/>
      <c r="AH12" s="31"/>
      <c r="AP12" s="35">
        <f t="shared" si="4"/>
        <v>0</v>
      </c>
      <c r="AQ12" s="35">
        <f t="shared" ref="AQ12:AQ75" si="23">(AU12*1+AV12*2+AW12*3+AX12*4+AY12*5)+(AZ12*1+BA12*2+BB12*3+BC12*4+BD12*5)</f>
        <v>0</v>
      </c>
      <c r="AR12" s="52"/>
      <c r="AS12" s="28">
        <f>AP12*(2/(7+1))+((1-(2/(7+1)))*AS11)</f>
        <v>0</v>
      </c>
      <c r="AT12" s="28">
        <f>AP12*(2/(28+1))+((1-(2/(28+1)))*AT11)</f>
        <v>0</v>
      </c>
      <c r="AU12" s="33"/>
      <c r="AY12" s="31"/>
      <c r="BE12" s="11">
        <v>3.3</v>
      </c>
      <c r="BG12" s="35">
        <f t="shared" si="5"/>
        <v>148.5</v>
      </c>
      <c r="BH12" s="35">
        <f t="shared" ref="BH12:BH75" si="24">(BL12*1+BM12*2+BN12*3+BO12*4+BP12*5)+(BQ12*1+BR12*2+BS12*3+BT12*4+BU12*5)</f>
        <v>0</v>
      </c>
      <c r="BI12" s="15">
        <f>BJ12/BK12</f>
        <v>1.0179794520547945</v>
      </c>
      <c r="BJ12" s="28">
        <f>BG12*(2/(7+1))+((1-(2/(7+1)))*BJ11)</f>
        <v>138.375</v>
      </c>
      <c r="BK12" s="28">
        <f>BG12*(2/(28+1))+((1-(2/(28+1)))*BK11)</f>
        <v>135.93103448275863</v>
      </c>
      <c r="BL12" s="33"/>
      <c r="BP12" s="31"/>
      <c r="BV12" s="11">
        <v>3.3</v>
      </c>
      <c r="BX12" s="35">
        <f t="shared" si="6"/>
        <v>148.5</v>
      </c>
      <c r="BY12" s="35">
        <f t="shared" ref="BY12:BY75" si="25">(CC12*1+CD12*2+CE12*3+CF12*4+CG12*5)+(CH12*1+CI12*2+CJ12*3+CK12*4+CL12*5)</f>
        <v>0</v>
      </c>
      <c r="BZ12" s="15">
        <f>CA12/CB12</f>
        <v>1.0179794520547945</v>
      </c>
      <c r="CA12" s="28">
        <f>BX12*(2/(7+1))+((1-(2/(7+1)))*CA11)</f>
        <v>138.375</v>
      </c>
      <c r="CB12" s="28">
        <f>BX12*(2/(28+1))+((1-(2/(28+1)))*CB11)</f>
        <v>135.93103448275863</v>
      </c>
      <c r="CC12" s="33"/>
      <c r="CG12" s="31"/>
      <c r="CM12" s="11">
        <v>3.3</v>
      </c>
      <c r="CO12" s="35">
        <f t="shared" si="7"/>
        <v>148.5</v>
      </c>
      <c r="CP12" s="35">
        <f t="shared" ref="CP12:CP75" si="26">(CT12*1+CU12*2+CV12*3+CW12*4+CX12*5)+(CY12*1+CZ12*2+DA12*3+DB12*4+DC12*5)</f>
        <v>0</v>
      </c>
      <c r="CQ12" s="15">
        <f>CR12/CS12</f>
        <v>1.0179794520547945</v>
      </c>
      <c r="CR12" s="28">
        <f>CO12*(2/(7+1))+((1-(2/(7+1)))*CR11)</f>
        <v>138.375</v>
      </c>
      <c r="CS12" s="28">
        <f>CO12*(2/(28+1))+((1-(2/(28+1)))*CS11)</f>
        <v>135.93103448275863</v>
      </c>
      <c r="CT12" s="33"/>
      <c r="CX12" s="31"/>
      <c r="DD12" s="11">
        <v>3.3</v>
      </c>
      <c r="DF12" s="35">
        <f t="shared" si="8"/>
        <v>148.5</v>
      </c>
      <c r="DG12" s="35">
        <f t="shared" ref="DG12:DG75" si="27">(DK12*1+DL12*2+DM12*3+DN12*4+DO12*5)+(DP12*1+DQ12*2+DR12*3+DS12*4+DT12*5)</f>
        <v>0</v>
      </c>
      <c r="DH12" s="15">
        <f>DI12/DJ12</f>
        <v>1.0179794520547945</v>
      </c>
      <c r="DI12" s="28">
        <f>DF12*(2/(7+1))+((1-(2/(7+1)))*DI11)</f>
        <v>138.375</v>
      </c>
      <c r="DJ12" s="28">
        <f>DF12*(2/(28+1))+((1-(2/(28+1)))*DJ11)</f>
        <v>135.93103448275863</v>
      </c>
      <c r="DK12" s="33"/>
      <c r="DO12" s="31"/>
      <c r="DU12" s="11">
        <v>3.3</v>
      </c>
      <c r="DW12" s="35">
        <f t="shared" si="9"/>
        <v>148.5</v>
      </c>
      <c r="DX12" s="35">
        <f t="shared" ref="DX12:DX75" si="28">(EB12*1+EC12*2+ED12*3+EE12*4+EF12*5)+(EG12*1+EH12*2+EI12*3+EJ12*4+EK12*5)</f>
        <v>0</v>
      </c>
      <c r="DY12" s="15">
        <f>DZ12/EA12</f>
        <v>1.0179794520547945</v>
      </c>
      <c r="DZ12" s="28">
        <f>DW12*(2/(7+1))+((1-(2/(7+1)))*DZ11)</f>
        <v>138.375</v>
      </c>
      <c r="EA12" s="28">
        <f>DW12*(2/(28+1))+((1-(2/(28+1)))*EA11)</f>
        <v>135.93103448275863</v>
      </c>
      <c r="EB12" s="33"/>
      <c r="EF12" s="31"/>
      <c r="EN12" s="35">
        <f t="shared" si="10"/>
        <v>0</v>
      </c>
      <c r="EO12" s="35">
        <f t="shared" ref="EO12:EO75" si="29">(ES12*1+ET12*2+EU12*3+EV12*4+EW12*5)+(EX12*1+EY12*2+EZ12*3+FA12*4+FB12*5)</f>
        <v>0</v>
      </c>
      <c r="EP12" s="52"/>
      <c r="EQ12" s="28">
        <f>EN12*(2/(7+1))+((1-(2/(7+1)))*EQ11)</f>
        <v>0</v>
      </c>
      <c r="ER12" s="28">
        <f>EN12*(2/(28+1))+((1-(2/(28+1)))*ER11)</f>
        <v>0</v>
      </c>
      <c r="ES12" s="33"/>
      <c r="EW12" s="31"/>
      <c r="FC12" s="11">
        <v>3.3</v>
      </c>
      <c r="FE12" s="35">
        <f t="shared" si="11"/>
        <v>148.5</v>
      </c>
      <c r="FF12" s="35">
        <f t="shared" ref="FF12:FF75" si="30">(FJ12*1+FK12*2+FL12*3+FM12*4+FN12*5)+(FO12*1+FP12*2+FQ12*3+FR12*4+FS12*5)</f>
        <v>0</v>
      </c>
      <c r="FG12" s="15">
        <f>FH12/FI12</f>
        <v>1.0179794520547945</v>
      </c>
      <c r="FH12" s="28">
        <f>FE12*(2/(7+1))+((1-(2/(7+1)))*FH11)</f>
        <v>138.375</v>
      </c>
      <c r="FI12" s="28">
        <f>FE12*(2/(28+1))+((1-(2/(28+1)))*FI11)</f>
        <v>135.93103448275863</v>
      </c>
      <c r="FJ12" s="33"/>
      <c r="FN12" s="31"/>
      <c r="FV12" s="35">
        <f t="shared" si="12"/>
        <v>0</v>
      </c>
      <c r="FW12" s="35">
        <f t="shared" ref="FW12:FW75" si="31">(GA12*1+GB12*2+GC12*3+GD12*4+GE12*5)+(GF12*1+GG12*2+GH12*3+GI12*4+GJ12*5)</f>
        <v>0</v>
      </c>
      <c r="FX12" s="52"/>
      <c r="FY12" s="28">
        <f>FV12*(2/(7+1))+((1-(2/(7+1)))*FY11)</f>
        <v>0</v>
      </c>
      <c r="FZ12" s="28">
        <f>FV12*(2/(28+1))+((1-(2/(28+1)))*FZ11)</f>
        <v>0</v>
      </c>
      <c r="GA12" s="33"/>
      <c r="GE12" s="31"/>
      <c r="GM12" s="35">
        <f t="shared" si="13"/>
        <v>0</v>
      </c>
      <c r="GN12" s="35">
        <f t="shared" ref="GN12:GN75" si="32">(GR12*1+GS12*2+GT12*3+GU12*4+GV12*5)+(GW12*1+GX12*2+GY12*3+GZ12*4+HA12*5)</f>
        <v>0</v>
      </c>
      <c r="GO12" s="52"/>
      <c r="GP12" s="28">
        <f>GM12*(2/(7+1))+((1-(2/(7+1)))*GP11)</f>
        <v>0</v>
      </c>
      <c r="GQ12" s="28">
        <f>GM12*(2/(28+1))+((1-(2/(28+1)))*GQ11)</f>
        <v>0</v>
      </c>
      <c r="GR12" s="33"/>
      <c r="GV12" s="31"/>
      <c r="HB12" s="11">
        <v>3.3</v>
      </c>
      <c r="HD12" s="35">
        <f t="shared" si="14"/>
        <v>148.5</v>
      </c>
      <c r="HE12" s="35">
        <f t="shared" ref="HE12:HE75" si="33">(HI12*1+HJ12*2+HK12*3+HL12*4+HM12*5)+(HN12*1+HO12*2+HP12*3+HQ12*4+HR12*5)</f>
        <v>0</v>
      </c>
      <c r="HF12" s="15">
        <f>HG12/HH12</f>
        <v>1.0179794520547945</v>
      </c>
      <c r="HG12" s="28">
        <f>HD12*(2/(7+1))+((1-(2/(7+1)))*HG11)</f>
        <v>138.375</v>
      </c>
      <c r="HH12" s="28">
        <f>HD12*(2/(28+1))+((1-(2/(28+1)))*HH11)</f>
        <v>135.93103448275863</v>
      </c>
      <c r="HI12" s="33"/>
      <c r="HM12" s="31"/>
      <c r="HS12" s="11">
        <v>3.3</v>
      </c>
      <c r="HU12" s="35">
        <f t="shared" si="15"/>
        <v>148.5</v>
      </c>
      <c r="HV12" s="35">
        <f t="shared" ref="HV12:HV75" si="34">(HZ12*1+IA12*2+IB12*3+IC12*4+ID12*5)+(IE12*1+IF12*2+IG12*3+IH12*4+II12*5)</f>
        <v>0</v>
      </c>
      <c r="HW12" s="15">
        <f>HX12/HY12</f>
        <v>1.0179794520547945</v>
      </c>
      <c r="HX12" s="28">
        <f>HU12*(2/(7+1))+((1-(2/(7+1)))*HX11)</f>
        <v>138.375</v>
      </c>
      <c r="HY12" s="28">
        <f>HU12*(2/(28+1))+((1-(2/(28+1)))*HY11)</f>
        <v>135.93103448275863</v>
      </c>
      <c r="HZ12" s="33"/>
      <c r="ID12" s="31"/>
      <c r="II12" s="12"/>
      <c r="IJ12" s="11">
        <v>3.3</v>
      </c>
      <c r="IL12" s="35">
        <f t="shared" si="16"/>
        <v>148.5</v>
      </c>
      <c r="IM12" s="35">
        <f t="shared" si="17"/>
        <v>1384.7091107699575</v>
      </c>
      <c r="IN12" s="15">
        <f>IO12/IP12</f>
        <v>1.0179794520547945</v>
      </c>
      <c r="IO12" s="28">
        <f>IL12*(2/(7+1))+((1-(2/(7+1)))*IO11)</f>
        <v>138.375</v>
      </c>
      <c r="IP12" s="28">
        <f>IL12*(2/(28+1))+((1-(2/(28+1)))*IP11)</f>
        <v>135.93103448275863</v>
      </c>
      <c r="IQ12" s="33"/>
      <c r="IU12" s="31"/>
      <c r="JC12" s="35">
        <f t="shared" si="18"/>
        <v>0</v>
      </c>
      <c r="JD12" s="35">
        <f t="shared" si="19"/>
        <v>1384.7091107699575</v>
      </c>
      <c r="JE12" s="15" t="e">
        <f>JF12/JG12</f>
        <v>#DIV/0!</v>
      </c>
      <c r="JF12" s="28">
        <f>JC12*(2/(7+1))+((1-(2/(7+1)))*JF11)</f>
        <v>0</v>
      </c>
      <c r="JG12" s="28">
        <f>JC12*(2/(28+1))+((1-(2/(28+1)))*JG11)</f>
        <v>0</v>
      </c>
      <c r="JH12" s="33"/>
      <c r="JL12" s="31"/>
      <c r="JR12" s="99"/>
      <c r="JS12" s="99"/>
      <c r="JT12" s="99"/>
      <c r="JU12" s="99"/>
      <c r="JV12" s="99"/>
      <c r="JW12" s="99"/>
      <c r="JX12" s="99"/>
      <c r="JY12" s="99"/>
      <c r="JZ12" s="99"/>
      <c r="KA12" s="99"/>
      <c r="KB12" s="99"/>
      <c r="KC12" s="99"/>
      <c r="KD12" s="99"/>
      <c r="KE12" s="99"/>
      <c r="KF12" s="99"/>
      <c r="KG12" s="99"/>
      <c r="KH12" s="99"/>
      <c r="KI12" s="99"/>
      <c r="KJ12" s="99"/>
      <c r="KK12" s="99"/>
      <c r="KL12" s="99"/>
      <c r="KM12" s="99"/>
      <c r="KN12" s="99"/>
      <c r="KO12" s="99"/>
      <c r="KP12" s="99"/>
      <c r="KQ12" s="99"/>
      <c r="KR12" s="99"/>
      <c r="KS12" s="99"/>
      <c r="KT12" s="99"/>
      <c r="KU12" s="99"/>
      <c r="KV12" s="99"/>
      <c r="KW12" s="99"/>
      <c r="KX12" s="99"/>
      <c r="KY12" s="99"/>
      <c r="KZ12" s="99"/>
      <c r="LA12" s="99"/>
      <c r="LB12" s="99"/>
      <c r="LC12" s="99"/>
      <c r="LD12" s="99"/>
      <c r="LE12" s="99"/>
      <c r="LF12" s="99"/>
      <c r="LG12" s="99"/>
      <c r="LH12" s="99"/>
      <c r="LI12" s="99"/>
      <c r="LJ12" s="99"/>
      <c r="LK12" s="99"/>
      <c r="LL12" s="99"/>
      <c r="LM12" s="99"/>
      <c r="LN12" s="99"/>
      <c r="LO12" s="99"/>
      <c r="LP12" s="99"/>
      <c r="LQ12" s="99"/>
      <c r="LR12" s="99"/>
      <c r="LS12" s="99"/>
      <c r="LT12" s="99"/>
      <c r="LU12" s="99"/>
      <c r="LV12" s="99"/>
      <c r="LW12" s="99"/>
      <c r="LX12" s="99"/>
      <c r="LY12" s="99"/>
      <c r="LZ12" s="99"/>
      <c r="MA12" s="99"/>
      <c r="MB12" s="99"/>
      <c r="MC12" s="99"/>
      <c r="MD12" s="99"/>
      <c r="ME12" s="99"/>
      <c r="MF12" s="99"/>
    </row>
    <row r="13" spans="1:344" ht="17.25" customHeight="1" x14ac:dyDescent="0.25">
      <c r="A13" s="156"/>
      <c r="B13" s="81" t="s">
        <v>3</v>
      </c>
      <c r="C13" s="82">
        <v>45147</v>
      </c>
      <c r="D13" s="49"/>
      <c r="F13" s="103">
        <v>45</v>
      </c>
      <c r="G13" s="89">
        <f t="shared" si="0"/>
        <v>3.6999999999999997</v>
      </c>
      <c r="H13" s="35">
        <f t="shared" si="1"/>
        <v>166.5</v>
      </c>
      <c r="I13" s="39"/>
      <c r="L13" s="89">
        <f t="shared" si="2"/>
        <v>0</v>
      </c>
      <c r="M13" s="35">
        <f t="shared" si="20"/>
        <v>0</v>
      </c>
      <c r="N13" s="35">
        <f t="shared" si="21"/>
        <v>166.5</v>
      </c>
      <c r="O13" s="97"/>
      <c r="P13" s="150"/>
      <c r="X13" s="1">
        <v>0</v>
      </c>
      <c r="Y13" s="35">
        <f t="shared" si="3"/>
        <v>0</v>
      </c>
      <c r="Z13" s="35">
        <f t="shared" si="22"/>
        <v>0</v>
      </c>
      <c r="AA13" s="52"/>
      <c r="AB13" s="43">
        <f t="shared" ref="AB13:AB18" si="35">Y13*(2/(7+1))+((1-(2/(7+1)))*AB12)</f>
        <v>0</v>
      </c>
      <c r="AC13" s="43">
        <f t="shared" ref="AC13:AC18" si="36">Y13*(2/(28+1))+((1-(2/(28+1)))*AC12)</f>
        <v>0</v>
      </c>
      <c r="AD13" s="33"/>
      <c r="AH13" s="31"/>
      <c r="AP13" s="35">
        <f t="shared" si="4"/>
        <v>0</v>
      </c>
      <c r="AQ13" s="35">
        <f t="shared" si="23"/>
        <v>0</v>
      </c>
      <c r="AR13" s="52"/>
      <c r="AS13" s="28">
        <f t="shared" ref="AS13:AS76" si="37">AP13*(2/(7+1))+((1-(2/(7+1)))*AS12)</f>
        <v>0</v>
      </c>
      <c r="AT13" s="28">
        <f t="shared" ref="AT13:AT76" si="38">AP13*(2/(28+1))+((1-(2/(28+1)))*AT12)</f>
        <v>0</v>
      </c>
      <c r="AU13" s="33"/>
      <c r="AY13" s="31"/>
      <c r="BE13" s="11">
        <v>3.7</v>
      </c>
      <c r="BG13" s="35">
        <f t="shared" si="5"/>
        <v>166.5</v>
      </c>
      <c r="BH13" s="35">
        <f t="shared" si="24"/>
        <v>0</v>
      </c>
      <c r="BI13" s="15">
        <f t="shared" ref="BI13:BI76" si="39">BJ13/BK13</f>
        <v>1.0533689627102876</v>
      </c>
      <c r="BJ13" s="28">
        <f t="shared" ref="BJ13:BJ76" si="40">BG13*(2/(7+1))+((1-(2/(7+1)))*BJ12)</f>
        <v>145.40625</v>
      </c>
      <c r="BK13" s="28">
        <f t="shared" ref="BK13:BK76" si="41">BG13*(2/(28+1))+((1-(2/(28+1)))*BK12)</f>
        <v>138.03923900118906</v>
      </c>
      <c r="BL13" s="33"/>
      <c r="BP13" s="31"/>
      <c r="BV13" s="11">
        <v>3.7</v>
      </c>
      <c r="BX13" s="35">
        <f t="shared" si="6"/>
        <v>166.5</v>
      </c>
      <c r="BY13" s="35">
        <f t="shared" si="25"/>
        <v>0</v>
      </c>
      <c r="BZ13" s="15">
        <f t="shared" ref="BZ13:BZ76" si="42">CA13/CB13</f>
        <v>1.0533689627102876</v>
      </c>
      <c r="CA13" s="28">
        <f t="shared" ref="CA13:CA76" si="43">BX13*(2/(7+1))+((1-(2/(7+1)))*CA12)</f>
        <v>145.40625</v>
      </c>
      <c r="CB13" s="28">
        <f t="shared" ref="CB13:CB76" si="44">BX13*(2/(28+1))+((1-(2/(28+1)))*CB12)</f>
        <v>138.03923900118906</v>
      </c>
      <c r="CC13" s="33"/>
      <c r="CG13" s="31"/>
      <c r="CM13" s="11">
        <v>3.7</v>
      </c>
      <c r="CO13" s="35">
        <f t="shared" si="7"/>
        <v>166.5</v>
      </c>
      <c r="CP13" s="35">
        <f t="shared" si="26"/>
        <v>0</v>
      </c>
      <c r="CQ13" s="15">
        <f t="shared" ref="CQ13:CQ76" si="45">CR13/CS13</f>
        <v>1.0533689627102876</v>
      </c>
      <c r="CR13" s="28">
        <f t="shared" ref="CR13:CR76" si="46">CO13*(2/(7+1))+((1-(2/(7+1)))*CR12)</f>
        <v>145.40625</v>
      </c>
      <c r="CS13" s="28">
        <f t="shared" ref="CS13:CS76" si="47">CO13*(2/(28+1))+((1-(2/(28+1)))*CS12)</f>
        <v>138.03923900118906</v>
      </c>
      <c r="CT13" s="33"/>
      <c r="CX13" s="31"/>
      <c r="DD13" s="11">
        <v>3.7</v>
      </c>
      <c r="DF13" s="35">
        <f t="shared" si="8"/>
        <v>166.5</v>
      </c>
      <c r="DG13" s="35">
        <f t="shared" si="27"/>
        <v>0</v>
      </c>
      <c r="DH13" s="15">
        <f t="shared" ref="DH13:DH76" si="48">DI13/DJ13</f>
        <v>1.0533689627102876</v>
      </c>
      <c r="DI13" s="28">
        <f t="shared" ref="DI13:DI76" si="49">DF13*(2/(7+1))+((1-(2/(7+1)))*DI12)</f>
        <v>145.40625</v>
      </c>
      <c r="DJ13" s="28">
        <f t="shared" ref="DJ13:DJ76" si="50">DF13*(2/(28+1))+((1-(2/(28+1)))*DJ12)</f>
        <v>138.03923900118906</v>
      </c>
      <c r="DK13" s="33"/>
      <c r="DO13" s="31"/>
      <c r="DU13" s="11">
        <v>3.7</v>
      </c>
      <c r="DW13" s="35">
        <f t="shared" si="9"/>
        <v>166.5</v>
      </c>
      <c r="DX13" s="35">
        <f t="shared" si="28"/>
        <v>0</v>
      </c>
      <c r="DY13" s="15">
        <f t="shared" ref="DY13:DY76" si="51">DZ13/EA13</f>
        <v>1.0533689627102876</v>
      </c>
      <c r="DZ13" s="28">
        <f t="shared" ref="DZ13:DZ76" si="52">DW13*(2/(7+1))+((1-(2/(7+1)))*DZ12)</f>
        <v>145.40625</v>
      </c>
      <c r="EA13" s="28">
        <f t="shared" ref="EA13:EA76" si="53">DW13*(2/(28+1))+((1-(2/(28+1)))*EA12)</f>
        <v>138.03923900118906</v>
      </c>
      <c r="EB13" s="33"/>
      <c r="EF13" s="31"/>
      <c r="EN13" s="35">
        <f t="shared" si="10"/>
        <v>0</v>
      </c>
      <c r="EO13" s="35">
        <f t="shared" si="29"/>
        <v>0</v>
      </c>
      <c r="EP13" s="52"/>
      <c r="EQ13" s="28">
        <f t="shared" ref="EQ13:EQ76" si="54">EN13*(2/(7+1))+((1-(2/(7+1)))*EQ12)</f>
        <v>0</v>
      </c>
      <c r="ER13" s="28">
        <f t="shared" ref="ER13:ER76" si="55">EN13*(2/(28+1))+((1-(2/(28+1)))*ER12)</f>
        <v>0</v>
      </c>
      <c r="ES13" s="33"/>
      <c r="EW13" s="31"/>
      <c r="FC13" s="11">
        <v>3.7</v>
      </c>
      <c r="FE13" s="35">
        <f t="shared" si="11"/>
        <v>166.5</v>
      </c>
      <c r="FF13" s="35">
        <f t="shared" si="30"/>
        <v>0</v>
      </c>
      <c r="FG13" s="15">
        <f t="shared" ref="FG13:FG76" si="56">FH13/FI13</f>
        <v>1.0533689627102876</v>
      </c>
      <c r="FH13" s="28">
        <f t="shared" ref="FH13:FH76" si="57">FE13*(2/(7+1))+((1-(2/(7+1)))*FH12)</f>
        <v>145.40625</v>
      </c>
      <c r="FI13" s="28">
        <f t="shared" ref="FI13:FI76" si="58">FE13*(2/(28+1))+((1-(2/(28+1)))*FI12)</f>
        <v>138.03923900118906</v>
      </c>
      <c r="FJ13" s="33"/>
      <c r="FN13" s="31"/>
      <c r="FV13" s="35">
        <f t="shared" si="12"/>
        <v>0</v>
      </c>
      <c r="FW13" s="35">
        <f t="shared" si="31"/>
        <v>0</v>
      </c>
      <c r="FX13" s="52"/>
      <c r="FY13" s="28">
        <f t="shared" ref="FY13:FY76" si="59">FV13*(2/(7+1))+((1-(2/(7+1)))*FY12)</f>
        <v>0</v>
      </c>
      <c r="FZ13" s="28">
        <f t="shared" ref="FZ13:FZ76" si="60">FV13*(2/(28+1))+((1-(2/(28+1)))*FZ12)</f>
        <v>0</v>
      </c>
      <c r="GA13" s="33"/>
      <c r="GE13" s="31"/>
      <c r="GM13" s="35">
        <f t="shared" si="13"/>
        <v>0</v>
      </c>
      <c r="GN13" s="35">
        <f t="shared" si="32"/>
        <v>0</v>
      </c>
      <c r="GO13" s="52"/>
      <c r="GP13" s="28">
        <f t="shared" ref="GP13:GP76" si="61">GM13*(2/(7+1))+((1-(2/(7+1)))*GP12)</f>
        <v>0</v>
      </c>
      <c r="GQ13" s="28">
        <f t="shared" ref="GQ13:GQ76" si="62">GM13*(2/(28+1))+((1-(2/(28+1)))*GQ12)</f>
        <v>0</v>
      </c>
      <c r="GR13" s="33"/>
      <c r="GV13" s="31"/>
      <c r="HB13" s="11">
        <v>3.7</v>
      </c>
      <c r="HD13" s="35">
        <f t="shared" si="14"/>
        <v>166.5</v>
      </c>
      <c r="HE13" s="35">
        <f t="shared" si="33"/>
        <v>0</v>
      </c>
      <c r="HF13" s="15">
        <f t="shared" ref="HF13:HF76" si="63">HG13/HH13</f>
        <v>1.0533689627102876</v>
      </c>
      <c r="HG13" s="28">
        <f t="shared" ref="HG13:HG76" si="64">HD13*(2/(7+1))+((1-(2/(7+1)))*HG12)</f>
        <v>145.40625</v>
      </c>
      <c r="HH13" s="28">
        <f t="shared" ref="HH13:HH76" si="65">HD13*(2/(28+1))+((1-(2/(28+1)))*HH12)</f>
        <v>138.03923900118906</v>
      </c>
      <c r="HI13" s="33"/>
      <c r="HM13" s="31"/>
      <c r="HS13" s="11">
        <v>3.7</v>
      </c>
      <c r="HU13" s="35">
        <f t="shared" si="15"/>
        <v>166.5</v>
      </c>
      <c r="HV13" s="35">
        <f t="shared" si="34"/>
        <v>0</v>
      </c>
      <c r="HW13" s="15">
        <f t="shared" ref="HW13:HW76" si="66">HX13/HY13</f>
        <v>1.0533689627102876</v>
      </c>
      <c r="HX13" s="28">
        <f t="shared" ref="HX13:HX76" si="67">HU13*(2/(7+1))+((1-(2/(7+1)))*HX12)</f>
        <v>145.40625</v>
      </c>
      <c r="HY13" s="28">
        <f t="shared" ref="HY13:HY76" si="68">HU13*(2/(28+1))+((1-(2/(28+1)))*HY12)</f>
        <v>138.03923900118906</v>
      </c>
      <c r="HZ13" s="33"/>
      <c r="ID13" s="31"/>
      <c r="II13" s="12"/>
      <c r="IJ13" s="11">
        <v>3.7</v>
      </c>
      <c r="IL13" s="35">
        <f t="shared" si="16"/>
        <v>166.5</v>
      </c>
      <c r="IM13" s="35">
        <f t="shared" si="17"/>
        <v>1441.4813018940763</v>
      </c>
      <c r="IN13" s="15">
        <f t="shared" ref="IN13:IN76" si="69">IO13/IP13</f>
        <v>1.0533689627102876</v>
      </c>
      <c r="IO13" s="28">
        <f t="shared" ref="IO13:IO76" si="70">IL13*(2/(7+1))+((1-(2/(7+1)))*IO12)</f>
        <v>145.40625</v>
      </c>
      <c r="IP13" s="28">
        <f t="shared" ref="IP13:IP76" si="71">IL13*(2/(28+1))+((1-(2/(28+1)))*IP12)</f>
        <v>138.03923900118906</v>
      </c>
      <c r="IQ13" s="33"/>
      <c r="IU13" s="31"/>
      <c r="JC13" s="35">
        <f t="shared" si="18"/>
        <v>0</v>
      </c>
      <c r="JD13" s="35">
        <f t="shared" si="19"/>
        <v>1441.4813018940763</v>
      </c>
      <c r="JE13" s="15" t="e">
        <f t="shared" ref="JE13:JE76" si="72">JF13/JG13</f>
        <v>#DIV/0!</v>
      </c>
      <c r="JF13" s="28">
        <f t="shared" ref="JF13:JF76" si="73">JC13*(2/(7+1))+((1-(2/(7+1)))*JF12)</f>
        <v>0</v>
      </c>
      <c r="JG13" s="28">
        <f t="shared" ref="JG13:JG76" si="74">JC13*(2/(28+1))+((1-(2/(28+1)))*JG12)</f>
        <v>0</v>
      </c>
      <c r="JH13" s="33"/>
      <c r="JL13" s="31"/>
      <c r="JR13" s="99"/>
      <c r="JS13" s="99"/>
      <c r="JT13" s="99"/>
      <c r="JU13" s="99"/>
      <c r="JV13" s="99"/>
      <c r="JW13" s="99"/>
      <c r="JX13" s="99"/>
      <c r="JY13" s="99"/>
      <c r="JZ13" s="99"/>
      <c r="KA13" s="99"/>
      <c r="KB13" s="99"/>
      <c r="KC13" s="99"/>
      <c r="KD13" s="99"/>
      <c r="KE13" s="99"/>
      <c r="KF13" s="99"/>
      <c r="KG13" s="99"/>
      <c r="KH13" s="99"/>
      <c r="KI13" s="99"/>
      <c r="KJ13" s="99"/>
      <c r="KK13" s="99"/>
      <c r="KL13" s="99"/>
      <c r="KM13" s="99"/>
      <c r="KN13" s="99"/>
      <c r="KO13" s="99"/>
      <c r="KP13" s="99"/>
      <c r="KQ13" s="99"/>
      <c r="KR13" s="99"/>
      <c r="KS13" s="99"/>
      <c r="KT13" s="99"/>
      <c r="KU13" s="99"/>
      <c r="KV13" s="99"/>
      <c r="KW13" s="99"/>
      <c r="KX13" s="99"/>
      <c r="KY13" s="99"/>
      <c r="KZ13" s="99"/>
      <c r="LA13" s="99"/>
      <c r="LB13" s="99"/>
      <c r="LC13" s="99"/>
      <c r="LD13" s="99"/>
      <c r="LE13" s="99"/>
      <c r="LF13" s="99"/>
      <c r="LG13" s="99"/>
      <c r="LH13" s="99"/>
      <c r="LI13" s="99"/>
      <c r="LJ13" s="99"/>
      <c r="LK13" s="99"/>
      <c r="LL13" s="99"/>
      <c r="LM13" s="99"/>
      <c r="LN13" s="99"/>
      <c r="LO13" s="99"/>
      <c r="LP13" s="99"/>
      <c r="LQ13" s="99"/>
      <c r="LR13" s="99"/>
      <c r="LS13" s="99"/>
      <c r="LT13" s="99"/>
      <c r="LU13" s="99"/>
      <c r="LV13" s="99"/>
      <c r="LW13" s="99"/>
      <c r="LX13" s="99"/>
      <c r="LY13" s="99"/>
      <c r="LZ13" s="99"/>
      <c r="MA13" s="99"/>
      <c r="MB13" s="99"/>
      <c r="MC13" s="99"/>
      <c r="MD13" s="99"/>
      <c r="ME13" s="99"/>
      <c r="MF13" s="99"/>
    </row>
    <row r="14" spans="1:344" ht="17.25" customHeight="1" x14ac:dyDescent="0.25">
      <c r="A14" s="156"/>
      <c r="B14" s="81" t="s">
        <v>4</v>
      </c>
      <c r="C14" s="82">
        <v>45148</v>
      </c>
      <c r="D14" s="49"/>
      <c r="F14" s="103">
        <v>45</v>
      </c>
      <c r="G14" s="89">
        <f t="shared" si="0"/>
        <v>4</v>
      </c>
      <c r="H14" s="35">
        <f t="shared" si="1"/>
        <v>180</v>
      </c>
      <c r="I14" s="39"/>
      <c r="L14" s="89">
        <f t="shared" si="2"/>
        <v>0</v>
      </c>
      <c r="M14" s="35">
        <f t="shared" si="20"/>
        <v>0</v>
      </c>
      <c r="N14" s="35">
        <f t="shared" si="21"/>
        <v>180</v>
      </c>
      <c r="O14" s="97"/>
      <c r="P14" s="150"/>
      <c r="X14" s="1">
        <v>0</v>
      </c>
      <c r="Y14" s="35">
        <f t="shared" si="3"/>
        <v>0</v>
      </c>
      <c r="Z14" s="35">
        <f t="shared" si="22"/>
        <v>0</v>
      </c>
      <c r="AA14" s="52"/>
      <c r="AB14" s="43">
        <f t="shared" si="35"/>
        <v>0</v>
      </c>
      <c r="AC14" s="43">
        <f t="shared" si="36"/>
        <v>0</v>
      </c>
      <c r="AD14" s="33"/>
      <c r="AH14" s="31"/>
      <c r="AP14" s="35">
        <f t="shared" si="4"/>
        <v>0</v>
      </c>
      <c r="AQ14" s="35">
        <f t="shared" si="23"/>
        <v>0</v>
      </c>
      <c r="AR14" s="52"/>
      <c r="AS14" s="28">
        <f t="shared" si="37"/>
        <v>0</v>
      </c>
      <c r="AT14" s="28">
        <f t="shared" si="38"/>
        <v>0</v>
      </c>
      <c r="AU14" s="33"/>
      <c r="AY14" s="31"/>
      <c r="BE14" s="11">
        <v>4</v>
      </c>
      <c r="BG14" s="35">
        <f t="shared" si="5"/>
        <v>180</v>
      </c>
      <c r="BH14" s="35">
        <f t="shared" si="24"/>
        <v>0</v>
      </c>
      <c r="BI14" s="15">
        <f t="shared" si="39"/>
        <v>1.0931051991880347</v>
      </c>
      <c r="BJ14" s="28">
        <f t="shared" si="40"/>
        <v>154.0546875</v>
      </c>
      <c r="BK14" s="28">
        <f t="shared" si="41"/>
        <v>140.93308458731397</v>
      </c>
      <c r="BL14" s="33"/>
      <c r="BP14" s="31"/>
      <c r="BV14" s="11">
        <v>4</v>
      </c>
      <c r="BX14" s="35">
        <f t="shared" si="6"/>
        <v>180</v>
      </c>
      <c r="BY14" s="35">
        <f t="shared" si="25"/>
        <v>0</v>
      </c>
      <c r="BZ14" s="15">
        <f t="shared" si="42"/>
        <v>1.0931051991880347</v>
      </c>
      <c r="CA14" s="28">
        <f t="shared" si="43"/>
        <v>154.0546875</v>
      </c>
      <c r="CB14" s="28">
        <f t="shared" si="44"/>
        <v>140.93308458731397</v>
      </c>
      <c r="CC14" s="33"/>
      <c r="CG14" s="31"/>
      <c r="CM14" s="11">
        <v>4</v>
      </c>
      <c r="CO14" s="35">
        <f t="shared" si="7"/>
        <v>180</v>
      </c>
      <c r="CP14" s="35">
        <f t="shared" si="26"/>
        <v>0</v>
      </c>
      <c r="CQ14" s="15">
        <f t="shared" si="45"/>
        <v>1.0931051991880347</v>
      </c>
      <c r="CR14" s="28">
        <f t="shared" si="46"/>
        <v>154.0546875</v>
      </c>
      <c r="CS14" s="28">
        <f t="shared" si="47"/>
        <v>140.93308458731397</v>
      </c>
      <c r="CT14" s="33"/>
      <c r="CX14" s="31"/>
      <c r="DD14" s="11">
        <v>4</v>
      </c>
      <c r="DF14" s="35">
        <f t="shared" si="8"/>
        <v>180</v>
      </c>
      <c r="DG14" s="35">
        <f t="shared" si="27"/>
        <v>0</v>
      </c>
      <c r="DH14" s="15">
        <f t="shared" si="48"/>
        <v>1.0931051991880347</v>
      </c>
      <c r="DI14" s="28">
        <f t="shared" si="49"/>
        <v>154.0546875</v>
      </c>
      <c r="DJ14" s="28">
        <f t="shared" si="50"/>
        <v>140.93308458731397</v>
      </c>
      <c r="DK14" s="33"/>
      <c r="DO14" s="31"/>
      <c r="DU14" s="11">
        <v>4</v>
      </c>
      <c r="DW14" s="35">
        <f t="shared" si="9"/>
        <v>180</v>
      </c>
      <c r="DX14" s="35">
        <f t="shared" si="28"/>
        <v>0</v>
      </c>
      <c r="DY14" s="15">
        <f t="shared" si="51"/>
        <v>1.0931051991880347</v>
      </c>
      <c r="DZ14" s="28">
        <f t="shared" si="52"/>
        <v>154.0546875</v>
      </c>
      <c r="EA14" s="28">
        <f t="shared" si="53"/>
        <v>140.93308458731397</v>
      </c>
      <c r="EB14" s="33"/>
      <c r="EF14" s="31"/>
      <c r="EN14" s="35">
        <f t="shared" si="10"/>
        <v>0</v>
      </c>
      <c r="EO14" s="35">
        <f t="shared" si="29"/>
        <v>0</v>
      </c>
      <c r="EP14" s="52"/>
      <c r="EQ14" s="28">
        <f t="shared" si="54"/>
        <v>0</v>
      </c>
      <c r="ER14" s="28">
        <f t="shared" si="55"/>
        <v>0</v>
      </c>
      <c r="ES14" s="33"/>
      <c r="EW14" s="31"/>
      <c r="FC14" s="11">
        <v>4</v>
      </c>
      <c r="FE14" s="35">
        <f t="shared" si="11"/>
        <v>180</v>
      </c>
      <c r="FF14" s="35">
        <f t="shared" si="30"/>
        <v>0</v>
      </c>
      <c r="FG14" s="15">
        <f t="shared" si="56"/>
        <v>1.0931051991880347</v>
      </c>
      <c r="FH14" s="28">
        <f t="shared" si="57"/>
        <v>154.0546875</v>
      </c>
      <c r="FI14" s="28">
        <f t="shared" si="58"/>
        <v>140.93308458731397</v>
      </c>
      <c r="FJ14" s="33"/>
      <c r="FN14" s="31"/>
      <c r="FV14" s="35">
        <f t="shared" si="12"/>
        <v>0</v>
      </c>
      <c r="FW14" s="35">
        <f t="shared" si="31"/>
        <v>0</v>
      </c>
      <c r="FX14" s="52"/>
      <c r="FY14" s="28">
        <f t="shared" si="59"/>
        <v>0</v>
      </c>
      <c r="FZ14" s="28">
        <f t="shared" si="60"/>
        <v>0</v>
      </c>
      <c r="GA14" s="33"/>
      <c r="GE14" s="31"/>
      <c r="GM14" s="35">
        <f t="shared" si="13"/>
        <v>0</v>
      </c>
      <c r="GN14" s="35">
        <f t="shared" si="32"/>
        <v>0</v>
      </c>
      <c r="GO14" s="52"/>
      <c r="GP14" s="28">
        <f t="shared" si="61"/>
        <v>0</v>
      </c>
      <c r="GQ14" s="28">
        <f t="shared" si="62"/>
        <v>0</v>
      </c>
      <c r="GR14" s="33"/>
      <c r="GV14" s="31"/>
      <c r="HB14" s="11">
        <v>4</v>
      </c>
      <c r="HD14" s="35">
        <f t="shared" si="14"/>
        <v>180</v>
      </c>
      <c r="HE14" s="35">
        <f t="shared" si="33"/>
        <v>0</v>
      </c>
      <c r="HF14" s="15">
        <f t="shared" si="63"/>
        <v>1.0931051991880347</v>
      </c>
      <c r="HG14" s="28">
        <f t="shared" si="64"/>
        <v>154.0546875</v>
      </c>
      <c r="HH14" s="28">
        <f t="shared" si="65"/>
        <v>140.93308458731397</v>
      </c>
      <c r="HI14" s="33"/>
      <c r="HM14" s="31"/>
      <c r="HS14" s="11">
        <v>4</v>
      </c>
      <c r="HU14" s="35">
        <f t="shared" si="15"/>
        <v>180</v>
      </c>
      <c r="HV14" s="35">
        <f t="shared" si="34"/>
        <v>0</v>
      </c>
      <c r="HW14" s="15">
        <f t="shared" si="66"/>
        <v>1.0931051991880347</v>
      </c>
      <c r="HX14" s="28">
        <f t="shared" si="67"/>
        <v>154.0546875</v>
      </c>
      <c r="HY14" s="28">
        <f t="shared" si="68"/>
        <v>140.93308458731397</v>
      </c>
      <c r="HZ14" s="33"/>
      <c r="ID14" s="31"/>
      <c r="II14" s="12"/>
      <c r="IJ14" s="11">
        <v>4</v>
      </c>
      <c r="IL14" s="35">
        <f t="shared" si="16"/>
        <v>180</v>
      </c>
      <c r="IM14" s="35">
        <f t="shared" si="17"/>
        <v>1504.1634885341341</v>
      </c>
      <c r="IN14" s="15">
        <f t="shared" si="69"/>
        <v>1.0931051991880347</v>
      </c>
      <c r="IO14" s="28">
        <f t="shared" si="70"/>
        <v>154.0546875</v>
      </c>
      <c r="IP14" s="28">
        <f t="shared" si="71"/>
        <v>140.93308458731397</v>
      </c>
      <c r="IQ14" s="33"/>
      <c r="IU14" s="31"/>
      <c r="JC14" s="35">
        <f t="shared" si="18"/>
        <v>0</v>
      </c>
      <c r="JD14" s="35">
        <f t="shared" si="19"/>
        <v>1504.1634885341341</v>
      </c>
      <c r="JE14" s="15" t="e">
        <f t="shared" si="72"/>
        <v>#DIV/0!</v>
      </c>
      <c r="JF14" s="28">
        <f t="shared" si="73"/>
        <v>0</v>
      </c>
      <c r="JG14" s="28">
        <f t="shared" si="74"/>
        <v>0</v>
      </c>
      <c r="JH14" s="33"/>
      <c r="JL14" s="31"/>
      <c r="JR14" s="99"/>
      <c r="JS14" s="99"/>
      <c r="JT14" s="99"/>
      <c r="JU14" s="99"/>
      <c r="JV14" s="99"/>
      <c r="JW14" s="99"/>
      <c r="JX14" s="99"/>
      <c r="JY14" s="99"/>
      <c r="JZ14" s="99"/>
      <c r="KA14" s="99"/>
      <c r="KB14" s="99"/>
      <c r="KC14" s="99"/>
      <c r="KD14" s="99"/>
      <c r="KE14" s="99"/>
      <c r="KF14" s="99"/>
      <c r="KG14" s="99"/>
      <c r="KH14" s="99"/>
      <c r="KI14" s="99"/>
      <c r="KJ14" s="99"/>
      <c r="KK14" s="99"/>
      <c r="KL14" s="99"/>
      <c r="KM14" s="99"/>
      <c r="KN14" s="99"/>
      <c r="KO14" s="99"/>
      <c r="KP14" s="99"/>
      <c r="KQ14" s="99"/>
      <c r="KR14" s="99"/>
      <c r="KS14" s="99"/>
      <c r="KT14" s="99"/>
      <c r="KU14" s="99"/>
      <c r="KV14" s="99"/>
      <c r="KW14" s="99"/>
      <c r="KX14" s="99"/>
      <c r="KY14" s="99"/>
      <c r="KZ14" s="99"/>
      <c r="LA14" s="99"/>
      <c r="LB14" s="99"/>
      <c r="LC14" s="99"/>
      <c r="LD14" s="99"/>
      <c r="LE14" s="99"/>
      <c r="LF14" s="99"/>
      <c r="LG14" s="99"/>
      <c r="LH14" s="99"/>
      <c r="LI14" s="99"/>
      <c r="LJ14" s="99"/>
      <c r="LK14" s="99"/>
      <c r="LL14" s="99"/>
      <c r="LM14" s="99"/>
      <c r="LN14" s="99"/>
      <c r="LO14" s="99"/>
      <c r="LP14" s="99"/>
      <c r="LQ14" s="99"/>
      <c r="LR14" s="99"/>
      <c r="LS14" s="99"/>
      <c r="LT14" s="99"/>
      <c r="LU14" s="99"/>
      <c r="LV14" s="99"/>
      <c r="LW14" s="99"/>
      <c r="LX14" s="99"/>
      <c r="LY14" s="99"/>
      <c r="LZ14" s="99"/>
      <c r="MA14" s="99"/>
      <c r="MB14" s="99"/>
      <c r="MC14" s="99"/>
      <c r="MD14" s="99"/>
      <c r="ME14" s="99"/>
      <c r="MF14" s="99"/>
    </row>
    <row r="15" spans="1:344" ht="17.25" customHeight="1" x14ac:dyDescent="0.25">
      <c r="A15" s="156"/>
      <c r="B15" s="81" t="s">
        <v>5</v>
      </c>
      <c r="C15" s="82">
        <v>45149</v>
      </c>
      <c r="D15" s="49"/>
      <c r="F15" s="103">
        <v>65</v>
      </c>
      <c r="G15" s="89">
        <f t="shared" si="0"/>
        <v>5</v>
      </c>
      <c r="H15" s="35">
        <f t="shared" si="1"/>
        <v>325</v>
      </c>
      <c r="I15" s="39"/>
      <c r="L15" s="89">
        <f t="shared" si="2"/>
        <v>0</v>
      </c>
      <c r="M15" s="35">
        <f t="shared" si="20"/>
        <v>0</v>
      </c>
      <c r="N15" s="35">
        <f t="shared" si="21"/>
        <v>325</v>
      </c>
      <c r="O15" s="97"/>
      <c r="P15" s="150"/>
      <c r="X15" s="1">
        <v>0</v>
      </c>
      <c r="Y15" s="35">
        <f t="shared" si="3"/>
        <v>0</v>
      </c>
      <c r="Z15" s="35">
        <f t="shared" si="22"/>
        <v>0</v>
      </c>
      <c r="AA15" s="52"/>
      <c r="AB15" s="43">
        <f t="shared" si="35"/>
        <v>0</v>
      </c>
      <c r="AC15" s="43">
        <f t="shared" si="36"/>
        <v>0</v>
      </c>
      <c r="AD15" s="33"/>
      <c r="AH15" s="31"/>
      <c r="AP15" s="35">
        <f t="shared" si="4"/>
        <v>0</v>
      </c>
      <c r="AQ15" s="35">
        <f t="shared" si="23"/>
        <v>0</v>
      </c>
      <c r="AR15" s="52"/>
      <c r="AS15" s="28">
        <f t="shared" si="37"/>
        <v>0</v>
      </c>
      <c r="AT15" s="28">
        <f t="shared" si="38"/>
        <v>0</v>
      </c>
      <c r="AU15" s="33"/>
      <c r="AY15" s="31"/>
      <c r="BE15" s="11">
        <v>5</v>
      </c>
      <c r="BG15" s="35">
        <f t="shared" si="5"/>
        <v>325</v>
      </c>
      <c r="BH15" s="35">
        <f t="shared" si="24"/>
        <v>0</v>
      </c>
      <c r="BI15" s="15">
        <f t="shared" si="39"/>
        <v>1.2809633812752816</v>
      </c>
      <c r="BJ15" s="28">
        <f t="shared" si="40"/>
        <v>196.791015625</v>
      </c>
      <c r="BK15" s="28">
        <f t="shared" si="41"/>
        <v>153.62735461577509</v>
      </c>
      <c r="BL15" s="33"/>
      <c r="BP15" s="31"/>
      <c r="BV15" s="11">
        <v>5</v>
      </c>
      <c r="BX15" s="35">
        <f t="shared" si="6"/>
        <v>325</v>
      </c>
      <c r="BY15" s="35">
        <f t="shared" si="25"/>
        <v>0</v>
      </c>
      <c r="BZ15" s="15">
        <f t="shared" si="42"/>
        <v>1.2809633812752816</v>
      </c>
      <c r="CA15" s="28">
        <f t="shared" si="43"/>
        <v>196.791015625</v>
      </c>
      <c r="CB15" s="28">
        <f t="shared" si="44"/>
        <v>153.62735461577509</v>
      </c>
      <c r="CC15" s="33"/>
      <c r="CG15" s="31"/>
      <c r="CM15" s="11">
        <v>5</v>
      </c>
      <c r="CO15" s="35">
        <f t="shared" si="7"/>
        <v>325</v>
      </c>
      <c r="CP15" s="35">
        <f t="shared" si="26"/>
        <v>0</v>
      </c>
      <c r="CQ15" s="15">
        <f t="shared" si="45"/>
        <v>1.2809633812752816</v>
      </c>
      <c r="CR15" s="28">
        <f t="shared" si="46"/>
        <v>196.791015625</v>
      </c>
      <c r="CS15" s="28">
        <f t="shared" si="47"/>
        <v>153.62735461577509</v>
      </c>
      <c r="CT15" s="33"/>
      <c r="CX15" s="31"/>
      <c r="DD15" s="11">
        <v>5</v>
      </c>
      <c r="DF15" s="35">
        <f t="shared" si="8"/>
        <v>325</v>
      </c>
      <c r="DG15" s="35">
        <f t="shared" si="27"/>
        <v>0</v>
      </c>
      <c r="DH15" s="15">
        <f t="shared" si="48"/>
        <v>1.2809633812752816</v>
      </c>
      <c r="DI15" s="28">
        <f t="shared" si="49"/>
        <v>196.791015625</v>
      </c>
      <c r="DJ15" s="28">
        <f t="shared" si="50"/>
        <v>153.62735461577509</v>
      </c>
      <c r="DK15" s="33"/>
      <c r="DO15" s="31"/>
      <c r="DU15" s="11">
        <v>5</v>
      </c>
      <c r="DW15" s="35">
        <f t="shared" si="9"/>
        <v>325</v>
      </c>
      <c r="DX15" s="35">
        <f t="shared" si="28"/>
        <v>0</v>
      </c>
      <c r="DY15" s="15">
        <f t="shared" si="51"/>
        <v>1.2809633812752816</v>
      </c>
      <c r="DZ15" s="28">
        <f t="shared" si="52"/>
        <v>196.791015625</v>
      </c>
      <c r="EA15" s="28">
        <f t="shared" si="53"/>
        <v>153.62735461577509</v>
      </c>
      <c r="EB15" s="33"/>
      <c r="EF15" s="31"/>
      <c r="EN15" s="35">
        <f t="shared" si="10"/>
        <v>0</v>
      </c>
      <c r="EO15" s="35">
        <f t="shared" si="29"/>
        <v>0</v>
      </c>
      <c r="EP15" s="52"/>
      <c r="EQ15" s="28">
        <f t="shared" si="54"/>
        <v>0</v>
      </c>
      <c r="ER15" s="28">
        <f t="shared" si="55"/>
        <v>0</v>
      </c>
      <c r="ES15" s="33"/>
      <c r="EW15" s="31"/>
      <c r="FC15" s="11">
        <v>5</v>
      </c>
      <c r="FE15" s="35">
        <f t="shared" si="11"/>
        <v>325</v>
      </c>
      <c r="FF15" s="35">
        <f t="shared" si="30"/>
        <v>0</v>
      </c>
      <c r="FG15" s="15">
        <f t="shared" si="56"/>
        <v>1.2809633812752816</v>
      </c>
      <c r="FH15" s="28">
        <f t="shared" si="57"/>
        <v>196.791015625</v>
      </c>
      <c r="FI15" s="28">
        <f t="shared" si="58"/>
        <v>153.62735461577509</v>
      </c>
      <c r="FJ15" s="33"/>
      <c r="FN15" s="31"/>
      <c r="FV15" s="35">
        <f t="shared" si="12"/>
        <v>0</v>
      </c>
      <c r="FW15" s="35">
        <f t="shared" si="31"/>
        <v>0</v>
      </c>
      <c r="FX15" s="52"/>
      <c r="FY15" s="28">
        <f t="shared" si="59"/>
        <v>0</v>
      </c>
      <c r="FZ15" s="28">
        <f t="shared" si="60"/>
        <v>0</v>
      </c>
      <c r="GA15" s="33"/>
      <c r="GE15" s="31"/>
      <c r="GM15" s="35">
        <f t="shared" si="13"/>
        <v>0</v>
      </c>
      <c r="GN15" s="35">
        <f t="shared" si="32"/>
        <v>0</v>
      </c>
      <c r="GO15" s="52"/>
      <c r="GP15" s="28">
        <f t="shared" si="61"/>
        <v>0</v>
      </c>
      <c r="GQ15" s="28">
        <f t="shared" si="62"/>
        <v>0</v>
      </c>
      <c r="GR15" s="33"/>
      <c r="GV15" s="31"/>
      <c r="HB15" s="11">
        <v>5</v>
      </c>
      <c r="HD15" s="35">
        <f t="shared" si="14"/>
        <v>325</v>
      </c>
      <c r="HE15" s="35">
        <f t="shared" si="33"/>
        <v>0</v>
      </c>
      <c r="HF15" s="15">
        <f t="shared" si="63"/>
        <v>1.2809633812752816</v>
      </c>
      <c r="HG15" s="28">
        <f t="shared" si="64"/>
        <v>196.791015625</v>
      </c>
      <c r="HH15" s="28">
        <f t="shared" si="65"/>
        <v>153.62735461577509</v>
      </c>
      <c r="HI15" s="33"/>
      <c r="HM15" s="31"/>
      <c r="HS15" s="11">
        <v>5</v>
      </c>
      <c r="HU15" s="35">
        <f t="shared" si="15"/>
        <v>325</v>
      </c>
      <c r="HV15" s="35">
        <f t="shared" si="34"/>
        <v>0</v>
      </c>
      <c r="HW15" s="15">
        <f t="shared" si="66"/>
        <v>1.2809633812752816</v>
      </c>
      <c r="HX15" s="28">
        <f t="shared" si="67"/>
        <v>196.791015625</v>
      </c>
      <c r="HY15" s="28">
        <f t="shared" si="68"/>
        <v>153.62735461577509</v>
      </c>
      <c r="HZ15" s="33"/>
      <c r="ID15" s="31"/>
      <c r="II15" s="12"/>
      <c r="IJ15" s="11">
        <v>5</v>
      </c>
      <c r="IL15" s="35">
        <f t="shared" si="16"/>
        <v>325</v>
      </c>
      <c r="IM15" s="35">
        <f t="shared" si="17"/>
        <v>1884.1437257227012</v>
      </c>
      <c r="IN15" s="15">
        <f t="shared" si="69"/>
        <v>1.2809633812752816</v>
      </c>
      <c r="IO15" s="28">
        <f t="shared" si="70"/>
        <v>196.791015625</v>
      </c>
      <c r="IP15" s="28">
        <f t="shared" si="71"/>
        <v>153.62735461577509</v>
      </c>
      <c r="IQ15" s="33"/>
      <c r="IU15" s="31"/>
      <c r="JC15" s="35">
        <f t="shared" si="18"/>
        <v>0</v>
      </c>
      <c r="JD15" s="35">
        <f t="shared" si="19"/>
        <v>1884.1437257227012</v>
      </c>
      <c r="JE15" s="15" t="e">
        <f t="shared" si="72"/>
        <v>#DIV/0!</v>
      </c>
      <c r="JF15" s="28">
        <f t="shared" si="73"/>
        <v>0</v>
      </c>
      <c r="JG15" s="28">
        <f t="shared" si="74"/>
        <v>0</v>
      </c>
      <c r="JH15" s="33"/>
      <c r="JL15" s="31"/>
      <c r="JR15" s="99"/>
      <c r="JS15" s="99"/>
      <c r="JT15" s="99"/>
      <c r="JU15" s="99"/>
      <c r="JV15" s="99"/>
      <c r="JW15" s="99"/>
      <c r="JX15" s="99"/>
      <c r="JY15" s="99"/>
      <c r="JZ15" s="99"/>
      <c r="KA15" s="99"/>
      <c r="KB15" s="99"/>
      <c r="KC15" s="99"/>
      <c r="KD15" s="99"/>
      <c r="KE15" s="99"/>
      <c r="KF15" s="99"/>
      <c r="KG15" s="99"/>
      <c r="KH15" s="99"/>
      <c r="KI15" s="99"/>
      <c r="KJ15" s="99"/>
      <c r="KK15" s="99"/>
      <c r="KL15" s="99"/>
      <c r="KM15" s="99"/>
      <c r="KN15" s="99"/>
      <c r="KO15" s="99"/>
      <c r="KP15" s="99"/>
      <c r="KQ15" s="99"/>
      <c r="KR15" s="99"/>
      <c r="KS15" s="99"/>
      <c r="KT15" s="99"/>
      <c r="KU15" s="99"/>
      <c r="KV15" s="99"/>
      <c r="KW15" s="99"/>
      <c r="KX15" s="99"/>
      <c r="KY15" s="99"/>
      <c r="KZ15" s="99"/>
      <c r="LA15" s="99"/>
      <c r="LB15" s="99"/>
      <c r="LC15" s="99"/>
      <c r="LD15" s="99"/>
      <c r="LE15" s="99"/>
      <c r="LF15" s="99"/>
      <c r="LG15" s="99"/>
      <c r="LH15" s="99"/>
      <c r="LI15" s="99"/>
      <c r="LJ15" s="99"/>
      <c r="LK15" s="99"/>
      <c r="LL15" s="99"/>
      <c r="LM15" s="99"/>
      <c r="LN15" s="99"/>
      <c r="LO15" s="99"/>
      <c r="LP15" s="99"/>
      <c r="LQ15" s="99"/>
      <c r="LR15" s="99"/>
      <c r="LS15" s="99"/>
      <c r="LT15" s="99"/>
      <c r="LU15" s="99"/>
      <c r="LV15" s="99"/>
      <c r="LW15" s="99"/>
      <c r="LX15" s="99"/>
      <c r="LY15" s="99"/>
      <c r="LZ15" s="99"/>
      <c r="MA15" s="99"/>
      <c r="MB15" s="99"/>
      <c r="MC15" s="99"/>
      <c r="MD15" s="99"/>
      <c r="ME15" s="99"/>
      <c r="MF15" s="99"/>
    </row>
    <row r="16" spans="1:344" ht="17.25" customHeight="1" x14ac:dyDescent="0.25">
      <c r="A16" s="156"/>
      <c r="B16" s="81" t="s">
        <v>6</v>
      </c>
      <c r="C16" s="82">
        <v>45150</v>
      </c>
      <c r="D16" s="49"/>
      <c r="F16" s="103">
        <v>70</v>
      </c>
      <c r="G16" s="89">
        <f t="shared" si="0"/>
        <v>7</v>
      </c>
      <c r="H16" s="35">
        <f t="shared" si="1"/>
        <v>490</v>
      </c>
      <c r="I16" s="39"/>
      <c r="K16" s="103">
        <v>40</v>
      </c>
      <c r="L16" s="89">
        <f t="shared" si="2"/>
        <v>3</v>
      </c>
      <c r="M16" s="35">
        <f t="shared" si="20"/>
        <v>120</v>
      </c>
      <c r="N16" s="35">
        <f t="shared" si="21"/>
        <v>610</v>
      </c>
      <c r="O16" s="97"/>
      <c r="P16" s="150"/>
      <c r="Y16" s="35">
        <f t="shared" si="3"/>
        <v>0</v>
      </c>
      <c r="Z16" s="35">
        <f t="shared" si="22"/>
        <v>0</v>
      </c>
      <c r="AA16" s="52"/>
      <c r="AB16" s="43">
        <f t="shared" si="35"/>
        <v>0</v>
      </c>
      <c r="AC16" s="43">
        <f t="shared" si="36"/>
        <v>0</v>
      </c>
      <c r="AD16" s="33"/>
      <c r="AH16" s="31"/>
      <c r="AP16" s="35">
        <f t="shared" si="4"/>
        <v>0</v>
      </c>
      <c r="AQ16" s="35">
        <f t="shared" si="23"/>
        <v>0</v>
      </c>
      <c r="AR16" s="52"/>
      <c r="AS16" s="28">
        <f t="shared" si="37"/>
        <v>0</v>
      </c>
      <c r="AT16" s="28">
        <f t="shared" si="38"/>
        <v>0</v>
      </c>
      <c r="AU16" s="33"/>
      <c r="AY16" s="31"/>
      <c r="BE16" s="11">
        <v>7</v>
      </c>
      <c r="BF16" s="1">
        <v>3</v>
      </c>
      <c r="BG16" s="35">
        <f t="shared" si="5"/>
        <v>610</v>
      </c>
      <c r="BH16" s="35">
        <f t="shared" si="24"/>
        <v>0</v>
      </c>
      <c r="BI16" s="15">
        <f t="shared" si="39"/>
        <v>1.6212377375145746</v>
      </c>
      <c r="BJ16" s="28">
        <f t="shared" si="40"/>
        <v>300.09326171875</v>
      </c>
      <c r="BK16" s="28">
        <f t="shared" si="41"/>
        <v>185.10133015951476</v>
      </c>
      <c r="BL16" s="33"/>
      <c r="BP16" s="31"/>
      <c r="BV16" s="11">
        <v>7</v>
      </c>
      <c r="BW16" s="1">
        <v>3</v>
      </c>
      <c r="BX16" s="35">
        <f t="shared" si="6"/>
        <v>610</v>
      </c>
      <c r="BY16" s="35">
        <f t="shared" si="25"/>
        <v>0</v>
      </c>
      <c r="BZ16" s="15">
        <f t="shared" si="42"/>
        <v>1.6212377375145746</v>
      </c>
      <c r="CA16" s="28">
        <f t="shared" si="43"/>
        <v>300.09326171875</v>
      </c>
      <c r="CB16" s="28">
        <f t="shared" si="44"/>
        <v>185.10133015951476</v>
      </c>
      <c r="CC16" s="33"/>
      <c r="CG16" s="31"/>
      <c r="CM16" s="11">
        <v>7</v>
      </c>
      <c r="CN16" s="1">
        <v>3</v>
      </c>
      <c r="CO16" s="35">
        <f t="shared" si="7"/>
        <v>610</v>
      </c>
      <c r="CP16" s="35">
        <f t="shared" si="26"/>
        <v>0</v>
      </c>
      <c r="CQ16" s="15">
        <f t="shared" si="45"/>
        <v>1.6212377375145746</v>
      </c>
      <c r="CR16" s="28">
        <f t="shared" si="46"/>
        <v>300.09326171875</v>
      </c>
      <c r="CS16" s="28">
        <f t="shared" si="47"/>
        <v>185.10133015951476</v>
      </c>
      <c r="CT16" s="33"/>
      <c r="CX16" s="31"/>
      <c r="DD16" s="11">
        <v>7</v>
      </c>
      <c r="DE16" s="1">
        <v>3</v>
      </c>
      <c r="DF16" s="35">
        <f t="shared" si="8"/>
        <v>610</v>
      </c>
      <c r="DG16" s="35">
        <f t="shared" si="27"/>
        <v>0</v>
      </c>
      <c r="DH16" s="15">
        <f t="shared" si="48"/>
        <v>1.6212377375145746</v>
      </c>
      <c r="DI16" s="28">
        <f t="shared" si="49"/>
        <v>300.09326171875</v>
      </c>
      <c r="DJ16" s="28">
        <f t="shared" si="50"/>
        <v>185.10133015951476</v>
      </c>
      <c r="DK16" s="33"/>
      <c r="DO16" s="31"/>
      <c r="DU16" s="11">
        <v>7</v>
      </c>
      <c r="DV16" s="1">
        <v>3</v>
      </c>
      <c r="DW16" s="35">
        <f t="shared" si="9"/>
        <v>610</v>
      </c>
      <c r="DX16" s="35">
        <f t="shared" si="28"/>
        <v>0</v>
      </c>
      <c r="DY16" s="15">
        <f t="shared" si="51"/>
        <v>1.6212377375145746</v>
      </c>
      <c r="DZ16" s="28">
        <f t="shared" si="52"/>
        <v>300.09326171875</v>
      </c>
      <c r="EA16" s="28">
        <f t="shared" si="53"/>
        <v>185.10133015951476</v>
      </c>
      <c r="EB16" s="33"/>
      <c r="EF16" s="31"/>
      <c r="EN16" s="35">
        <f t="shared" si="10"/>
        <v>0</v>
      </c>
      <c r="EO16" s="35">
        <f t="shared" si="29"/>
        <v>0</v>
      </c>
      <c r="EP16" s="52"/>
      <c r="EQ16" s="28">
        <f t="shared" si="54"/>
        <v>0</v>
      </c>
      <c r="ER16" s="28">
        <f t="shared" si="55"/>
        <v>0</v>
      </c>
      <c r="ES16" s="33"/>
      <c r="EW16" s="31"/>
      <c r="FC16" s="11">
        <v>7</v>
      </c>
      <c r="FD16" s="1">
        <v>3</v>
      </c>
      <c r="FE16" s="35">
        <f t="shared" si="11"/>
        <v>610</v>
      </c>
      <c r="FF16" s="35">
        <f t="shared" si="30"/>
        <v>0</v>
      </c>
      <c r="FG16" s="15">
        <f t="shared" si="56"/>
        <v>1.6212377375145746</v>
      </c>
      <c r="FH16" s="28">
        <f t="shared" si="57"/>
        <v>300.09326171875</v>
      </c>
      <c r="FI16" s="28">
        <f t="shared" si="58"/>
        <v>185.10133015951476</v>
      </c>
      <c r="FJ16" s="33"/>
      <c r="FN16" s="31"/>
      <c r="FV16" s="35">
        <f t="shared" si="12"/>
        <v>0</v>
      </c>
      <c r="FW16" s="35">
        <f t="shared" si="31"/>
        <v>0</v>
      </c>
      <c r="FX16" s="52"/>
      <c r="FY16" s="28">
        <f t="shared" si="59"/>
        <v>0</v>
      </c>
      <c r="FZ16" s="28">
        <f t="shared" si="60"/>
        <v>0</v>
      </c>
      <c r="GA16" s="33"/>
      <c r="GE16" s="31"/>
      <c r="GM16" s="35">
        <f t="shared" si="13"/>
        <v>0</v>
      </c>
      <c r="GN16" s="35">
        <f t="shared" si="32"/>
        <v>0</v>
      </c>
      <c r="GO16" s="52"/>
      <c r="GP16" s="28">
        <f t="shared" si="61"/>
        <v>0</v>
      </c>
      <c r="GQ16" s="28">
        <f t="shared" si="62"/>
        <v>0</v>
      </c>
      <c r="GR16" s="33"/>
      <c r="GV16" s="31"/>
      <c r="HB16" s="11">
        <v>7</v>
      </c>
      <c r="HC16" s="1">
        <v>3</v>
      </c>
      <c r="HD16" s="35">
        <f t="shared" si="14"/>
        <v>610</v>
      </c>
      <c r="HE16" s="35">
        <f t="shared" si="33"/>
        <v>0</v>
      </c>
      <c r="HF16" s="15">
        <f t="shared" si="63"/>
        <v>1.6212377375145746</v>
      </c>
      <c r="HG16" s="28">
        <f t="shared" si="64"/>
        <v>300.09326171875</v>
      </c>
      <c r="HH16" s="28">
        <f t="shared" si="65"/>
        <v>185.10133015951476</v>
      </c>
      <c r="HI16" s="33"/>
      <c r="HM16" s="31"/>
      <c r="HS16" s="11">
        <v>7</v>
      </c>
      <c r="HT16" s="1">
        <v>3</v>
      </c>
      <c r="HU16" s="35">
        <f t="shared" si="15"/>
        <v>610</v>
      </c>
      <c r="HV16" s="35">
        <f t="shared" si="34"/>
        <v>0</v>
      </c>
      <c r="HW16" s="15">
        <f t="shared" si="66"/>
        <v>1.6212377375145746</v>
      </c>
      <c r="HX16" s="28">
        <f t="shared" si="67"/>
        <v>300.09326171875</v>
      </c>
      <c r="HY16" s="28">
        <f t="shared" si="68"/>
        <v>185.10133015951476</v>
      </c>
      <c r="HZ16" s="33"/>
      <c r="ID16" s="31"/>
      <c r="II16" s="12"/>
      <c r="IJ16" s="11">
        <v>7</v>
      </c>
      <c r="IK16" s="1">
        <v>3</v>
      </c>
      <c r="IL16" s="35">
        <f t="shared" si="16"/>
        <v>610</v>
      </c>
      <c r="IM16" s="35">
        <f t="shared" si="17"/>
        <v>2740.7434108851176</v>
      </c>
      <c r="IN16" s="15">
        <f t="shared" si="69"/>
        <v>1.6212377375145746</v>
      </c>
      <c r="IO16" s="28">
        <f t="shared" si="70"/>
        <v>300.09326171875</v>
      </c>
      <c r="IP16" s="28">
        <f t="shared" si="71"/>
        <v>185.10133015951476</v>
      </c>
      <c r="IQ16" s="33"/>
      <c r="IU16" s="31"/>
      <c r="JC16" s="35">
        <f t="shared" si="18"/>
        <v>0</v>
      </c>
      <c r="JD16" s="35">
        <f t="shared" si="19"/>
        <v>2740.7434108851176</v>
      </c>
      <c r="JE16" s="15" t="e">
        <f t="shared" si="72"/>
        <v>#DIV/0!</v>
      </c>
      <c r="JF16" s="28">
        <f t="shared" si="73"/>
        <v>0</v>
      </c>
      <c r="JG16" s="28">
        <f t="shared" si="74"/>
        <v>0</v>
      </c>
      <c r="JH16" s="33"/>
      <c r="JL16" s="31"/>
      <c r="JR16" s="99"/>
      <c r="JS16" s="99"/>
      <c r="JT16" s="99"/>
      <c r="JU16" s="99"/>
      <c r="JV16" s="99"/>
      <c r="JW16" s="99"/>
      <c r="JX16" s="99"/>
      <c r="JY16" s="99"/>
      <c r="JZ16" s="99"/>
      <c r="KA16" s="99"/>
      <c r="KB16" s="99"/>
      <c r="KC16" s="99"/>
      <c r="KD16" s="99"/>
      <c r="KE16" s="99"/>
      <c r="KF16" s="99"/>
      <c r="KG16" s="99"/>
      <c r="KH16" s="99"/>
      <c r="KI16" s="99"/>
      <c r="KJ16" s="99"/>
      <c r="KK16" s="99"/>
      <c r="KL16" s="99"/>
      <c r="KM16" s="99"/>
      <c r="KN16" s="99"/>
      <c r="KO16" s="99"/>
      <c r="KP16" s="99"/>
      <c r="KQ16" s="99"/>
      <c r="KR16" s="99"/>
      <c r="KS16" s="99"/>
      <c r="KT16" s="99"/>
      <c r="KU16" s="99"/>
      <c r="KV16" s="99"/>
      <c r="KW16" s="99"/>
      <c r="KX16" s="99"/>
      <c r="KY16" s="99"/>
      <c r="KZ16" s="99"/>
      <c r="LA16" s="99"/>
      <c r="LB16" s="99"/>
      <c r="LC16" s="99"/>
      <c r="LD16" s="99"/>
      <c r="LE16" s="99"/>
      <c r="LF16" s="99"/>
      <c r="LG16" s="99"/>
      <c r="LH16" s="99"/>
      <c r="LI16" s="99"/>
      <c r="LJ16" s="99"/>
      <c r="LK16" s="99"/>
      <c r="LL16" s="99"/>
      <c r="LM16" s="99"/>
      <c r="LN16" s="99"/>
      <c r="LO16" s="99"/>
      <c r="LP16" s="99"/>
      <c r="LQ16" s="99"/>
      <c r="LR16" s="99"/>
      <c r="LS16" s="99"/>
      <c r="LT16" s="99"/>
      <c r="LU16" s="99"/>
      <c r="LV16" s="99"/>
      <c r="LW16" s="99"/>
      <c r="LX16" s="99"/>
      <c r="LY16" s="99"/>
      <c r="LZ16" s="99"/>
      <c r="MA16" s="99"/>
      <c r="MB16" s="99"/>
      <c r="MC16" s="99"/>
      <c r="MD16" s="99"/>
      <c r="ME16" s="99"/>
      <c r="MF16" s="99"/>
    </row>
    <row r="17" spans="1:344" s="2" customFormat="1" ht="17.25" customHeight="1" x14ac:dyDescent="0.25">
      <c r="A17" s="157"/>
      <c r="B17" s="83" t="s">
        <v>7</v>
      </c>
      <c r="C17" s="84">
        <v>45151</v>
      </c>
      <c r="D17" s="49"/>
      <c r="E17" s="48"/>
      <c r="F17" s="104">
        <v>75</v>
      </c>
      <c r="G17" s="37">
        <f t="shared" si="0"/>
        <v>8</v>
      </c>
      <c r="H17" s="26">
        <f t="shared" si="1"/>
        <v>600</v>
      </c>
      <c r="I17" s="48"/>
      <c r="J17" s="48"/>
      <c r="K17" s="104">
        <v>40</v>
      </c>
      <c r="L17" s="37">
        <f t="shared" si="2"/>
        <v>4</v>
      </c>
      <c r="M17" s="26">
        <f t="shared" si="20"/>
        <v>160</v>
      </c>
      <c r="N17" s="26">
        <f t="shared" si="21"/>
        <v>760</v>
      </c>
      <c r="O17" s="98"/>
      <c r="P17" s="151"/>
      <c r="Q17" s="125"/>
      <c r="R17" s="115"/>
      <c r="S17" s="130"/>
      <c r="T17" s="110"/>
      <c r="U17" s="120"/>
      <c r="V17" s="23"/>
      <c r="W17" s="13"/>
      <c r="Y17" s="26">
        <f t="shared" si="3"/>
        <v>0</v>
      </c>
      <c r="Z17" s="26">
        <f t="shared" si="22"/>
        <v>0</v>
      </c>
      <c r="AA17" s="53"/>
      <c r="AB17" s="44">
        <f t="shared" si="35"/>
        <v>0</v>
      </c>
      <c r="AC17" s="44">
        <f t="shared" si="36"/>
        <v>0</v>
      </c>
      <c r="AD17" s="34"/>
      <c r="AE17" s="4"/>
      <c r="AF17" s="5"/>
      <c r="AG17" s="6"/>
      <c r="AH17" s="32"/>
      <c r="AI17" s="3"/>
      <c r="AJ17" s="4"/>
      <c r="AK17" s="5"/>
      <c r="AL17" s="6"/>
      <c r="AM17" s="14"/>
      <c r="AN17" s="13"/>
      <c r="AP17" s="26">
        <f t="shared" si="4"/>
        <v>0</v>
      </c>
      <c r="AQ17" s="26">
        <f t="shared" si="23"/>
        <v>0</v>
      </c>
      <c r="AR17" s="53"/>
      <c r="AS17" s="29">
        <f t="shared" si="37"/>
        <v>0</v>
      </c>
      <c r="AT17" s="29">
        <f t="shared" si="38"/>
        <v>0</v>
      </c>
      <c r="AU17" s="34"/>
      <c r="AV17" s="4"/>
      <c r="AW17" s="5"/>
      <c r="AX17" s="6"/>
      <c r="AY17" s="32"/>
      <c r="AZ17" s="3"/>
      <c r="BA17" s="4"/>
      <c r="BB17" s="5"/>
      <c r="BC17" s="6"/>
      <c r="BD17" s="14"/>
      <c r="BE17" s="13">
        <v>8</v>
      </c>
      <c r="BF17" s="2">
        <v>4</v>
      </c>
      <c r="BG17" s="26">
        <f t="shared" si="5"/>
        <v>760</v>
      </c>
      <c r="BH17" s="26">
        <f t="shared" si="24"/>
        <v>0</v>
      </c>
      <c r="BI17" s="16">
        <f t="shared" si="39"/>
        <v>1.8468113161750954</v>
      </c>
      <c r="BJ17" s="29">
        <f t="shared" si="40"/>
        <v>415.0699462890625</v>
      </c>
      <c r="BK17" s="29">
        <f t="shared" si="41"/>
        <v>224.74951428644479</v>
      </c>
      <c r="BL17" s="34"/>
      <c r="BM17" s="4"/>
      <c r="BN17" s="5"/>
      <c r="BO17" s="6"/>
      <c r="BP17" s="32"/>
      <c r="BQ17" s="3"/>
      <c r="BR17" s="4"/>
      <c r="BS17" s="5"/>
      <c r="BT17" s="6"/>
      <c r="BU17" s="14"/>
      <c r="BV17" s="13">
        <v>8</v>
      </c>
      <c r="BW17" s="2">
        <v>4</v>
      </c>
      <c r="BX17" s="26">
        <f t="shared" si="6"/>
        <v>760</v>
      </c>
      <c r="BY17" s="26">
        <f t="shared" si="25"/>
        <v>0</v>
      </c>
      <c r="BZ17" s="16">
        <f t="shared" si="42"/>
        <v>1.8468113161750954</v>
      </c>
      <c r="CA17" s="29">
        <f t="shared" si="43"/>
        <v>415.0699462890625</v>
      </c>
      <c r="CB17" s="29">
        <f t="shared" si="44"/>
        <v>224.74951428644479</v>
      </c>
      <c r="CC17" s="34"/>
      <c r="CD17" s="4"/>
      <c r="CE17" s="5"/>
      <c r="CF17" s="6"/>
      <c r="CG17" s="32"/>
      <c r="CH17" s="3"/>
      <c r="CI17" s="4"/>
      <c r="CJ17" s="5"/>
      <c r="CK17" s="6"/>
      <c r="CL17" s="14"/>
      <c r="CM17" s="13">
        <v>8</v>
      </c>
      <c r="CN17" s="2">
        <v>4</v>
      </c>
      <c r="CO17" s="26">
        <f t="shared" si="7"/>
        <v>760</v>
      </c>
      <c r="CP17" s="26">
        <f t="shared" si="26"/>
        <v>0</v>
      </c>
      <c r="CQ17" s="16">
        <f t="shared" si="45"/>
        <v>1.8468113161750954</v>
      </c>
      <c r="CR17" s="29">
        <f t="shared" si="46"/>
        <v>415.0699462890625</v>
      </c>
      <c r="CS17" s="29">
        <f t="shared" si="47"/>
        <v>224.74951428644479</v>
      </c>
      <c r="CT17" s="34"/>
      <c r="CU17" s="4"/>
      <c r="CV17" s="5"/>
      <c r="CW17" s="6"/>
      <c r="CX17" s="32"/>
      <c r="CY17" s="3"/>
      <c r="CZ17" s="4"/>
      <c r="DA17" s="5"/>
      <c r="DB17" s="6"/>
      <c r="DC17" s="14"/>
      <c r="DD17" s="13">
        <v>8</v>
      </c>
      <c r="DE17" s="2">
        <v>4</v>
      </c>
      <c r="DF17" s="26">
        <f t="shared" si="8"/>
        <v>760</v>
      </c>
      <c r="DG17" s="26">
        <f t="shared" si="27"/>
        <v>0</v>
      </c>
      <c r="DH17" s="16">
        <f t="shared" si="48"/>
        <v>1.8468113161750954</v>
      </c>
      <c r="DI17" s="29">
        <f t="shared" si="49"/>
        <v>415.0699462890625</v>
      </c>
      <c r="DJ17" s="29">
        <f t="shared" si="50"/>
        <v>224.74951428644479</v>
      </c>
      <c r="DK17" s="34"/>
      <c r="DL17" s="4"/>
      <c r="DM17" s="5"/>
      <c r="DN17" s="6"/>
      <c r="DO17" s="32"/>
      <c r="DP17" s="3"/>
      <c r="DQ17" s="4"/>
      <c r="DR17" s="5"/>
      <c r="DS17" s="6"/>
      <c r="DT17" s="14"/>
      <c r="DU17" s="13">
        <v>8</v>
      </c>
      <c r="DV17" s="2">
        <v>4</v>
      </c>
      <c r="DW17" s="26">
        <f t="shared" si="9"/>
        <v>760</v>
      </c>
      <c r="DX17" s="26">
        <f t="shared" si="28"/>
        <v>0</v>
      </c>
      <c r="DY17" s="16">
        <f t="shared" si="51"/>
        <v>1.8468113161750954</v>
      </c>
      <c r="DZ17" s="29">
        <f t="shared" si="52"/>
        <v>415.0699462890625</v>
      </c>
      <c r="EA17" s="29">
        <f t="shared" si="53"/>
        <v>224.74951428644479</v>
      </c>
      <c r="EB17" s="34"/>
      <c r="EC17" s="4"/>
      <c r="ED17" s="5"/>
      <c r="EE17" s="6"/>
      <c r="EF17" s="32"/>
      <c r="EG17" s="3"/>
      <c r="EH17" s="4"/>
      <c r="EI17" s="5"/>
      <c r="EJ17" s="6"/>
      <c r="EK17" s="14"/>
      <c r="EL17" s="13"/>
      <c r="EN17" s="26">
        <f t="shared" si="10"/>
        <v>0</v>
      </c>
      <c r="EO17" s="26">
        <f t="shared" si="29"/>
        <v>0</v>
      </c>
      <c r="EP17" s="53"/>
      <c r="EQ17" s="29">
        <f t="shared" si="54"/>
        <v>0</v>
      </c>
      <c r="ER17" s="29">
        <f t="shared" si="55"/>
        <v>0</v>
      </c>
      <c r="ES17" s="34"/>
      <c r="ET17" s="4"/>
      <c r="EU17" s="5"/>
      <c r="EV17" s="6"/>
      <c r="EW17" s="32"/>
      <c r="EX17" s="3"/>
      <c r="EY17" s="4"/>
      <c r="EZ17" s="5"/>
      <c r="FA17" s="6"/>
      <c r="FB17" s="14"/>
      <c r="FC17" s="13">
        <v>8</v>
      </c>
      <c r="FD17" s="2">
        <v>4</v>
      </c>
      <c r="FE17" s="26">
        <f t="shared" si="11"/>
        <v>760</v>
      </c>
      <c r="FF17" s="26">
        <f t="shared" si="30"/>
        <v>0</v>
      </c>
      <c r="FG17" s="16">
        <f t="shared" si="56"/>
        <v>1.8468113161750954</v>
      </c>
      <c r="FH17" s="29">
        <f t="shared" si="57"/>
        <v>415.0699462890625</v>
      </c>
      <c r="FI17" s="29">
        <f t="shared" si="58"/>
        <v>224.74951428644479</v>
      </c>
      <c r="FJ17" s="34"/>
      <c r="FK17" s="4"/>
      <c r="FL17" s="5"/>
      <c r="FM17" s="6"/>
      <c r="FN17" s="32"/>
      <c r="FO17" s="3"/>
      <c r="FP17" s="4"/>
      <c r="FQ17" s="5"/>
      <c r="FR17" s="6"/>
      <c r="FS17" s="14"/>
      <c r="FT17" s="13"/>
      <c r="FV17" s="26">
        <f t="shared" si="12"/>
        <v>0</v>
      </c>
      <c r="FW17" s="26">
        <f t="shared" si="31"/>
        <v>0</v>
      </c>
      <c r="FX17" s="53"/>
      <c r="FY17" s="29">
        <f t="shared" si="59"/>
        <v>0</v>
      </c>
      <c r="FZ17" s="29">
        <f t="shared" si="60"/>
        <v>0</v>
      </c>
      <c r="GA17" s="34"/>
      <c r="GB17" s="4"/>
      <c r="GC17" s="5"/>
      <c r="GD17" s="6"/>
      <c r="GE17" s="32"/>
      <c r="GF17" s="3"/>
      <c r="GG17" s="4"/>
      <c r="GH17" s="5"/>
      <c r="GI17" s="6"/>
      <c r="GJ17" s="14"/>
      <c r="GK17" s="13"/>
      <c r="GM17" s="26">
        <f t="shared" si="13"/>
        <v>0</v>
      </c>
      <c r="GN17" s="26">
        <f t="shared" si="32"/>
        <v>0</v>
      </c>
      <c r="GO17" s="53"/>
      <c r="GP17" s="29">
        <f t="shared" si="61"/>
        <v>0</v>
      </c>
      <c r="GQ17" s="29">
        <f t="shared" si="62"/>
        <v>0</v>
      </c>
      <c r="GR17" s="34"/>
      <c r="GS17" s="4"/>
      <c r="GT17" s="5"/>
      <c r="GU17" s="6"/>
      <c r="GV17" s="32"/>
      <c r="GW17" s="3"/>
      <c r="GX17" s="4"/>
      <c r="GY17" s="5"/>
      <c r="GZ17" s="6"/>
      <c r="HA17" s="14"/>
      <c r="HB17" s="13">
        <v>8</v>
      </c>
      <c r="HC17" s="2">
        <v>4</v>
      </c>
      <c r="HD17" s="26">
        <f t="shared" si="14"/>
        <v>760</v>
      </c>
      <c r="HE17" s="26">
        <f t="shared" si="33"/>
        <v>0</v>
      </c>
      <c r="HF17" s="16">
        <f t="shared" si="63"/>
        <v>1.8468113161750954</v>
      </c>
      <c r="HG17" s="29">
        <f t="shared" si="64"/>
        <v>415.0699462890625</v>
      </c>
      <c r="HH17" s="29">
        <f t="shared" si="65"/>
        <v>224.74951428644479</v>
      </c>
      <c r="HI17" s="34"/>
      <c r="HJ17" s="4"/>
      <c r="HK17" s="5"/>
      <c r="HL17" s="6"/>
      <c r="HM17" s="32"/>
      <c r="HN17" s="3"/>
      <c r="HO17" s="4"/>
      <c r="HP17" s="5"/>
      <c r="HQ17" s="6"/>
      <c r="HR17" s="14"/>
      <c r="HS17" s="13">
        <v>6</v>
      </c>
      <c r="HT17" s="2">
        <v>4</v>
      </c>
      <c r="HU17" s="26">
        <f t="shared" si="15"/>
        <v>610</v>
      </c>
      <c r="HV17" s="26">
        <f t="shared" si="34"/>
        <v>0</v>
      </c>
      <c r="HW17" s="16">
        <f t="shared" si="66"/>
        <v>1.7610153588524311</v>
      </c>
      <c r="HX17" s="29">
        <f t="shared" si="67"/>
        <v>377.5699462890625</v>
      </c>
      <c r="HY17" s="29">
        <f t="shared" si="68"/>
        <v>214.4046867002379</v>
      </c>
      <c r="HZ17" s="34"/>
      <c r="IA17" s="4"/>
      <c r="IB17" s="5"/>
      <c r="IC17" s="6"/>
      <c r="ID17" s="32"/>
      <c r="IE17" s="3"/>
      <c r="IF17" s="4"/>
      <c r="IG17" s="5"/>
      <c r="IH17" s="6"/>
      <c r="II17" s="14"/>
      <c r="IJ17" s="13">
        <v>7</v>
      </c>
      <c r="IK17" s="2">
        <v>4</v>
      </c>
      <c r="IL17" s="26">
        <f t="shared" si="16"/>
        <v>685</v>
      </c>
      <c r="IM17" s="26">
        <f t="shared" si="17"/>
        <v>3549.5677905369994</v>
      </c>
      <c r="IN17" s="16">
        <f t="shared" si="69"/>
        <v>1.8049238531641913</v>
      </c>
      <c r="IO17" s="29">
        <f t="shared" si="70"/>
        <v>396.3199462890625</v>
      </c>
      <c r="IP17" s="29">
        <f t="shared" si="71"/>
        <v>219.57710049334133</v>
      </c>
      <c r="IQ17" s="34"/>
      <c r="IR17" s="4"/>
      <c r="IS17" s="5"/>
      <c r="IT17" s="6"/>
      <c r="IU17" s="32"/>
      <c r="IV17" s="3"/>
      <c r="IW17" s="4"/>
      <c r="IX17" s="5"/>
      <c r="IY17" s="6"/>
      <c r="IZ17" s="14"/>
      <c r="JA17" s="13"/>
      <c r="JC17" s="26">
        <f t="shared" si="18"/>
        <v>0</v>
      </c>
      <c r="JD17" s="26">
        <f t="shared" si="19"/>
        <v>3549.5677905369994</v>
      </c>
      <c r="JE17" s="16" t="e">
        <f t="shared" si="72"/>
        <v>#DIV/0!</v>
      </c>
      <c r="JF17" s="29">
        <f t="shared" si="73"/>
        <v>0</v>
      </c>
      <c r="JG17" s="29">
        <f t="shared" si="74"/>
        <v>0</v>
      </c>
      <c r="JH17" s="34"/>
      <c r="JI17" s="4"/>
      <c r="JJ17" s="5"/>
      <c r="JK17" s="6"/>
      <c r="JL17" s="32"/>
      <c r="JM17" s="3"/>
      <c r="JN17" s="4"/>
      <c r="JO17" s="5"/>
      <c r="JP17" s="6"/>
      <c r="JQ17" s="14"/>
      <c r="JR17" s="99"/>
      <c r="JS17" s="99"/>
      <c r="JT17" s="99"/>
      <c r="JU17" s="99"/>
      <c r="JV17" s="99"/>
      <c r="JW17" s="99"/>
      <c r="JX17" s="99"/>
      <c r="JY17" s="99"/>
      <c r="JZ17" s="99"/>
      <c r="KA17" s="99"/>
      <c r="KB17" s="99"/>
      <c r="KC17" s="99"/>
      <c r="KD17" s="99"/>
      <c r="KE17" s="99"/>
      <c r="KF17" s="99"/>
      <c r="KG17" s="99"/>
      <c r="KH17" s="99"/>
      <c r="KI17" s="99"/>
      <c r="KJ17" s="99"/>
      <c r="KK17" s="99"/>
      <c r="KL17" s="99"/>
      <c r="KM17" s="99"/>
      <c r="KN17" s="99"/>
      <c r="KO17" s="99"/>
      <c r="KP17" s="99"/>
      <c r="KQ17" s="99"/>
      <c r="KR17" s="99"/>
      <c r="KS17" s="99"/>
      <c r="KT17" s="99"/>
      <c r="KU17" s="99"/>
      <c r="KV17" s="99"/>
      <c r="KW17" s="99"/>
      <c r="KX17" s="99"/>
      <c r="KY17" s="99"/>
      <c r="KZ17" s="99"/>
      <c r="LA17" s="99"/>
      <c r="LB17" s="99"/>
      <c r="LC17" s="99"/>
      <c r="LD17" s="99"/>
      <c r="LE17" s="99"/>
      <c r="LF17" s="99"/>
      <c r="LG17" s="99"/>
      <c r="LH17" s="99"/>
      <c r="LI17" s="99"/>
      <c r="LJ17" s="99"/>
      <c r="LK17" s="99"/>
      <c r="LL17" s="99"/>
      <c r="LM17" s="99"/>
      <c r="LN17" s="99"/>
      <c r="LO17" s="99"/>
      <c r="LP17" s="99"/>
      <c r="LQ17" s="99"/>
      <c r="LR17" s="99"/>
      <c r="LS17" s="99"/>
      <c r="LT17" s="99"/>
      <c r="LU17" s="99"/>
      <c r="LV17" s="99"/>
      <c r="LW17" s="99"/>
      <c r="LX17" s="99"/>
      <c r="LY17" s="99"/>
      <c r="LZ17" s="99"/>
      <c r="MA17" s="99"/>
      <c r="MB17" s="99"/>
      <c r="MC17" s="99"/>
      <c r="MD17" s="99"/>
      <c r="ME17" s="99"/>
      <c r="MF17" s="99"/>
    </row>
    <row r="18" spans="1:344" ht="17.25" customHeight="1" x14ac:dyDescent="0.25">
      <c r="A18" s="155" t="s">
        <v>8</v>
      </c>
      <c r="B18" s="79" t="s">
        <v>1</v>
      </c>
      <c r="C18" s="80">
        <v>45152</v>
      </c>
      <c r="D18" s="50"/>
      <c r="G18" s="36">
        <f t="shared" si="0"/>
        <v>0</v>
      </c>
      <c r="H18" s="27">
        <f t="shared" si="1"/>
        <v>0</v>
      </c>
      <c r="I18" s="47"/>
      <c r="K18" s="105">
        <v>70</v>
      </c>
      <c r="L18" s="89">
        <f t="shared" si="2"/>
        <v>6</v>
      </c>
      <c r="M18" s="27">
        <f t="shared" si="20"/>
        <v>420</v>
      </c>
      <c r="N18" s="35">
        <f t="shared" si="21"/>
        <v>420</v>
      </c>
      <c r="O18" s="97"/>
      <c r="P18" s="149">
        <f>SUM(N18:N24)</f>
        <v>2945</v>
      </c>
      <c r="W18" s="11">
        <v>0</v>
      </c>
      <c r="Y18" s="27">
        <f t="shared" si="3"/>
        <v>0</v>
      </c>
      <c r="Z18" s="27">
        <f t="shared" si="22"/>
        <v>0</v>
      </c>
      <c r="AA18" s="52"/>
      <c r="AB18" s="43">
        <f t="shared" si="35"/>
        <v>0</v>
      </c>
      <c r="AC18" s="43">
        <f t="shared" si="36"/>
        <v>0</v>
      </c>
      <c r="AD18" s="33"/>
      <c r="AH18" s="31"/>
      <c r="AP18" s="27">
        <f t="shared" si="4"/>
        <v>0</v>
      </c>
      <c r="AQ18" s="27">
        <f t="shared" si="23"/>
        <v>0</v>
      </c>
      <c r="AR18" s="52"/>
      <c r="AS18" s="28">
        <f t="shared" si="37"/>
        <v>0</v>
      </c>
      <c r="AT18" s="28">
        <f t="shared" si="38"/>
        <v>0</v>
      </c>
      <c r="AU18" s="33"/>
      <c r="AY18" s="31"/>
      <c r="BF18" s="1">
        <v>5</v>
      </c>
      <c r="BG18" s="27">
        <f t="shared" si="5"/>
        <v>350</v>
      </c>
      <c r="BH18" s="27">
        <f t="shared" si="24"/>
        <v>0</v>
      </c>
      <c r="BI18" s="15">
        <f t="shared" si="39"/>
        <v>1.7087568782003211</v>
      </c>
      <c r="BJ18" s="28">
        <f t="shared" si="40"/>
        <v>398.80245971679688</v>
      </c>
      <c r="BK18" s="28">
        <f t="shared" si="41"/>
        <v>233.38747881841411</v>
      </c>
      <c r="BL18" s="33"/>
      <c r="BP18" s="31"/>
      <c r="BW18" s="1">
        <v>6</v>
      </c>
      <c r="BX18" s="27">
        <f t="shared" si="6"/>
        <v>420</v>
      </c>
      <c r="BY18" s="27">
        <f t="shared" si="25"/>
        <v>0</v>
      </c>
      <c r="BZ18" s="15">
        <f t="shared" si="42"/>
        <v>1.7475908153523549</v>
      </c>
      <c r="CA18" s="28">
        <f t="shared" si="43"/>
        <v>416.30245971679688</v>
      </c>
      <c r="CB18" s="28">
        <f t="shared" si="44"/>
        <v>238.21506502531065</v>
      </c>
      <c r="CC18" s="33"/>
      <c r="CG18" s="31"/>
      <c r="CN18" s="1">
        <v>6</v>
      </c>
      <c r="CO18" s="27">
        <f t="shared" si="7"/>
        <v>420</v>
      </c>
      <c r="CP18" s="27">
        <f t="shared" si="26"/>
        <v>0</v>
      </c>
      <c r="CQ18" s="15">
        <f t="shared" si="45"/>
        <v>1.7475908153523549</v>
      </c>
      <c r="CR18" s="28">
        <f t="shared" si="46"/>
        <v>416.30245971679688</v>
      </c>
      <c r="CS18" s="28">
        <f t="shared" si="47"/>
        <v>238.21506502531065</v>
      </c>
      <c r="CT18" s="33"/>
      <c r="CX18" s="31"/>
      <c r="DE18" s="1">
        <v>6</v>
      </c>
      <c r="DF18" s="27">
        <f t="shared" si="8"/>
        <v>420</v>
      </c>
      <c r="DG18" s="27">
        <f t="shared" si="27"/>
        <v>0</v>
      </c>
      <c r="DH18" s="15">
        <f t="shared" si="48"/>
        <v>1.7475908153523549</v>
      </c>
      <c r="DI18" s="28">
        <f t="shared" si="49"/>
        <v>416.30245971679688</v>
      </c>
      <c r="DJ18" s="28">
        <f t="shared" si="50"/>
        <v>238.21506502531065</v>
      </c>
      <c r="DK18" s="33"/>
      <c r="DO18" s="31"/>
      <c r="DV18" s="1">
        <v>6</v>
      </c>
      <c r="DW18" s="27">
        <f t="shared" si="9"/>
        <v>420</v>
      </c>
      <c r="DX18" s="27">
        <f t="shared" si="28"/>
        <v>0</v>
      </c>
      <c r="DY18" s="15">
        <f t="shared" si="51"/>
        <v>1.7475908153523549</v>
      </c>
      <c r="DZ18" s="28">
        <f t="shared" si="52"/>
        <v>416.30245971679688</v>
      </c>
      <c r="EA18" s="28">
        <f t="shared" si="53"/>
        <v>238.21506502531065</v>
      </c>
      <c r="EB18" s="33"/>
      <c r="EF18" s="31"/>
      <c r="EN18" s="27">
        <f t="shared" si="10"/>
        <v>0</v>
      </c>
      <c r="EO18" s="27">
        <f t="shared" si="29"/>
        <v>0</v>
      </c>
      <c r="EP18" s="52"/>
      <c r="EQ18" s="28">
        <f t="shared" si="54"/>
        <v>0</v>
      </c>
      <c r="ER18" s="28">
        <f t="shared" si="55"/>
        <v>0</v>
      </c>
      <c r="ES18" s="33"/>
      <c r="EW18" s="31"/>
      <c r="FD18" s="1">
        <v>7</v>
      </c>
      <c r="FE18" s="27">
        <f t="shared" si="11"/>
        <v>490</v>
      </c>
      <c r="FF18" s="27">
        <f t="shared" si="30"/>
        <v>0</v>
      </c>
      <c r="FG18" s="15">
        <f t="shared" si="56"/>
        <v>1.7848820259220033</v>
      </c>
      <c r="FH18" s="28">
        <f t="shared" si="57"/>
        <v>433.80245971679688</v>
      </c>
      <c r="FI18" s="28">
        <f t="shared" si="58"/>
        <v>243.04265123220722</v>
      </c>
      <c r="FJ18" s="33"/>
      <c r="FN18" s="31"/>
      <c r="FV18" s="27">
        <f t="shared" si="12"/>
        <v>0</v>
      </c>
      <c r="FW18" s="27">
        <f t="shared" si="31"/>
        <v>0</v>
      </c>
      <c r="FX18" s="52"/>
      <c r="FY18" s="28">
        <f t="shared" si="59"/>
        <v>0</v>
      </c>
      <c r="FZ18" s="28">
        <f t="shared" si="60"/>
        <v>0</v>
      </c>
      <c r="GA18" s="33"/>
      <c r="GE18" s="31"/>
      <c r="GM18" s="27">
        <f t="shared" si="13"/>
        <v>0</v>
      </c>
      <c r="GN18" s="27">
        <f t="shared" si="32"/>
        <v>0</v>
      </c>
      <c r="GO18" s="52"/>
      <c r="GP18" s="28">
        <f t="shared" si="61"/>
        <v>0</v>
      </c>
      <c r="GQ18" s="28">
        <f t="shared" si="62"/>
        <v>0</v>
      </c>
      <c r="GR18" s="33"/>
      <c r="GV18" s="31"/>
      <c r="HC18" s="1">
        <v>6</v>
      </c>
      <c r="HD18" s="27">
        <f t="shared" si="14"/>
        <v>420</v>
      </c>
      <c r="HE18" s="27">
        <f t="shared" si="33"/>
        <v>0</v>
      </c>
      <c r="HF18" s="15">
        <f t="shared" si="63"/>
        <v>1.7475908153523549</v>
      </c>
      <c r="HG18" s="28">
        <f t="shared" si="64"/>
        <v>416.30245971679688</v>
      </c>
      <c r="HH18" s="28">
        <f t="shared" si="65"/>
        <v>238.21506502531065</v>
      </c>
      <c r="HI18" s="33"/>
      <c r="HM18" s="31"/>
      <c r="HT18" s="1">
        <v>5</v>
      </c>
      <c r="HU18" s="27">
        <f t="shared" si="15"/>
        <v>350</v>
      </c>
      <c r="HV18" s="27">
        <f t="shared" si="34"/>
        <v>0</v>
      </c>
      <c r="HW18" s="15">
        <f t="shared" si="66"/>
        <v>1.656613965965088</v>
      </c>
      <c r="HX18" s="28">
        <f t="shared" si="67"/>
        <v>370.67745971679688</v>
      </c>
      <c r="HY18" s="28">
        <f t="shared" si="68"/>
        <v>223.75608761746287</v>
      </c>
      <c r="HZ18" s="33"/>
      <c r="ID18" s="31"/>
      <c r="II18" s="12"/>
      <c r="IK18" s="1">
        <v>7</v>
      </c>
      <c r="IL18" s="27">
        <f t="shared" si="16"/>
        <v>490</v>
      </c>
      <c r="IM18" s="27">
        <f t="shared" si="17"/>
        <v>3281.5279364397979</v>
      </c>
      <c r="IN18" s="15">
        <f t="shared" si="69"/>
        <v>1.7619331053605083</v>
      </c>
      <c r="IO18" s="28">
        <f t="shared" si="70"/>
        <v>419.73995971679688</v>
      </c>
      <c r="IP18" s="28">
        <f t="shared" si="71"/>
        <v>238.22695563173158</v>
      </c>
      <c r="IQ18" s="33"/>
      <c r="IU18" s="31"/>
      <c r="JC18" s="27">
        <f t="shared" si="18"/>
        <v>0</v>
      </c>
      <c r="JD18" s="27">
        <f t="shared" si="19"/>
        <v>3281.5279364397979</v>
      </c>
      <c r="JE18" s="15" t="e">
        <f t="shared" si="72"/>
        <v>#DIV/0!</v>
      </c>
      <c r="JF18" s="28">
        <f t="shared" si="73"/>
        <v>0</v>
      </c>
      <c r="JG18" s="28">
        <f t="shared" si="74"/>
        <v>0</v>
      </c>
      <c r="JH18" s="33"/>
      <c r="JL18" s="31"/>
      <c r="JR18" s="99"/>
      <c r="JS18" s="99"/>
      <c r="JT18" s="99"/>
      <c r="JU18" s="99"/>
      <c r="JV18" s="99"/>
      <c r="JW18" s="99"/>
      <c r="JX18" s="99"/>
      <c r="JY18" s="99"/>
      <c r="JZ18" s="99"/>
      <c r="KA18" s="99"/>
      <c r="KB18" s="99"/>
      <c r="KC18" s="99"/>
      <c r="KD18" s="99"/>
      <c r="KE18" s="99"/>
      <c r="KF18" s="99"/>
      <c r="KG18" s="99"/>
      <c r="KH18" s="99"/>
      <c r="KI18" s="99"/>
      <c r="KJ18" s="99"/>
      <c r="KK18" s="99"/>
      <c r="KL18" s="99"/>
      <c r="KM18" s="99"/>
      <c r="KN18" s="99"/>
      <c r="KO18" s="99"/>
      <c r="KP18" s="99"/>
      <c r="KQ18" s="99"/>
      <c r="KR18" s="99"/>
      <c r="KS18" s="99"/>
      <c r="KT18" s="99"/>
      <c r="KU18" s="99"/>
      <c r="KV18" s="99"/>
      <c r="KW18" s="99"/>
      <c r="KX18" s="99"/>
      <c r="KY18" s="99"/>
      <c r="KZ18" s="99"/>
      <c r="LA18" s="99"/>
      <c r="LB18" s="99"/>
      <c r="LC18" s="99"/>
      <c r="LD18" s="99"/>
      <c r="LE18" s="99"/>
      <c r="LF18" s="99"/>
      <c r="LG18" s="99"/>
      <c r="LH18" s="99"/>
      <c r="LI18" s="99"/>
      <c r="LJ18" s="99"/>
      <c r="LK18" s="99"/>
      <c r="LL18" s="99"/>
      <c r="LM18" s="99"/>
      <c r="LN18" s="99"/>
      <c r="LO18" s="99"/>
      <c r="LP18" s="99"/>
      <c r="LQ18" s="99"/>
      <c r="LR18" s="99"/>
      <c r="LS18" s="99"/>
      <c r="LT18" s="99"/>
      <c r="LU18" s="99"/>
      <c r="LV18" s="99"/>
      <c r="LW18" s="99"/>
      <c r="LX18" s="99"/>
      <c r="LY18" s="99"/>
      <c r="LZ18" s="99"/>
      <c r="MA18" s="99"/>
      <c r="MB18" s="99"/>
      <c r="MC18" s="99"/>
      <c r="MD18" s="99"/>
      <c r="ME18" s="99"/>
      <c r="MF18" s="99"/>
    </row>
    <row r="19" spans="1:344" ht="17.25" customHeight="1" x14ac:dyDescent="0.25">
      <c r="A19" s="156"/>
      <c r="B19" s="81" t="s">
        <v>2</v>
      </c>
      <c r="C19" s="82">
        <v>45153</v>
      </c>
      <c r="D19" s="49"/>
      <c r="G19" s="89">
        <f t="shared" si="0"/>
        <v>0</v>
      </c>
      <c r="H19" s="35">
        <f t="shared" si="1"/>
        <v>0</v>
      </c>
      <c r="I19" s="39"/>
      <c r="K19" s="103">
        <v>85</v>
      </c>
      <c r="L19" s="89">
        <f t="shared" si="2"/>
        <v>5.833333333333333</v>
      </c>
      <c r="M19" s="35">
        <f t="shared" si="20"/>
        <v>495.83333333333331</v>
      </c>
      <c r="N19" s="35">
        <f t="shared" si="21"/>
        <v>495.83333333333331</v>
      </c>
      <c r="O19" s="97"/>
      <c r="P19" s="150"/>
      <c r="W19" s="11">
        <v>0</v>
      </c>
      <c r="Y19" s="35">
        <f t="shared" si="3"/>
        <v>0</v>
      </c>
      <c r="Z19" s="35">
        <f t="shared" si="22"/>
        <v>0</v>
      </c>
      <c r="AA19" s="52"/>
      <c r="AB19" s="43">
        <f t="shared" ref="AB19:AB23" si="75">Y19*(2/(7+1))+((1-(2/(7+1)))*AB18)</f>
        <v>0</v>
      </c>
      <c r="AC19" s="43">
        <f t="shared" ref="AC19:AC23" si="76">Y19*(2/(28+1))+((1-(2/(28+1)))*AC18)</f>
        <v>0</v>
      </c>
      <c r="AD19" s="33"/>
      <c r="AH19" s="31"/>
      <c r="AP19" s="35">
        <f t="shared" si="4"/>
        <v>0</v>
      </c>
      <c r="AQ19" s="35">
        <f t="shared" si="23"/>
        <v>0</v>
      </c>
      <c r="AR19" s="52"/>
      <c r="AS19" s="28">
        <f t="shared" si="37"/>
        <v>0</v>
      </c>
      <c r="AT19" s="28">
        <f t="shared" si="38"/>
        <v>0</v>
      </c>
      <c r="AU19" s="33"/>
      <c r="AY19" s="31"/>
      <c r="BF19" s="1">
        <v>6</v>
      </c>
      <c r="BG19" s="35">
        <f t="shared" si="5"/>
        <v>510</v>
      </c>
      <c r="BH19" s="35">
        <f t="shared" si="24"/>
        <v>0</v>
      </c>
      <c r="BI19" s="15">
        <f t="shared" si="39"/>
        <v>1.6897518037160133</v>
      </c>
      <c r="BJ19" s="28">
        <f t="shared" si="40"/>
        <v>426.60184478759766</v>
      </c>
      <c r="BK19" s="28">
        <f t="shared" si="41"/>
        <v>252.46420441714417</v>
      </c>
      <c r="BL19" s="33"/>
      <c r="BP19" s="31"/>
      <c r="BW19" s="1">
        <v>6</v>
      </c>
      <c r="BX19" s="35">
        <f t="shared" si="6"/>
        <v>510</v>
      </c>
      <c r="BY19" s="35">
        <f t="shared" si="25"/>
        <v>0</v>
      </c>
      <c r="BZ19" s="15">
        <f t="shared" si="42"/>
        <v>1.7112733752944549</v>
      </c>
      <c r="CA19" s="28">
        <f t="shared" si="43"/>
        <v>439.72684478759766</v>
      </c>
      <c r="CB19" s="28">
        <f t="shared" si="44"/>
        <v>256.95885364425476</v>
      </c>
      <c r="CC19" s="33"/>
      <c r="CG19" s="31"/>
      <c r="CN19" s="1">
        <v>6</v>
      </c>
      <c r="CO19" s="35">
        <f t="shared" si="7"/>
        <v>510</v>
      </c>
      <c r="CP19" s="35">
        <f t="shared" si="26"/>
        <v>0</v>
      </c>
      <c r="CQ19" s="15">
        <f t="shared" si="45"/>
        <v>1.7112733752944549</v>
      </c>
      <c r="CR19" s="28">
        <f t="shared" si="46"/>
        <v>439.72684478759766</v>
      </c>
      <c r="CS19" s="28">
        <f t="shared" si="47"/>
        <v>256.95885364425476</v>
      </c>
      <c r="CT19" s="33"/>
      <c r="CX19" s="31"/>
      <c r="DE19" s="1">
        <v>5</v>
      </c>
      <c r="DF19" s="35">
        <f t="shared" si="8"/>
        <v>425</v>
      </c>
      <c r="DG19" s="35">
        <f t="shared" si="27"/>
        <v>0</v>
      </c>
      <c r="DH19" s="15">
        <f t="shared" si="48"/>
        <v>1.6665957922281338</v>
      </c>
      <c r="DI19" s="28">
        <f t="shared" si="49"/>
        <v>418.47684478759766</v>
      </c>
      <c r="DJ19" s="28">
        <f t="shared" si="50"/>
        <v>251.09678467873749</v>
      </c>
      <c r="DK19" s="33"/>
      <c r="DO19" s="31"/>
      <c r="DV19" s="1">
        <v>5</v>
      </c>
      <c r="DW19" s="35">
        <f t="shared" si="9"/>
        <v>425</v>
      </c>
      <c r="DX19" s="35">
        <f t="shared" si="28"/>
        <v>0</v>
      </c>
      <c r="DY19" s="15">
        <f t="shared" si="51"/>
        <v>1.6665957922281338</v>
      </c>
      <c r="DZ19" s="28">
        <f t="shared" si="52"/>
        <v>418.47684478759766</v>
      </c>
      <c r="EA19" s="28">
        <f t="shared" si="53"/>
        <v>251.09678467873749</v>
      </c>
      <c r="EB19" s="33"/>
      <c r="EF19" s="31"/>
      <c r="EN19" s="35">
        <f t="shared" si="10"/>
        <v>0</v>
      </c>
      <c r="EO19" s="35">
        <f t="shared" si="29"/>
        <v>0</v>
      </c>
      <c r="EP19" s="52"/>
      <c r="EQ19" s="28">
        <f t="shared" si="54"/>
        <v>0</v>
      </c>
      <c r="ER19" s="28">
        <f t="shared" si="55"/>
        <v>0</v>
      </c>
      <c r="ES19" s="33"/>
      <c r="EW19" s="31"/>
      <c r="FD19" s="1">
        <v>7</v>
      </c>
      <c r="FE19" s="35">
        <f t="shared" si="11"/>
        <v>595</v>
      </c>
      <c r="FF19" s="35">
        <f t="shared" si="30"/>
        <v>0</v>
      </c>
      <c r="FG19" s="15">
        <f t="shared" si="56"/>
        <v>1.7735661320803908</v>
      </c>
      <c r="FH19" s="28">
        <f t="shared" si="57"/>
        <v>474.10184478759766</v>
      </c>
      <c r="FI19" s="28">
        <f t="shared" si="58"/>
        <v>267.31557183688255</v>
      </c>
      <c r="FJ19" s="33"/>
      <c r="FN19" s="31"/>
      <c r="FV19" s="35">
        <f t="shared" si="12"/>
        <v>0</v>
      </c>
      <c r="FW19" s="35">
        <f t="shared" si="31"/>
        <v>0</v>
      </c>
      <c r="FX19" s="52"/>
      <c r="FY19" s="28">
        <f t="shared" si="59"/>
        <v>0</v>
      </c>
      <c r="FZ19" s="28">
        <f t="shared" si="60"/>
        <v>0</v>
      </c>
      <c r="GA19" s="33"/>
      <c r="GE19" s="31"/>
      <c r="GM19" s="35">
        <f t="shared" si="13"/>
        <v>0</v>
      </c>
      <c r="GN19" s="35">
        <f t="shared" si="32"/>
        <v>0</v>
      </c>
      <c r="GO19" s="52"/>
      <c r="GP19" s="28">
        <f t="shared" si="61"/>
        <v>0</v>
      </c>
      <c r="GQ19" s="28">
        <f t="shared" si="62"/>
        <v>0</v>
      </c>
      <c r="GR19" s="33"/>
      <c r="GV19" s="31"/>
      <c r="HC19" s="1">
        <v>5</v>
      </c>
      <c r="HD19" s="35">
        <f t="shared" si="14"/>
        <v>425</v>
      </c>
      <c r="HE19" s="35">
        <f t="shared" si="33"/>
        <v>0</v>
      </c>
      <c r="HF19" s="15">
        <f t="shared" si="63"/>
        <v>1.6665957922281338</v>
      </c>
      <c r="HG19" s="28">
        <f t="shared" si="64"/>
        <v>418.47684478759766</v>
      </c>
      <c r="HH19" s="28">
        <f t="shared" si="65"/>
        <v>251.09678467873749</v>
      </c>
      <c r="HI19" s="33"/>
      <c r="HM19" s="31"/>
      <c r="HT19" s="1">
        <v>5</v>
      </c>
      <c r="HU19" s="35">
        <f t="shared" si="15"/>
        <v>425</v>
      </c>
      <c r="HV19" s="35">
        <f t="shared" si="34"/>
        <v>0</v>
      </c>
      <c r="HW19" s="15">
        <f t="shared" si="66"/>
        <v>1.6170098266547224</v>
      </c>
      <c r="HX19" s="28">
        <f t="shared" si="67"/>
        <v>384.25809478759766</v>
      </c>
      <c r="HY19" s="28">
        <f t="shared" si="68"/>
        <v>237.63497812660336</v>
      </c>
      <c r="HZ19" s="33"/>
      <c r="ID19" s="31"/>
      <c r="II19" s="12"/>
      <c r="IK19" s="1">
        <v>6</v>
      </c>
      <c r="IL19" s="35">
        <f t="shared" si="16"/>
        <v>510</v>
      </c>
      <c r="IM19" s="35">
        <f t="shared" si="17"/>
        <v>3558.8354674975476</v>
      </c>
      <c r="IN19" s="15">
        <f t="shared" si="69"/>
        <v>1.7212324405252664</v>
      </c>
      <c r="IO19" s="28">
        <f t="shared" si="70"/>
        <v>442.30496978759766</v>
      </c>
      <c r="IP19" s="28">
        <f t="shared" si="71"/>
        <v>256.96992420885351</v>
      </c>
      <c r="IQ19" s="33"/>
      <c r="IU19" s="31"/>
      <c r="JC19" s="35">
        <f t="shared" si="18"/>
        <v>0</v>
      </c>
      <c r="JD19" s="35">
        <f t="shared" si="19"/>
        <v>3558.8354674975476</v>
      </c>
      <c r="JE19" s="15" t="e">
        <f t="shared" si="72"/>
        <v>#DIV/0!</v>
      </c>
      <c r="JF19" s="28">
        <f t="shared" si="73"/>
        <v>0</v>
      </c>
      <c r="JG19" s="28">
        <f t="shared" si="74"/>
        <v>0</v>
      </c>
      <c r="JH19" s="33"/>
      <c r="JL19" s="31"/>
      <c r="JR19" s="99"/>
      <c r="JS19" s="99"/>
      <c r="JT19" s="99"/>
      <c r="JU19" s="99"/>
      <c r="JV19" s="99"/>
      <c r="JW19" s="99"/>
      <c r="JX19" s="99"/>
      <c r="JY19" s="99"/>
      <c r="JZ19" s="99"/>
      <c r="KA19" s="99"/>
      <c r="KB19" s="99"/>
      <c r="KC19" s="99"/>
      <c r="KD19" s="99"/>
      <c r="KE19" s="99"/>
      <c r="KF19" s="99"/>
      <c r="KG19" s="99"/>
      <c r="KH19" s="99"/>
      <c r="KI19" s="99"/>
      <c r="KJ19" s="99"/>
      <c r="KK19" s="99"/>
      <c r="KL19" s="99"/>
      <c r="KM19" s="99"/>
      <c r="KN19" s="99"/>
      <c r="KO19" s="99"/>
      <c r="KP19" s="99"/>
      <c r="KQ19" s="99"/>
      <c r="KR19" s="99"/>
      <c r="KS19" s="99"/>
      <c r="KT19" s="99"/>
      <c r="KU19" s="99"/>
      <c r="KV19" s="99"/>
      <c r="KW19" s="99"/>
      <c r="KX19" s="99"/>
      <c r="KY19" s="99"/>
      <c r="KZ19" s="99"/>
      <c r="LA19" s="99"/>
      <c r="LB19" s="99"/>
      <c r="LC19" s="99"/>
      <c r="LD19" s="99"/>
      <c r="LE19" s="99"/>
      <c r="LF19" s="99"/>
      <c r="LG19" s="99"/>
      <c r="LH19" s="99"/>
      <c r="LI19" s="99"/>
      <c r="LJ19" s="99"/>
      <c r="LK19" s="99"/>
      <c r="LL19" s="99"/>
      <c r="LM19" s="99"/>
      <c r="LN19" s="99"/>
      <c r="LO19" s="99"/>
      <c r="LP19" s="99"/>
      <c r="LQ19" s="99"/>
      <c r="LR19" s="99"/>
      <c r="LS19" s="99"/>
      <c r="LT19" s="99"/>
      <c r="LU19" s="99"/>
      <c r="LV19" s="99"/>
      <c r="LW19" s="99"/>
      <c r="LX19" s="99"/>
      <c r="LY19" s="99"/>
      <c r="LZ19" s="99"/>
      <c r="MA19" s="99"/>
      <c r="MB19" s="99"/>
      <c r="MC19" s="99"/>
      <c r="MD19" s="99"/>
      <c r="ME19" s="99"/>
      <c r="MF19" s="99"/>
    </row>
    <row r="20" spans="1:344" ht="17.25" customHeight="1" x14ac:dyDescent="0.25">
      <c r="A20" s="156"/>
      <c r="B20" s="81" t="s">
        <v>3</v>
      </c>
      <c r="C20" s="82">
        <v>45154</v>
      </c>
      <c r="D20" s="49"/>
      <c r="G20" s="89">
        <f t="shared" si="0"/>
        <v>0</v>
      </c>
      <c r="H20" s="35">
        <f t="shared" si="1"/>
        <v>0</v>
      </c>
      <c r="I20" s="39"/>
      <c r="K20" s="103">
        <v>70</v>
      </c>
      <c r="L20" s="89">
        <f t="shared" si="2"/>
        <v>6.666666666666667</v>
      </c>
      <c r="M20" s="35">
        <f t="shared" si="20"/>
        <v>466.66666666666669</v>
      </c>
      <c r="N20" s="35">
        <f t="shared" si="21"/>
        <v>466.66666666666669</v>
      </c>
      <c r="O20" s="97"/>
      <c r="P20" s="150"/>
      <c r="W20" s="11">
        <v>0</v>
      </c>
      <c r="Y20" s="35">
        <f t="shared" si="3"/>
        <v>0</v>
      </c>
      <c r="Z20" s="35">
        <f t="shared" si="22"/>
        <v>0</v>
      </c>
      <c r="AA20" s="52"/>
      <c r="AB20" s="43">
        <f t="shared" si="75"/>
        <v>0</v>
      </c>
      <c r="AC20" s="43">
        <f t="shared" si="76"/>
        <v>0</v>
      </c>
      <c r="AD20" s="33"/>
      <c r="AH20" s="31"/>
      <c r="AP20" s="35">
        <f t="shared" si="4"/>
        <v>0</v>
      </c>
      <c r="AQ20" s="35">
        <f t="shared" si="23"/>
        <v>0</v>
      </c>
      <c r="AR20" s="52"/>
      <c r="AS20" s="28">
        <f t="shared" si="37"/>
        <v>0</v>
      </c>
      <c r="AT20" s="28">
        <f t="shared" si="38"/>
        <v>0</v>
      </c>
      <c r="AU20" s="33"/>
      <c r="AY20" s="31"/>
      <c r="BF20" s="1">
        <v>7</v>
      </c>
      <c r="BG20" s="35">
        <f t="shared" si="5"/>
        <v>490</v>
      </c>
      <c r="BH20" s="35">
        <f t="shared" si="24"/>
        <v>0</v>
      </c>
      <c r="BI20" s="15">
        <f t="shared" si="39"/>
        <v>1.645742956459878</v>
      </c>
      <c r="BJ20" s="28">
        <f t="shared" si="40"/>
        <v>442.45138359069824</v>
      </c>
      <c r="BK20" s="28">
        <f t="shared" si="41"/>
        <v>268.84598342285835</v>
      </c>
      <c r="BL20" s="33"/>
      <c r="BP20" s="31"/>
      <c r="BW20" s="1">
        <v>6</v>
      </c>
      <c r="BX20" s="35">
        <f t="shared" si="6"/>
        <v>420</v>
      </c>
      <c r="BY20" s="35">
        <f t="shared" si="25"/>
        <v>0</v>
      </c>
      <c r="BZ20" s="15">
        <f t="shared" si="42"/>
        <v>1.6211415199773747</v>
      </c>
      <c r="CA20" s="28">
        <f t="shared" si="43"/>
        <v>434.79513359069824</v>
      </c>
      <c r="CB20" s="28">
        <f t="shared" si="44"/>
        <v>268.20307063430613</v>
      </c>
      <c r="CC20" s="33"/>
      <c r="CG20" s="31"/>
      <c r="CN20" s="1">
        <v>7</v>
      </c>
      <c r="CO20" s="35">
        <f t="shared" si="7"/>
        <v>490</v>
      </c>
      <c r="CP20" s="35">
        <f t="shared" si="26"/>
        <v>0</v>
      </c>
      <c r="CQ20" s="15">
        <f t="shared" si="45"/>
        <v>1.6565727044115692</v>
      </c>
      <c r="CR20" s="28">
        <f t="shared" si="46"/>
        <v>452.29513359069824</v>
      </c>
      <c r="CS20" s="28">
        <f t="shared" si="47"/>
        <v>273.0306568412027</v>
      </c>
      <c r="CT20" s="33"/>
      <c r="CX20" s="31"/>
      <c r="DE20" s="1">
        <v>6</v>
      </c>
      <c r="DF20" s="35">
        <f t="shared" si="8"/>
        <v>420</v>
      </c>
      <c r="DG20" s="35">
        <f t="shared" si="27"/>
        <v>0</v>
      </c>
      <c r="DH20" s="15">
        <f t="shared" si="48"/>
        <v>1.5941585323424174</v>
      </c>
      <c r="DI20" s="28">
        <f t="shared" si="49"/>
        <v>418.85763359069824</v>
      </c>
      <c r="DJ20" s="28">
        <f t="shared" si="50"/>
        <v>262.74528228710045</v>
      </c>
      <c r="DK20" s="33"/>
      <c r="DO20" s="31"/>
      <c r="DV20" s="1">
        <v>6</v>
      </c>
      <c r="DW20" s="35">
        <f t="shared" si="9"/>
        <v>420</v>
      </c>
      <c r="DX20" s="35">
        <f t="shared" si="28"/>
        <v>0</v>
      </c>
      <c r="DY20" s="15">
        <f t="shared" si="51"/>
        <v>1.5941585323424174</v>
      </c>
      <c r="DZ20" s="28">
        <f t="shared" si="52"/>
        <v>418.85763359069824</v>
      </c>
      <c r="EA20" s="28">
        <f t="shared" si="53"/>
        <v>262.74528228710045</v>
      </c>
      <c r="EB20" s="33"/>
      <c r="EF20" s="31"/>
      <c r="EN20" s="35">
        <f t="shared" si="10"/>
        <v>0</v>
      </c>
      <c r="EO20" s="35">
        <f t="shared" si="29"/>
        <v>0</v>
      </c>
      <c r="EP20" s="52"/>
      <c r="EQ20" s="28">
        <f t="shared" si="54"/>
        <v>0</v>
      </c>
      <c r="ER20" s="28">
        <f t="shared" si="55"/>
        <v>0</v>
      </c>
      <c r="ES20" s="33"/>
      <c r="EW20" s="31"/>
      <c r="FD20" s="1">
        <v>8</v>
      </c>
      <c r="FE20" s="35">
        <f t="shared" si="11"/>
        <v>560</v>
      </c>
      <c r="FF20" s="35">
        <f t="shared" si="30"/>
        <v>0</v>
      </c>
      <c r="FG20" s="15">
        <f t="shared" si="56"/>
        <v>1.7237397171318882</v>
      </c>
      <c r="FH20" s="28">
        <f t="shared" si="57"/>
        <v>495.57638359069824</v>
      </c>
      <c r="FI20" s="28">
        <f t="shared" si="58"/>
        <v>287.50070481364924</v>
      </c>
      <c r="FJ20" s="33"/>
      <c r="FN20" s="31"/>
      <c r="FV20" s="35">
        <f t="shared" si="12"/>
        <v>0</v>
      </c>
      <c r="FW20" s="35">
        <f t="shared" si="31"/>
        <v>0</v>
      </c>
      <c r="FX20" s="52"/>
      <c r="FY20" s="28">
        <f t="shared" si="59"/>
        <v>0</v>
      </c>
      <c r="FZ20" s="28">
        <f t="shared" si="60"/>
        <v>0</v>
      </c>
      <c r="GA20" s="33"/>
      <c r="GE20" s="31"/>
      <c r="GM20" s="35">
        <f t="shared" si="13"/>
        <v>0</v>
      </c>
      <c r="GN20" s="35">
        <f t="shared" si="32"/>
        <v>0</v>
      </c>
      <c r="GO20" s="52"/>
      <c r="GP20" s="28">
        <f t="shared" si="61"/>
        <v>0</v>
      </c>
      <c r="GQ20" s="28">
        <f t="shared" si="62"/>
        <v>0</v>
      </c>
      <c r="GR20" s="33"/>
      <c r="GV20" s="31"/>
      <c r="HC20" s="1">
        <v>6</v>
      </c>
      <c r="HD20" s="35">
        <f t="shared" si="14"/>
        <v>420</v>
      </c>
      <c r="HE20" s="35">
        <f t="shared" si="33"/>
        <v>0</v>
      </c>
      <c r="HF20" s="15">
        <f t="shared" si="63"/>
        <v>1.5941585323424174</v>
      </c>
      <c r="HG20" s="28">
        <f t="shared" si="64"/>
        <v>418.85763359069824</v>
      </c>
      <c r="HH20" s="28">
        <f t="shared" si="65"/>
        <v>262.74528228710045</v>
      </c>
      <c r="HI20" s="33"/>
      <c r="HM20" s="31"/>
      <c r="HT20" s="1">
        <v>7</v>
      </c>
      <c r="HU20" s="35">
        <f t="shared" si="15"/>
        <v>490</v>
      </c>
      <c r="HV20" s="35">
        <f t="shared" si="34"/>
        <v>0</v>
      </c>
      <c r="HW20" s="15">
        <f t="shared" si="66"/>
        <v>1.6103138205987224</v>
      </c>
      <c r="HX20" s="28">
        <f t="shared" si="67"/>
        <v>410.69357109069824</v>
      </c>
      <c r="HY20" s="28">
        <f t="shared" si="68"/>
        <v>255.03946239373417</v>
      </c>
      <c r="HZ20" s="33"/>
      <c r="ID20" s="31"/>
      <c r="II20" s="12"/>
      <c r="IK20" s="1">
        <v>7</v>
      </c>
      <c r="IL20" s="35">
        <f t="shared" si="16"/>
        <v>490</v>
      </c>
      <c r="IM20" s="35">
        <f t="shared" si="17"/>
        <v>3505.0593120942558</v>
      </c>
      <c r="IN20" s="15">
        <f t="shared" si="69"/>
        <v>1.6635918684938975</v>
      </c>
      <c r="IO20" s="28">
        <f t="shared" si="70"/>
        <v>454.22872734069824</v>
      </c>
      <c r="IP20" s="28">
        <f t="shared" si="71"/>
        <v>273.04096391858775</v>
      </c>
      <c r="IQ20" s="33"/>
      <c r="IU20" s="31"/>
      <c r="JC20" s="35">
        <f t="shared" si="18"/>
        <v>0</v>
      </c>
      <c r="JD20" s="35">
        <f t="shared" si="19"/>
        <v>3669.3035366820413</v>
      </c>
      <c r="JE20" s="15" t="e">
        <f t="shared" si="72"/>
        <v>#DIV/0!</v>
      </c>
      <c r="JF20" s="28">
        <f t="shared" si="73"/>
        <v>0</v>
      </c>
      <c r="JG20" s="28">
        <f t="shared" si="74"/>
        <v>0</v>
      </c>
      <c r="JH20" s="33"/>
      <c r="JL20" s="31"/>
      <c r="JR20" s="99"/>
      <c r="JS20" s="99"/>
      <c r="JT20" s="99"/>
      <c r="JU20" s="99"/>
      <c r="JV20" s="99"/>
      <c r="JW20" s="99"/>
      <c r="JX20" s="99"/>
      <c r="JY20" s="99"/>
      <c r="JZ20" s="99"/>
      <c r="KA20" s="99"/>
      <c r="KB20" s="99"/>
      <c r="KC20" s="99"/>
      <c r="KD20" s="99"/>
      <c r="KE20" s="99"/>
      <c r="KF20" s="99"/>
      <c r="KG20" s="99"/>
      <c r="KH20" s="99"/>
      <c r="KI20" s="99"/>
      <c r="KJ20" s="99"/>
      <c r="KK20" s="99"/>
      <c r="KL20" s="99"/>
      <c r="KM20" s="99"/>
      <c r="KN20" s="99"/>
      <c r="KO20" s="99"/>
      <c r="KP20" s="99"/>
      <c r="KQ20" s="99"/>
      <c r="KR20" s="99"/>
      <c r="KS20" s="99"/>
      <c r="KT20" s="99"/>
      <c r="KU20" s="99"/>
      <c r="KV20" s="99"/>
      <c r="KW20" s="99"/>
      <c r="KX20" s="99"/>
      <c r="KY20" s="99"/>
      <c r="KZ20" s="99"/>
      <c r="LA20" s="99"/>
      <c r="LB20" s="99"/>
      <c r="LC20" s="99"/>
      <c r="LD20" s="99"/>
      <c r="LE20" s="99"/>
      <c r="LF20" s="99"/>
      <c r="LG20" s="99"/>
      <c r="LH20" s="99"/>
      <c r="LI20" s="99"/>
      <c r="LJ20" s="99"/>
      <c r="LK20" s="99"/>
      <c r="LL20" s="99"/>
      <c r="LM20" s="99"/>
      <c r="LN20" s="99"/>
      <c r="LO20" s="99"/>
      <c r="LP20" s="99"/>
      <c r="LQ20" s="99"/>
      <c r="LR20" s="99"/>
      <c r="LS20" s="99"/>
      <c r="LT20" s="99"/>
      <c r="LU20" s="99"/>
      <c r="LV20" s="99"/>
      <c r="LW20" s="99"/>
      <c r="LX20" s="99"/>
      <c r="LY20" s="99"/>
      <c r="LZ20" s="99"/>
      <c r="MA20" s="99"/>
      <c r="MB20" s="99"/>
      <c r="MC20" s="99"/>
      <c r="MD20" s="99"/>
      <c r="ME20" s="99"/>
      <c r="MF20" s="99"/>
    </row>
    <row r="21" spans="1:344" ht="17.25" customHeight="1" x14ac:dyDescent="0.25">
      <c r="A21" s="156"/>
      <c r="B21" s="81" t="s">
        <v>4</v>
      </c>
      <c r="C21" s="82">
        <v>45155</v>
      </c>
      <c r="D21" s="49"/>
      <c r="G21" s="89">
        <f t="shared" si="0"/>
        <v>0</v>
      </c>
      <c r="H21" s="35">
        <f t="shared" si="1"/>
        <v>0</v>
      </c>
      <c r="I21" s="39"/>
      <c r="K21" s="103">
        <v>70</v>
      </c>
      <c r="L21" s="89">
        <f t="shared" si="2"/>
        <v>5.5</v>
      </c>
      <c r="M21" s="35">
        <f t="shared" si="20"/>
        <v>385</v>
      </c>
      <c r="N21" s="35">
        <f t="shared" si="21"/>
        <v>385</v>
      </c>
      <c r="O21" s="97"/>
      <c r="P21" s="150"/>
      <c r="W21" s="11">
        <v>0</v>
      </c>
      <c r="Y21" s="35">
        <f t="shared" si="3"/>
        <v>0</v>
      </c>
      <c r="Z21" s="35">
        <f t="shared" si="22"/>
        <v>0</v>
      </c>
      <c r="AA21" s="52"/>
      <c r="AB21" s="43">
        <f t="shared" si="75"/>
        <v>0</v>
      </c>
      <c r="AC21" s="43">
        <f t="shared" si="76"/>
        <v>0</v>
      </c>
      <c r="AD21" s="33"/>
      <c r="AH21" s="31"/>
      <c r="AP21" s="35">
        <f t="shared" si="4"/>
        <v>0</v>
      </c>
      <c r="AQ21" s="35">
        <f t="shared" si="23"/>
        <v>0</v>
      </c>
      <c r="AR21" s="52"/>
      <c r="AS21" s="28">
        <f t="shared" si="37"/>
        <v>0</v>
      </c>
      <c r="AT21" s="28">
        <f t="shared" si="38"/>
        <v>0</v>
      </c>
      <c r="AU21" s="33"/>
      <c r="AY21" s="31"/>
      <c r="BF21" s="1">
        <v>5</v>
      </c>
      <c r="BG21" s="35">
        <f t="shared" si="5"/>
        <v>350</v>
      </c>
      <c r="BH21" s="35">
        <f t="shared" si="24"/>
        <v>0</v>
      </c>
      <c r="BI21" s="15">
        <f t="shared" si="39"/>
        <v>1.5279632736757187</v>
      </c>
      <c r="BJ21" s="28">
        <f t="shared" si="40"/>
        <v>419.33853769302368</v>
      </c>
      <c r="BK21" s="28">
        <f t="shared" si="41"/>
        <v>274.44281215231638</v>
      </c>
      <c r="BL21" s="33"/>
      <c r="BP21" s="31"/>
      <c r="BW21" s="1">
        <v>5</v>
      </c>
      <c r="BX21" s="35">
        <f t="shared" si="6"/>
        <v>350</v>
      </c>
      <c r="BY21" s="35">
        <f t="shared" si="25"/>
        <v>0</v>
      </c>
      <c r="BZ21" s="15">
        <f t="shared" si="42"/>
        <v>1.5103343161306366</v>
      </c>
      <c r="CA21" s="28">
        <f t="shared" si="43"/>
        <v>413.59635019302368</v>
      </c>
      <c r="CB21" s="28">
        <f t="shared" si="44"/>
        <v>273.84423817676776</v>
      </c>
      <c r="CC21" s="33"/>
      <c r="CG21" s="31"/>
      <c r="CN21" s="1">
        <v>6</v>
      </c>
      <c r="CO21" s="35">
        <f t="shared" si="7"/>
        <v>420</v>
      </c>
      <c r="CP21" s="35">
        <f t="shared" si="26"/>
        <v>0</v>
      </c>
      <c r="CQ21" s="15">
        <f t="shared" si="45"/>
        <v>1.5687639307315242</v>
      </c>
      <c r="CR21" s="28">
        <f t="shared" si="46"/>
        <v>444.22135019302368</v>
      </c>
      <c r="CS21" s="28">
        <f t="shared" si="47"/>
        <v>283.16647361077491</v>
      </c>
      <c r="CT21" s="33"/>
      <c r="CX21" s="31"/>
      <c r="DE21" s="1">
        <v>5</v>
      </c>
      <c r="DF21" s="35">
        <f t="shared" si="8"/>
        <v>350</v>
      </c>
      <c r="DG21" s="35">
        <f t="shared" si="27"/>
        <v>0</v>
      </c>
      <c r="DH21" s="15">
        <f t="shared" si="48"/>
        <v>1.4944149708514469</v>
      </c>
      <c r="DI21" s="28">
        <f t="shared" si="49"/>
        <v>401.64322519302368</v>
      </c>
      <c r="DJ21" s="28">
        <f t="shared" si="50"/>
        <v>268.76284902592107</v>
      </c>
      <c r="DK21" s="33"/>
      <c r="DO21" s="31"/>
      <c r="DV21" s="1">
        <v>5</v>
      </c>
      <c r="DW21" s="35">
        <f t="shared" si="9"/>
        <v>350</v>
      </c>
      <c r="DX21" s="35">
        <f t="shared" si="28"/>
        <v>0</v>
      </c>
      <c r="DY21" s="15">
        <f t="shared" si="51"/>
        <v>1.4944149708514469</v>
      </c>
      <c r="DZ21" s="28">
        <f t="shared" si="52"/>
        <v>401.64322519302368</v>
      </c>
      <c r="EA21" s="28">
        <f t="shared" si="53"/>
        <v>268.76284902592107</v>
      </c>
      <c r="EB21" s="33"/>
      <c r="EF21" s="31"/>
      <c r="EN21" s="35">
        <f t="shared" si="10"/>
        <v>0</v>
      </c>
      <c r="EO21" s="35">
        <f t="shared" si="29"/>
        <v>0</v>
      </c>
      <c r="EP21" s="52"/>
      <c r="EQ21" s="28">
        <f t="shared" si="54"/>
        <v>0</v>
      </c>
      <c r="ER21" s="28">
        <f t="shared" si="55"/>
        <v>0</v>
      </c>
      <c r="ES21" s="33"/>
      <c r="EW21" s="31"/>
      <c r="FD21" s="1">
        <v>7</v>
      </c>
      <c r="FE21" s="35">
        <f t="shared" si="11"/>
        <v>490</v>
      </c>
      <c r="FF21" s="35">
        <f t="shared" si="30"/>
        <v>0</v>
      </c>
      <c r="FG21" s="15">
        <f t="shared" si="56"/>
        <v>1.6392628136091429</v>
      </c>
      <c r="FH21" s="28">
        <f t="shared" si="57"/>
        <v>494.18228769302368</v>
      </c>
      <c r="FI21" s="28">
        <f t="shared" si="58"/>
        <v>301.46617344719067</v>
      </c>
      <c r="FJ21" s="33"/>
      <c r="FN21" s="31"/>
      <c r="FV21" s="35">
        <f t="shared" si="12"/>
        <v>0</v>
      </c>
      <c r="FW21" s="35">
        <f t="shared" si="31"/>
        <v>0</v>
      </c>
      <c r="FX21" s="52"/>
      <c r="FY21" s="28">
        <f t="shared" si="59"/>
        <v>0</v>
      </c>
      <c r="FZ21" s="28">
        <f t="shared" si="60"/>
        <v>0</v>
      </c>
      <c r="GA21" s="33"/>
      <c r="GE21" s="31"/>
      <c r="GM21" s="35">
        <f t="shared" si="13"/>
        <v>0</v>
      </c>
      <c r="GN21" s="35">
        <f t="shared" si="32"/>
        <v>0</v>
      </c>
      <c r="GO21" s="52"/>
      <c r="GP21" s="28">
        <f t="shared" si="61"/>
        <v>0</v>
      </c>
      <c r="GQ21" s="28">
        <f t="shared" si="62"/>
        <v>0</v>
      </c>
      <c r="GR21" s="33"/>
      <c r="GV21" s="31"/>
      <c r="HC21" s="1">
        <v>4</v>
      </c>
      <c r="HD21" s="35">
        <f t="shared" si="14"/>
        <v>280</v>
      </c>
      <c r="HE21" s="35">
        <f t="shared" si="33"/>
        <v>0</v>
      </c>
      <c r="HF21" s="15">
        <f t="shared" si="63"/>
        <v>1.4554448734515004</v>
      </c>
      <c r="HG21" s="28">
        <f t="shared" si="64"/>
        <v>384.14322519302368</v>
      </c>
      <c r="HH21" s="28">
        <f t="shared" si="65"/>
        <v>263.93526281902456</v>
      </c>
      <c r="HI21" s="33"/>
      <c r="HM21" s="31"/>
      <c r="HT21" s="1">
        <v>4</v>
      </c>
      <c r="HU21" s="35">
        <f t="shared" si="15"/>
        <v>280</v>
      </c>
      <c r="HV21" s="35">
        <f t="shared" si="34"/>
        <v>0</v>
      </c>
      <c r="HW21" s="15">
        <f t="shared" si="66"/>
        <v>1.472265479514006</v>
      </c>
      <c r="HX21" s="28">
        <f t="shared" si="67"/>
        <v>378.02017831802368</v>
      </c>
      <c r="HY21" s="28">
        <f t="shared" si="68"/>
        <v>256.76087878037316</v>
      </c>
      <c r="HZ21" s="33"/>
      <c r="ID21" s="31"/>
      <c r="II21" s="12"/>
      <c r="IK21" s="1">
        <v>7</v>
      </c>
      <c r="IL21" s="35">
        <f t="shared" si="16"/>
        <v>490</v>
      </c>
      <c r="IM21" s="35">
        <f t="shared" si="17"/>
        <v>3378.1375946043254</v>
      </c>
      <c r="IN21" s="15">
        <f t="shared" si="69"/>
        <v>1.6082141172735662</v>
      </c>
      <c r="IO21" s="28">
        <f t="shared" si="70"/>
        <v>463.17154550552368</v>
      </c>
      <c r="IP21" s="28">
        <f t="shared" si="71"/>
        <v>288.00365606213342</v>
      </c>
      <c r="IQ21" s="33"/>
      <c r="IU21" s="31"/>
      <c r="JC21" s="35">
        <f t="shared" si="18"/>
        <v>0</v>
      </c>
      <c r="JD21" s="35">
        <f t="shared" si="19"/>
        <v>3617.4240606181638</v>
      </c>
      <c r="JE21" s="15" t="e">
        <f t="shared" si="72"/>
        <v>#DIV/0!</v>
      </c>
      <c r="JF21" s="28">
        <f t="shared" si="73"/>
        <v>0</v>
      </c>
      <c r="JG21" s="28">
        <f t="shared" si="74"/>
        <v>0</v>
      </c>
      <c r="JH21" s="33"/>
      <c r="JL21" s="31"/>
      <c r="JR21" s="99"/>
      <c r="JS21" s="99"/>
      <c r="JT21" s="99"/>
      <c r="JU21" s="99"/>
      <c r="JV21" s="99"/>
      <c r="JW21" s="99"/>
      <c r="JX21" s="99"/>
      <c r="JY21" s="99"/>
      <c r="JZ21" s="99"/>
      <c r="KA21" s="99"/>
      <c r="KB21" s="99"/>
      <c r="KC21" s="99"/>
      <c r="KD21" s="99"/>
      <c r="KE21" s="99"/>
      <c r="KF21" s="99"/>
      <c r="KG21" s="99"/>
      <c r="KH21" s="99"/>
      <c r="KI21" s="99"/>
      <c r="KJ21" s="99"/>
      <c r="KK21" s="99"/>
      <c r="KL21" s="99"/>
      <c r="KM21" s="99"/>
      <c r="KN21" s="99"/>
      <c r="KO21" s="99"/>
      <c r="KP21" s="99"/>
      <c r="KQ21" s="99"/>
      <c r="KR21" s="99"/>
      <c r="KS21" s="99"/>
      <c r="KT21" s="99"/>
      <c r="KU21" s="99"/>
      <c r="KV21" s="99"/>
      <c r="KW21" s="99"/>
      <c r="KX21" s="99"/>
      <c r="KY21" s="99"/>
      <c r="KZ21" s="99"/>
      <c r="LA21" s="99"/>
      <c r="LB21" s="99"/>
      <c r="LC21" s="99"/>
      <c r="LD21" s="99"/>
      <c r="LE21" s="99"/>
      <c r="LF21" s="99"/>
      <c r="LG21" s="99"/>
      <c r="LH21" s="99"/>
      <c r="LI21" s="99"/>
      <c r="LJ21" s="99"/>
      <c r="LK21" s="99"/>
      <c r="LL21" s="99"/>
      <c r="LM21" s="99"/>
      <c r="LN21" s="99"/>
      <c r="LO21" s="99"/>
      <c r="LP21" s="99"/>
      <c r="LQ21" s="99"/>
      <c r="LR21" s="99"/>
      <c r="LS21" s="99"/>
      <c r="LT21" s="99"/>
      <c r="LU21" s="99"/>
      <c r="LV21" s="99"/>
      <c r="LW21" s="99"/>
      <c r="LX21" s="99"/>
      <c r="LY21" s="99"/>
      <c r="LZ21" s="99"/>
      <c r="MA21" s="99"/>
      <c r="MB21" s="99"/>
      <c r="MC21" s="99"/>
      <c r="MD21" s="99"/>
      <c r="ME21" s="99"/>
      <c r="MF21" s="99"/>
    </row>
    <row r="22" spans="1:344" ht="17.25" customHeight="1" x14ac:dyDescent="0.25">
      <c r="A22" s="156"/>
      <c r="B22" s="81" t="s">
        <v>5</v>
      </c>
      <c r="C22" s="82">
        <v>45156</v>
      </c>
      <c r="D22" s="49"/>
      <c r="G22" s="89">
        <f t="shared" si="0"/>
        <v>0</v>
      </c>
      <c r="H22" s="35">
        <f t="shared" si="1"/>
        <v>0</v>
      </c>
      <c r="I22" s="39"/>
      <c r="K22" s="103">
        <v>60</v>
      </c>
      <c r="L22" s="89">
        <f t="shared" si="2"/>
        <v>4.833333333333333</v>
      </c>
      <c r="M22" s="35">
        <f t="shared" si="20"/>
        <v>290</v>
      </c>
      <c r="N22" s="35">
        <f t="shared" si="21"/>
        <v>290</v>
      </c>
      <c r="O22" s="97"/>
      <c r="P22" s="150"/>
      <c r="W22" s="11">
        <v>0</v>
      </c>
      <c r="Y22" s="35">
        <f t="shared" si="3"/>
        <v>0</v>
      </c>
      <c r="Z22" s="35">
        <f t="shared" si="22"/>
        <v>0</v>
      </c>
      <c r="AA22" s="52"/>
      <c r="AB22" s="43">
        <f t="shared" si="75"/>
        <v>0</v>
      </c>
      <c r="AC22" s="43">
        <f t="shared" si="76"/>
        <v>0</v>
      </c>
      <c r="AD22" s="33"/>
      <c r="AH22" s="31"/>
      <c r="AP22" s="35">
        <f t="shared" si="4"/>
        <v>0</v>
      </c>
      <c r="AQ22" s="35">
        <f t="shared" si="23"/>
        <v>0</v>
      </c>
      <c r="AR22" s="52"/>
      <c r="AS22" s="28">
        <f t="shared" si="37"/>
        <v>0</v>
      </c>
      <c r="AT22" s="28">
        <f t="shared" si="38"/>
        <v>0</v>
      </c>
      <c r="AU22" s="33"/>
      <c r="AY22" s="31"/>
      <c r="BF22" s="1">
        <v>5</v>
      </c>
      <c r="BG22" s="35">
        <f t="shared" si="5"/>
        <v>300</v>
      </c>
      <c r="BH22" s="35">
        <f t="shared" si="24"/>
        <v>0</v>
      </c>
      <c r="BI22" s="15">
        <f t="shared" si="39"/>
        <v>1.4101966722662045</v>
      </c>
      <c r="BJ22" s="28">
        <f t="shared" si="40"/>
        <v>389.50390326976776</v>
      </c>
      <c r="BK22" s="28">
        <f t="shared" si="41"/>
        <v>276.20537683146699</v>
      </c>
      <c r="BL22" s="33"/>
      <c r="BP22" s="31"/>
      <c r="BW22" s="1">
        <v>5</v>
      </c>
      <c r="BX22" s="35">
        <f t="shared" si="6"/>
        <v>300</v>
      </c>
      <c r="BY22" s="35">
        <f t="shared" si="25"/>
        <v>0</v>
      </c>
      <c r="BZ22" s="15">
        <f t="shared" si="42"/>
        <v>1.3974240535503031</v>
      </c>
      <c r="CA22" s="28">
        <f t="shared" si="43"/>
        <v>385.19726264476776</v>
      </c>
      <c r="CB22" s="28">
        <f t="shared" si="44"/>
        <v>275.64808381974927</v>
      </c>
      <c r="CC22" s="33"/>
      <c r="CG22" s="31"/>
      <c r="CN22" s="1">
        <v>5</v>
      </c>
      <c r="CO22" s="35">
        <f t="shared" si="7"/>
        <v>300</v>
      </c>
      <c r="CP22" s="35">
        <f t="shared" si="26"/>
        <v>0</v>
      </c>
      <c r="CQ22" s="15">
        <f t="shared" si="45"/>
        <v>1.4355493116866271</v>
      </c>
      <c r="CR22" s="28">
        <f t="shared" si="46"/>
        <v>408.16601264476776</v>
      </c>
      <c r="CS22" s="28">
        <f t="shared" si="47"/>
        <v>284.32740646520421</v>
      </c>
      <c r="CT22" s="33"/>
      <c r="CX22" s="31"/>
      <c r="DE22" s="1">
        <v>4</v>
      </c>
      <c r="DF22" s="35">
        <f t="shared" si="8"/>
        <v>240</v>
      </c>
      <c r="DG22" s="35">
        <f t="shared" si="27"/>
        <v>0</v>
      </c>
      <c r="DH22" s="15">
        <f t="shared" si="48"/>
        <v>1.3540501400373406</v>
      </c>
      <c r="DI22" s="28">
        <f t="shared" si="49"/>
        <v>361.23241889476776</v>
      </c>
      <c r="DJ22" s="28">
        <f t="shared" si="50"/>
        <v>266.7792042655127</v>
      </c>
      <c r="DK22" s="33"/>
      <c r="DO22" s="31"/>
      <c r="DV22" s="1">
        <v>4.5</v>
      </c>
      <c r="DW22" s="35">
        <f t="shared" si="9"/>
        <v>270</v>
      </c>
      <c r="DX22" s="35">
        <f t="shared" si="28"/>
        <v>0</v>
      </c>
      <c r="DY22" s="15">
        <f t="shared" si="51"/>
        <v>1.3715266099550771</v>
      </c>
      <c r="DZ22" s="28">
        <f t="shared" si="52"/>
        <v>368.73241889476776</v>
      </c>
      <c r="EA22" s="28">
        <f t="shared" si="53"/>
        <v>268.8481697827541</v>
      </c>
      <c r="EB22" s="33"/>
      <c r="EF22" s="31"/>
      <c r="EN22" s="35">
        <f t="shared" si="10"/>
        <v>0</v>
      </c>
      <c r="EO22" s="35">
        <f t="shared" si="29"/>
        <v>0</v>
      </c>
      <c r="EP22" s="52"/>
      <c r="EQ22" s="28">
        <f t="shared" si="54"/>
        <v>0</v>
      </c>
      <c r="ER22" s="28">
        <f t="shared" si="55"/>
        <v>0</v>
      </c>
      <c r="ES22" s="33"/>
      <c r="EW22" s="31"/>
      <c r="FD22" s="1">
        <v>5.5</v>
      </c>
      <c r="FE22" s="35">
        <f t="shared" si="11"/>
        <v>330</v>
      </c>
      <c r="FF22" s="35">
        <f t="shared" si="30"/>
        <v>0</v>
      </c>
      <c r="FG22" s="15">
        <f t="shared" si="56"/>
        <v>1.4933615896528054</v>
      </c>
      <c r="FH22" s="28">
        <f t="shared" si="57"/>
        <v>453.13671576976776</v>
      </c>
      <c r="FI22" s="28">
        <f t="shared" si="58"/>
        <v>303.43402355428094</v>
      </c>
      <c r="FJ22" s="33"/>
      <c r="FN22" s="31"/>
      <c r="FV22" s="35">
        <f t="shared" si="12"/>
        <v>0</v>
      </c>
      <c r="FW22" s="35">
        <f t="shared" si="31"/>
        <v>0</v>
      </c>
      <c r="FX22" s="52"/>
      <c r="FY22" s="28">
        <f t="shared" si="59"/>
        <v>0</v>
      </c>
      <c r="FZ22" s="28">
        <f t="shared" si="60"/>
        <v>0</v>
      </c>
      <c r="GA22" s="33"/>
      <c r="GE22" s="31"/>
      <c r="GM22" s="35">
        <f t="shared" si="13"/>
        <v>0</v>
      </c>
      <c r="GN22" s="35">
        <f t="shared" si="32"/>
        <v>0</v>
      </c>
      <c r="GO22" s="52"/>
      <c r="GP22" s="28">
        <f t="shared" si="61"/>
        <v>0</v>
      </c>
      <c r="GQ22" s="28">
        <f t="shared" si="62"/>
        <v>0</v>
      </c>
      <c r="GR22" s="33"/>
      <c r="GV22" s="31"/>
      <c r="HC22" s="1">
        <v>5</v>
      </c>
      <c r="HD22" s="35">
        <f t="shared" si="14"/>
        <v>300</v>
      </c>
      <c r="HE22" s="35">
        <f t="shared" si="33"/>
        <v>0</v>
      </c>
      <c r="HF22" s="15">
        <f t="shared" si="63"/>
        <v>1.3629007980784056</v>
      </c>
      <c r="HG22" s="28">
        <f t="shared" si="64"/>
        <v>363.10741889476776</v>
      </c>
      <c r="HH22" s="28">
        <f t="shared" si="65"/>
        <v>266.42248607288491</v>
      </c>
      <c r="HI22" s="33"/>
      <c r="HM22" s="31"/>
      <c r="HT22" s="1">
        <v>5</v>
      </c>
      <c r="HU22" s="35">
        <f t="shared" si="15"/>
        <v>300</v>
      </c>
      <c r="HV22" s="35">
        <f t="shared" si="34"/>
        <v>0</v>
      </c>
      <c r="HW22" s="15">
        <f t="shared" si="66"/>
        <v>1.3802693027924977</v>
      </c>
      <c r="HX22" s="28">
        <f t="shared" si="67"/>
        <v>358.51513373851776</v>
      </c>
      <c r="HY22" s="28">
        <f t="shared" si="68"/>
        <v>259.74288714034742</v>
      </c>
      <c r="HZ22" s="33"/>
      <c r="ID22" s="31"/>
      <c r="II22" s="12"/>
      <c r="IK22" s="1">
        <v>6</v>
      </c>
      <c r="IL22" s="35">
        <f t="shared" si="16"/>
        <v>360</v>
      </c>
      <c r="IM22" s="35">
        <f t="shared" si="17"/>
        <v>3223.221741838468</v>
      </c>
      <c r="IN22" s="15">
        <f t="shared" si="69"/>
        <v>1.4929182842856565</v>
      </c>
      <c r="IO22" s="28">
        <f t="shared" si="70"/>
        <v>437.37865912914276</v>
      </c>
      <c r="IP22" s="28">
        <f t="shared" si="71"/>
        <v>292.96892116129663</v>
      </c>
      <c r="IQ22" s="33"/>
      <c r="IU22" s="31"/>
      <c r="JC22" s="35">
        <f t="shared" si="18"/>
        <v>0</v>
      </c>
      <c r="JD22" s="35">
        <f t="shared" si="19"/>
        <v>3358.6077308401518</v>
      </c>
      <c r="JE22" s="15" t="e">
        <f t="shared" si="72"/>
        <v>#DIV/0!</v>
      </c>
      <c r="JF22" s="28">
        <f t="shared" si="73"/>
        <v>0</v>
      </c>
      <c r="JG22" s="28">
        <f t="shared" si="74"/>
        <v>0</v>
      </c>
      <c r="JH22" s="33"/>
      <c r="JL22" s="31"/>
      <c r="JR22" s="99"/>
      <c r="JS22" s="99"/>
      <c r="JT22" s="99"/>
      <c r="JU22" s="99"/>
      <c r="JV22" s="99"/>
      <c r="JW22" s="99"/>
      <c r="JX22" s="99"/>
      <c r="JY22" s="99"/>
      <c r="JZ22" s="99"/>
      <c r="KA22" s="99"/>
      <c r="KB22" s="99"/>
      <c r="KC22" s="99"/>
      <c r="KD22" s="99"/>
      <c r="KE22" s="99"/>
      <c r="KF22" s="99"/>
      <c r="KG22" s="99"/>
      <c r="KH22" s="99"/>
      <c r="KI22" s="99"/>
      <c r="KJ22" s="99"/>
      <c r="KK22" s="99"/>
      <c r="KL22" s="99"/>
      <c r="KM22" s="99"/>
      <c r="KN22" s="99"/>
      <c r="KO22" s="99"/>
      <c r="KP22" s="99"/>
      <c r="KQ22" s="99"/>
      <c r="KR22" s="99"/>
      <c r="KS22" s="99"/>
      <c r="KT22" s="99"/>
      <c r="KU22" s="99"/>
      <c r="KV22" s="99"/>
      <c r="KW22" s="99"/>
      <c r="KX22" s="99"/>
      <c r="KY22" s="99"/>
      <c r="KZ22" s="99"/>
      <c r="LA22" s="99"/>
      <c r="LB22" s="99"/>
      <c r="LC22" s="99"/>
      <c r="LD22" s="99"/>
      <c r="LE22" s="99"/>
      <c r="LF22" s="99"/>
      <c r="LG22" s="99"/>
      <c r="LH22" s="99"/>
      <c r="LI22" s="99"/>
      <c r="LJ22" s="99"/>
      <c r="LK22" s="99"/>
      <c r="LL22" s="99"/>
      <c r="LM22" s="99"/>
      <c r="LN22" s="99"/>
      <c r="LO22" s="99"/>
      <c r="LP22" s="99"/>
      <c r="LQ22" s="99"/>
      <c r="LR22" s="99"/>
      <c r="LS22" s="99"/>
      <c r="LT22" s="99"/>
      <c r="LU22" s="99"/>
      <c r="LV22" s="99"/>
      <c r="LW22" s="99"/>
      <c r="LX22" s="99"/>
      <c r="LY22" s="99"/>
      <c r="LZ22" s="99"/>
      <c r="MA22" s="99"/>
      <c r="MB22" s="99"/>
      <c r="MC22" s="99"/>
      <c r="MD22" s="99"/>
      <c r="ME22" s="99"/>
      <c r="MF22" s="99"/>
    </row>
    <row r="23" spans="1:344" ht="17.25" customHeight="1" x14ac:dyDescent="0.25">
      <c r="A23" s="156"/>
      <c r="B23" s="90" t="s">
        <v>6</v>
      </c>
      <c r="C23" s="91">
        <v>45157</v>
      </c>
      <c r="D23" s="49"/>
      <c r="F23" s="103">
        <v>50</v>
      </c>
      <c r="G23" s="89">
        <f t="shared" si="0"/>
        <v>3</v>
      </c>
      <c r="H23" s="35">
        <f t="shared" si="1"/>
        <v>150</v>
      </c>
      <c r="I23" s="39"/>
      <c r="K23" s="103">
        <v>100</v>
      </c>
      <c r="L23" s="89">
        <f t="shared" si="2"/>
        <v>7.375</v>
      </c>
      <c r="M23" s="35">
        <f t="shared" si="20"/>
        <v>737.5</v>
      </c>
      <c r="N23" s="35">
        <f t="shared" si="21"/>
        <v>887.5</v>
      </c>
      <c r="O23" s="97"/>
      <c r="P23" s="150"/>
      <c r="X23" s="1">
        <v>0</v>
      </c>
      <c r="Y23" s="35">
        <f t="shared" si="3"/>
        <v>0</v>
      </c>
      <c r="Z23" s="35">
        <f t="shared" si="22"/>
        <v>0</v>
      </c>
      <c r="AA23" s="52"/>
      <c r="AB23" s="43">
        <f t="shared" si="75"/>
        <v>0</v>
      </c>
      <c r="AC23" s="43">
        <f t="shared" si="76"/>
        <v>0</v>
      </c>
      <c r="AD23" s="33"/>
      <c r="AH23" s="31"/>
      <c r="AP23" s="35">
        <f t="shared" si="4"/>
        <v>0</v>
      </c>
      <c r="AQ23" s="35">
        <f t="shared" si="23"/>
        <v>0</v>
      </c>
      <c r="AR23" s="52"/>
      <c r="AS23" s="28">
        <f t="shared" si="37"/>
        <v>0</v>
      </c>
      <c r="AT23" s="28">
        <f t="shared" si="38"/>
        <v>0</v>
      </c>
      <c r="AU23" s="33"/>
      <c r="AY23" s="31"/>
      <c r="BE23" s="11">
        <v>3</v>
      </c>
      <c r="BF23" s="1">
        <v>9</v>
      </c>
      <c r="BG23" s="35">
        <f t="shared" si="5"/>
        <v>1050</v>
      </c>
      <c r="BH23" s="35">
        <f t="shared" si="24"/>
        <v>0</v>
      </c>
      <c r="BI23" s="15">
        <f t="shared" si="39"/>
        <v>1.6828808655925285</v>
      </c>
      <c r="BJ23" s="28">
        <f t="shared" si="40"/>
        <v>554.62792745232582</v>
      </c>
      <c r="BK23" s="28">
        <f t="shared" si="41"/>
        <v>329.57052325688301</v>
      </c>
      <c r="BL23" s="33"/>
      <c r="BP23" s="31"/>
      <c r="BV23" s="11">
        <v>3</v>
      </c>
      <c r="BW23" s="1">
        <v>9</v>
      </c>
      <c r="BX23" s="35">
        <f t="shared" si="6"/>
        <v>1050</v>
      </c>
      <c r="BY23" s="35">
        <f t="shared" si="25"/>
        <v>0</v>
      </c>
      <c r="BZ23" s="15">
        <f t="shared" si="42"/>
        <v>1.6757184566961911</v>
      </c>
      <c r="CA23" s="28">
        <f t="shared" si="43"/>
        <v>551.39794698357582</v>
      </c>
      <c r="CB23" s="28">
        <f t="shared" si="44"/>
        <v>329.05166424597343</v>
      </c>
      <c r="CC23" s="33"/>
      <c r="CG23" s="31"/>
      <c r="CM23" s="11">
        <v>3</v>
      </c>
      <c r="CN23" s="1">
        <v>8</v>
      </c>
      <c r="CO23" s="35">
        <f t="shared" si="7"/>
        <v>950</v>
      </c>
      <c r="CP23" s="35">
        <f t="shared" si="26"/>
        <v>0</v>
      </c>
      <c r="CQ23" s="15">
        <f t="shared" si="45"/>
        <v>1.6461704295886148</v>
      </c>
      <c r="CR23" s="28">
        <f t="shared" si="46"/>
        <v>543.62450948357582</v>
      </c>
      <c r="CS23" s="28">
        <f t="shared" si="47"/>
        <v>330.23586119174183</v>
      </c>
      <c r="CT23" s="33"/>
      <c r="CX23" s="31"/>
      <c r="DD23" s="11">
        <v>2</v>
      </c>
      <c r="DE23" s="1">
        <v>7</v>
      </c>
      <c r="DF23" s="35">
        <f t="shared" si="8"/>
        <v>800</v>
      </c>
      <c r="DG23" s="35">
        <f t="shared" si="27"/>
        <v>0</v>
      </c>
      <c r="DH23" s="15">
        <f t="shared" si="48"/>
        <v>1.5513740042632609</v>
      </c>
      <c r="DI23" s="28">
        <f t="shared" si="49"/>
        <v>470.92431417107582</v>
      </c>
      <c r="DJ23" s="28">
        <f t="shared" si="50"/>
        <v>303.55305224720149</v>
      </c>
      <c r="DK23" s="33"/>
      <c r="DO23" s="31"/>
      <c r="DU23" s="11">
        <v>2</v>
      </c>
      <c r="DV23" s="1">
        <v>9</v>
      </c>
      <c r="DW23" s="35">
        <f t="shared" si="9"/>
        <v>1000</v>
      </c>
      <c r="DX23" s="35">
        <f t="shared" si="28"/>
        <v>0</v>
      </c>
      <c r="DY23" s="15">
        <f t="shared" si="51"/>
        <v>1.6492163375344013</v>
      </c>
      <c r="DZ23" s="28">
        <f t="shared" si="52"/>
        <v>526.54931417107582</v>
      </c>
      <c r="EA23" s="28">
        <f t="shared" si="53"/>
        <v>319.27243393566761</v>
      </c>
      <c r="EB23" s="33"/>
      <c r="EF23" s="31"/>
      <c r="EN23" s="35">
        <f t="shared" si="10"/>
        <v>0</v>
      </c>
      <c r="EO23" s="35">
        <f t="shared" si="29"/>
        <v>0</v>
      </c>
      <c r="EP23" s="52"/>
      <c r="EQ23" s="28">
        <f t="shared" si="54"/>
        <v>0</v>
      </c>
      <c r="ER23" s="28">
        <f t="shared" si="55"/>
        <v>0</v>
      </c>
      <c r="ES23" s="33"/>
      <c r="EW23" s="31"/>
      <c r="FC23" s="11">
        <v>4</v>
      </c>
      <c r="FD23" s="1">
        <v>9</v>
      </c>
      <c r="FE23" s="35">
        <f t="shared" si="11"/>
        <v>1100</v>
      </c>
      <c r="FF23" s="35">
        <f t="shared" si="30"/>
        <v>0</v>
      </c>
      <c r="FG23" s="15">
        <f t="shared" si="56"/>
        <v>1.7156938614970789</v>
      </c>
      <c r="FH23" s="28">
        <f t="shared" si="57"/>
        <v>614.85253682732582</v>
      </c>
      <c r="FI23" s="28">
        <f t="shared" si="58"/>
        <v>358.36960813674432</v>
      </c>
      <c r="FJ23" s="33"/>
      <c r="FN23" s="31"/>
      <c r="FV23" s="35">
        <f t="shared" si="12"/>
        <v>0</v>
      </c>
      <c r="FW23" s="35">
        <f t="shared" si="31"/>
        <v>0</v>
      </c>
      <c r="FX23" s="52"/>
      <c r="FY23" s="28">
        <f t="shared" si="59"/>
        <v>0</v>
      </c>
      <c r="FZ23" s="28">
        <f t="shared" si="60"/>
        <v>0</v>
      </c>
      <c r="GA23" s="33"/>
      <c r="GE23" s="31"/>
      <c r="GK23" s="11">
        <v>4</v>
      </c>
      <c r="GL23" s="1">
        <v>8</v>
      </c>
      <c r="GM23" s="35">
        <f t="shared" si="13"/>
        <v>1000</v>
      </c>
      <c r="GN23" s="35">
        <f t="shared" si="32"/>
        <v>0</v>
      </c>
      <c r="GO23" s="15">
        <f t="shared" ref="GO23:GO76" si="77">GP23/GQ23</f>
        <v>1</v>
      </c>
      <c r="GP23" s="28">
        <f>GM23*(2/(7+1))+((1-(2/(7+1)))*GM23)</f>
        <v>1000</v>
      </c>
      <c r="GQ23" s="28">
        <f>GM23*(2/(28+1))+((1-(2/(28+1)))*GM23)</f>
        <v>1000</v>
      </c>
      <c r="GR23" s="33"/>
      <c r="GV23" s="31"/>
      <c r="HB23" s="11">
        <v>4</v>
      </c>
      <c r="HC23" s="1">
        <v>5</v>
      </c>
      <c r="HD23" s="35">
        <f t="shared" si="14"/>
        <v>700</v>
      </c>
      <c r="HE23" s="35">
        <f t="shared" si="33"/>
        <v>0</v>
      </c>
      <c r="HF23" s="15">
        <f t="shared" si="63"/>
        <v>1.5095975523816774</v>
      </c>
      <c r="HG23" s="28">
        <f t="shared" si="64"/>
        <v>447.33056417107582</v>
      </c>
      <c r="HH23" s="28">
        <f t="shared" si="65"/>
        <v>296.32438358509972</v>
      </c>
      <c r="HI23" s="33"/>
      <c r="HM23" s="31"/>
      <c r="HS23" s="11">
        <v>3</v>
      </c>
      <c r="HT23" s="1">
        <v>7</v>
      </c>
      <c r="HU23" s="35">
        <f t="shared" si="15"/>
        <v>850</v>
      </c>
      <c r="HV23" s="35">
        <f t="shared" si="34"/>
        <v>0</v>
      </c>
      <c r="HW23" s="15">
        <f t="shared" si="66"/>
        <v>1.6022163785038948</v>
      </c>
      <c r="HX23" s="28">
        <f t="shared" si="67"/>
        <v>481.38635030388832</v>
      </c>
      <c r="HY23" s="28">
        <f t="shared" si="68"/>
        <v>300.45027423411659</v>
      </c>
      <c r="HZ23" s="33"/>
      <c r="ID23" s="31"/>
      <c r="II23" s="12"/>
      <c r="IL23" s="35">
        <f t="shared" si="16"/>
        <v>0</v>
      </c>
      <c r="IM23" s="35">
        <f t="shared" si="17"/>
        <v>4905.8772645342588</v>
      </c>
      <c r="IN23" s="15">
        <f t="shared" si="69"/>
        <v>1.2026286178967791</v>
      </c>
      <c r="IO23" s="28">
        <f t="shared" si="70"/>
        <v>328.03399434685707</v>
      </c>
      <c r="IP23" s="28">
        <f t="shared" si="71"/>
        <v>272.76416797775892</v>
      </c>
      <c r="IQ23" s="33"/>
      <c r="IU23" s="31"/>
      <c r="JC23" s="35">
        <f t="shared" si="18"/>
        <v>0</v>
      </c>
      <c r="JD23" s="35">
        <f t="shared" si="19"/>
        <v>4780.615855181778</v>
      </c>
      <c r="JE23" s="15" t="e">
        <f t="shared" si="72"/>
        <v>#DIV/0!</v>
      </c>
      <c r="JF23" s="28">
        <f t="shared" si="73"/>
        <v>0</v>
      </c>
      <c r="JG23" s="28">
        <f t="shared" si="74"/>
        <v>0</v>
      </c>
      <c r="JH23" s="33"/>
      <c r="JL23" s="31"/>
      <c r="JR23" s="99"/>
      <c r="JS23" s="99"/>
      <c r="JT23" s="99"/>
      <c r="JU23" s="99"/>
      <c r="JV23" s="99"/>
      <c r="JW23" s="99"/>
      <c r="JX23" s="99"/>
      <c r="JY23" s="99"/>
      <c r="JZ23" s="99"/>
      <c r="KA23" s="99"/>
      <c r="KB23" s="99"/>
      <c r="KC23" s="99"/>
      <c r="KD23" s="99"/>
      <c r="KE23" s="99"/>
      <c r="KF23" s="99"/>
      <c r="KG23" s="99"/>
      <c r="KH23" s="99"/>
      <c r="KI23" s="99"/>
      <c r="KJ23" s="99"/>
      <c r="KK23" s="99"/>
      <c r="KL23" s="99"/>
      <c r="KM23" s="99"/>
      <c r="KN23" s="99"/>
      <c r="KO23" s="99"/>
      <c r="KP23" s="99"/>
      <c r="KQ23" s="99"/>
      <c r="KR23" s="99"/>
      <c r="KS23" s="99"/>
      <c r="KT23" s="99"/>
      <c r="KU23" s="99"/>
      <c r="KV23" s="99"/>
      <c r="KW23" s="99"/>
      <c r="KX23" s="99"/>
      <c r="KY23" s="99"/>
      <c r="KZ23" s="99"/>
      <c r="LA23" s="99"/>
      <c r="LB23" s="99"/>
      <c r="LC23" s="99"/>
      <c r="LD23" s="99"/>
      <c r="LE23" s="99"/>
      <c r="LF23" s="99"/>
      <c r="LG23" s="99"/>
      <c r="LH23" s="99"/>
      <c r="LI23" s="99"/>
      <c r="LJ23" s="99"/>
      <c r="LK23" s="99"/>
      <c r="LL23" s="99"/>
      <c r="LM23" s="99"/>
      <c r="LN23" s="99"/>
      <c r="LO23" s="99"/>
      <c r="LP23" s="99"/>
      <c r="LQ23" s="99"/>
      <c r="LR23" s="99"/>
      <c r="LS23" s="99"/>
      <c r="LT23" s="99"/>
      <c r="LU23" s="99"/>
      <c r="LV23" s="99"/>
      <c r="LW23" s="99"/>
      <c r="LX23" s="99"/>
      <c r="LY23" s="99"/>
      <c r="LZ23" s="99"/>
      <c r="MA23" s="99"/>
      <c r="MB23" s="99"/>
      <c r="MC23" s="99"/>
      <c r="MD23" s="99"/>
      <c r="ME23" s="99"/>
      <c r="MF23" s="99"/>
    </row>
    <row r="24" spans="1:344" s="2" customFormat="1" ht="17.25" customHeight="1" x14ac:dyDescent="0.25">
      <c r="A24" s="157"/>
      <c r="B24" s="83" t="s">
        <v>7</v>
      </c>
      <c r="C24" s="84">
        <v>45158</v>
      </c>
      <c r="D24" s="51"/>
      <c r="E24" s="48"/>
      <c r="F24" s="104"/>
      <c r="G24" s="37">
        <f t="shared" si="0"/>
        <v>0</v>
      </c>
      <c r="H24" s="26">
        <f t="shared" si="1"/>
        <v>0</v>
      </c>
      <c r="I24" s="48"/>
      <c r="J24" s="48"/>
      <c r="K24" s="104"/>
      <c r="L24" s="37">
        <f t="shared" si="2"/>
        <v>0</v>
      </c>
      <c r="M24" s="26">
        <f t="shared" si="20"/>
        <v>0</v>
      </c>
      <c r="N24" s="26">
        <f t="shared" si="21"/>
        <v>0</v>
      </c>
      <c r="O24" s="98"/>
      <c r="P24" s="151"/>
      <c r="Q24" s="125"/>
      <c r="R24" s="115"/>
      <c r="S24" s="130"/>
      <c r="T24" s="110"/>
      <c r="U24" s="120"/>
      <c r="V24" s="23"/>
      <c r="W24" s="13">
        <v>0</v>
      </c>
      <c r="X24" s="2">
        <v>0</v>
      </c>
      <c r="Y24" s="26">
        <f t="shared" si="3"/>
        <v>0</v>
      </c>
      <c r="Z24" s="26">
        <f t="shared" si="22"/>
        <v>0</v>
      </c>
      <c r="AA24" s="53"/>
      <c r="AB24" s="44">
        <f>Y24*(2/(7+1))+((1-(2/(7+1)))*Y24)</f>
        <v>0</v>
      </c>
      <c r="AC24" s="45">
        <f>Y24*(2/(28+1))+((1-(2/(28+1)))*Y24)</f>
        <v>0</v>
      </c>
      <c r="AD24" s="34"/>
      <c r="AE24" s="4"/>
      <c r="AF24" s="5"/>
      <c r="AG24" s="6"/>
      <c r="AH24" s="32"/>
      <c r="AI24" s="3"/>
      <c r="AJ24" s="4"/>
      <c r="AK24" s="5"/>
      <c r="AL24" s="6"/>
      <c r="AM24" s="14"/>
      <c r="AN24" s="13"/>
      <c r="AP24" s="26">
        <f t="shared" si="4"/>
        <v>0</v>
      </c>
      <c r="AQ24" s="26">
        <f t="shared" si="23"/>
        <v>0</v>
      </c>
      <c r="AR24" s="53"/>
      <c r="AS24" s="29">
        <f t="shared" si="37"/>
        <v>0</v>
      </c>
      <c r="AT24" s="29">
        <f t="shared" si="38"/>
        <v>0</v>
      </c>
      <c r="AU24" s="34"/>
      <c r="AV24" s="4"/>
      <c r="AW24" s="5"/>
      <c r="AX24" s="6"/>
      <c r="AY24" s="32"/>
      <c r="AZ24" s="3"/>
      <c r="BA24" s="4"/>
      <c r="BB24" s="5"/>
      <c r="BC24" s="6"/>
      <c r="BD24" s="14"/>
      <c r="BE24" s="13"/>
      <c r="BG24" s="26">
        <f t="shared" si="5"/>
        <v>0</v>
      </c>
      <c r="BH24" s="26">
        <f t="shared" si="24"/>
        <v>0</v>
      </c>
      <c r="BI24" s="16">
        <f t="shared" si="39"/>
        <v>1.3556540306162037</v>
      </c>
      <c r="BJ24" s="29">
        <f t="shared" si="40"/>
        <v>415.97094558924437</v>
      </c>
      <c r="BK24" s="29">
        <f t="shared" si="41"/>
        <v>306.84152165296001</v>
      </c>
      <c r="BL24" s="34"/>
      <c r="BM24" s="4"/>
      <c r="BN24" s="5"/>
      <c r="BO24" s="6"/>
      <c r="BP24" s="32"/>
      <c r="BQ24" s="3"/>
      <c r="BR24" s="4"/>
      <c r="BS24" s="5"/>
      <c r="BT24" s="6"/>
      <c r="BU24" s="14"/>
      <c r="BV24" s="13"/>
      <c r="BX24" s="26">
        <f t="shared" si="6"/>
        <v>0</v>
      </c>
      <c r="BY24" s="26">
        <f t="shared" si="25"/>
        <v>0</v>
      </c>
      <c r="BZ24" s="16">
        <f t="shared" si="42"/>
        <v>1.3498843123385984</v>
      </c>
      <c r="CA24" s="29">
        <f t="shared" si="43"/>
        <v>413.54846023768187</v>
      </c>
      <c r="CB24" s="29">
        <f t="shared" si="44"/>
        <v>306.35844602211318</v>
      </c>
      <c r="CC24" s="34"/>
      <c r="CD24" s="4"/>
      <c r="CE24" s="5"/>
      <c r="CF24" s="6"/>
      <c r="CG24" s="32"/>
      <c r="CH24" s="3"/>
      <c r="CI24" s="4"/>
      <c r="CJ24" s="5"/>
      <c r="CK24" s="6"/>
      <c r="CL24" s="14"/>
      <c r="CM24" s="13"/>
      <c r="CO24" s="26">
        <f t="shared" si="7"/>
        <v>0</v>
      </c>
      <c r="CP24" s="26">
        <f t="shared" si="26"/>
        <v>0</v>
      </c>
      <c r="CQ24" s="16">
        <f t="shared" si="45"/>
        <v>1.3260817349463843</v>
      </c>
      <c r="CR24" s="29">
        <f t="shared" si="46"/>
        <v>407.71838211268187</v>
      </c>
      <c r="CS24" s="29">
        <f t="shared" si="47"/>
        <v>307.46097421300101</v>
      </c>
      <c r="CT24" s="34"/>
      <c r="CU24" s="4"/>
      <c r="CV24" s="5"/>
      <c r="CW24" s="6"/>
      <c r="CX24" s="32"/>
      <c r="CY24" s="3"/>
      <c r="CZ24" s="4"/>
      <c r="DA24" s="5"/>
      <c r="DB24" s="6"/>
      <c r="DC24" s="14"/>
      <c r="DD24" s="13"/>
      <c r="DF24" s="26">
        <f t="shared" si="8"/>
        <v>0</v>
      </c>
      <c r="DG24" s="26">
        <f t="shared" si="27"/>
        <v>0</v>
      </c>
      <c r="DH24" s="16">
        <f t="shared" si="48"/>
        <v>1.2497179478787379</v>
      </c>
      <c r="DI24" s="29">
        <f t="shared" si="49"/>
        <v>353.19323562830687</v>
      </c>
      <c r="DJ24" s="29">
        <f t="shared" si="50"/>
        <v>282.61835898877382</v>
      </c>
      <c r="DK24" s="34"/>
      <c r="DL24" s="4"/>
      <c r="DM24" s="5"/>
      <c r="DN24" s="6"/>
      <c r="DO24" s="32"/>
      <c r="DP24" s="3"/>
      <c r="DQ24" s="4"/>
      <c r="DR24" s="5"/>
      <c r="DS24" s="6"/>
      <c r="DT24" s="14"/>
      <c r="DU24" s="13"/>
      <c r="DW24" s="26">
        <f t="shared" si="9"/>
        <v>0</v>
      </c>
      <c r="DX24" s="26">
        <f t="shared" si="28"/>
        <v>0</v>
      </c>
      <c r="DY24" s="16">
        <f t="shared" si="51"/>
        <v>1.3285353830138233</v>
      </c>
      <c r="DZ24" s="29">
        <f t="shared" si="52"/>
        <v>394.91198562830687</v>
      </c>
      <c r="EA24" s="29">
        <f t="shared" si="53"/>
        <v>297.25364538838016</v>
      </c>
      <c r="EB24" s="34"/>
      <c r="EC24" s="4"/>
      <c r="ED24" s="5"/>
      <c r="EE24" s="6"/>
      <c r="EF24" s="32"/>
      <c r="EG24" s="3"/>
      <c r="EH24" s="4"/>
      <c r="EI24" s="5"/>
      <c r="EJ24" s="6"/>
      <c r="EK24" s="14"/>
      <c r="EL24" s="13"/>
      <c r="EN24" s="26">
        <f t="shared" si="10"/>
        <v>0</v>
      </c>
      <c r="EO24" s="26">
        <f t="shared" si="29"/>
        <v>0</v>
      </c>
      <c r="EP24" s="53"/>
      <c r="EQ24" s="29">
        <f t="shared" si="54"/>
        <v>0</v>
      </c>
      <c r="ER24" s="29">
        <f t="shared" si="55"/>
        <v>0</v>
      </c>
      <c r="ES24" s="34"/>
      <c r="ET24" s="4"/>
      <c r="EU24" s="5"/>
      <c r="EV24" s="6"/>
      <c r="EW24" s="32"/>
      <c r="EX24" s="3"/>
      <c r="EY24" s="4"/>
      <c r="EZ24" s="5"/>
      <c r="FA24" s="6"/>
      <c r="FB24" s="14"/>
      <c r="FC24" s="13"/>
      <c r="FE24" s="26">
        <f t="shared" si="11"/>
        <v>0</v>
      </c>
      <c r="FF24" s="26">
        <f t="shared" si="30"/>
        <v>0</v>
      </c>
      <c r="FG24" s="16">
        <f t="shared" si="56"/>
        <v>1.3820867217615358</v>
      </c>
      <c r="FH24" s="29">
        <f t="shared" si="57"/>
        <v>461.13940262049437</v>
      </c>
      <c r="FI24" s="29">
        <f t="shared" si="58"/>
        <v>333.65446274800331</v>
      </c>
      <c r="FJ24" s="34"/>
      <c r="FK24" s="4"/>
      <c r="FL24" s="5"/>
      <c r="FM24" s="6"/>
      <c r="FN24" s="32"/>
      <c r="FO24" s="3"/>
      <c r="FP24" s="4"/>
      <c r="FQ24" s="5"/>
      <c r="FR24" s="6"/>
      <c r="FS24" s="14"/>
      <c r="FT24" s="13"/>
      <c r="FV24" s="26">
        <f t="shared" si="12"/>
        <v>0</v>
      </c>
      <c r="FW24" s="26">
        <f t="shared" si="31"/>
        <v>0</v>
      </c>
      <c r="FX24" s="53"/>
      <c r="FY24" s="29">
        <f t="shared" si="59"/>
        <v>0</v>
      </c>
      <c r="FZ24" s="29">
        <f t="shared" si="60"/>
        <v>0</v>
      </c>
      <c r="GA24" s="34"/>
      <c r="GB24" s="4"/>
      <c r="GC24" s="5"/>
      <c r="GD24" s="6"/>
      <c r="GE24" s="32"/>
      <c r="GF24" s="3"/>
      <c r="GG24" s="4"/>
      <c r="GH24" s="5"/>
      <c r="GI24" s="6"/>
      <c r="GJ24" s="14"/>
      <c r="GK24" s="13"/>
      <c r="GM24" s="26">
        <f t="shared" si="13"/>
        <v>0</v>
      </c>
      <c r="GN24" s="26">
        <f t="shared" si="32"/>
        <v>0</v>
      </c>
      <c r="GO24" s="16">
        <f t="shared" si="77"/>
        <v>0.80555555555555558</v>
      </c>
      <c r="GP24" s="29">
        <f t="shared" si="61"/>
        <v>750</v>
      </c>
      <c r="GQ24" s="29">
        <f t="shared" si="62"/>
        <v>931.0344827586207</v>
      </c>
      <c r="GR24" s="34"/>
      <c r="GS24" s="4"/>
      <c r="GT24" s="5"/>
      <c r="GU24" s="6"/>
      <c r="GV24" s="32"/>
      <c r="GW24" s="3"/>
      <c r="GX24" s="4"/>
      <c r="GY24" s="5"/>
      <c r="GZ24" s="6"/>
      <c r="HA24" s="14"/>
      <c r="HB24" s="13"/>
      <c r="HD24" s="26">
        <f t="shared" si="14"/>
        <v>0</v>
      </c>
      <c r="HE24" s="26">
        <f t="shared" si="33"/>
        <v>0</v>
      </c>
      <c r="HF24" s="16">
        <f t="shared" si="63"/>
        <v>1.2160646949741292</v>
      </c>
      <c r="HG24" s="29">
        <f t="shared" si="64"/>
        <v>335.49792312830687</v>
      </c>
      <c r="HH24" s="29">
        <f t="shared" si="65"/>
        <v>275.8882191999204</v>
      </c>
      <c r="HI24" s="34"/>
      <c r="HJ24" s="4"/>
      <c r="HK24" s="5"/>
      <c r="HL24" s="6"/>
      <c r="HM24" s="32"/>
      <c r="HN24" s="3"/>
      <c r="HO24" s="4"/>
      <c r="HP24" s="5"/>
      <c r="HQ24" s="6"/>
      <c r="HR24" s="14"/>
      <c r="HS24" s="13"/>
      <c r="HU24" s="26">
        <f t="shared" si="15"/>
        <v>0</v>
      </c>
      <c r="HV24" s="26">
        <f t="shared" si="34"/>
        <v>0</v>
      </c>
      <c r="HW24" s="16">
        <f t="shared" si="66"/>
        <v>1.2906743049059153</v>
      </c>
      <c r="HX24" s="29">
        <f t="shared" si="67"/>
        <v>361.03976272791624</v>
      </c>
      <c r="HY24" s="29">
        <f t="shared" si="68"/>
        <v>279.72956566624646</v>
      </c>
      <c r="HZ24" s="34"/>
      <c r="IA24" s="4"/>
      <c r="IB24" s="5"/>
      <c r="IC24" s="6"/>
      <c r="ID24" s="32"/>
      <c r="IE24" s="3"/>
      <c r="IF24" s="4"/>
      <c r="IG24" s="5"/>
      <c r="IH24" s="6"/>
      <c r="II24" s="14"/>
      <c r="IJ24" s="13"/>
      <c r="IL24" s="26">
        <f t="shared" si="16"/>
        <v>0</v>
      </c>
      <c r="IM24" s="26">
        <f t="shared" si="17"/>
        <v>3190.0357239983091</v>
      </c>
      <c r="IN24" s="16">
        <f t="shared" si="69"/>
        <v>0.96878416441684978</v>
      </c>
      <c r="IO24" s="29">
        <f t="shared" si="70"/>
        <v>246.0254957601428</v>
      </c>
      <c r="IP24" s="29">
        <f t="shared" si="71"/>
        <v>253.95284604825829</v>
      </c>
      <c r="IQ24" s="34"/>
      <c r="IR24" s="4"/>
      <c r="IS24" s="5"/>
      <c r="IT24" s="6"/>
      <c r="IU24" s="32"/>
      <c r="IV24" s="3"/>
      <c r="IW24" s="4"/>
      <c r="IX24" s="5"/>
      <c r="IY24" s="6"/>
      <c r="IZ24" s="14"/>
      <c r="JA24" s="13"/>
      <c r="JC24" s="26">
        <f t="shared" si="18"/>
        <v>0</v>
      </c>
      <c r="JD24" s="26">
        <f t="shared" si="19"/>
        <v>3172.1566447205714</v>
      </c>
      <c r="JE24" s="16" t="e">
        <f t="shared" si="72"/>
        <v>#DIV/0!</v>
      </c>
      <c r="JF24" s="29">
        <f t="shared" si="73"/>
        <v>0</v>
      </c>
      <c r="JG24" s="29">
        <f t="shared" si="74"/>
        <v>0</v>
      </c>
      <c r="JH24" s="34"/>
      <c r="JI24" s="4"/>
      <c r="JJ24" s="5"/>
      <c r="JK24" s="6"/>
      <c r="JL24" s="32"/>
      <c r="JM24" s="3"/>
      <c r="JN24" s="4"/>
      <c r="JO24" s="5"/>
      <c r="JP24" s="6"/>
      <c r="JQ24" s="14"/>
      <c r="JR24" s="99"/>
      <c r="JS24" s="99"/>
      <c r="JT24" s="99"/>
      <c r="JU24" s="99"/>
      <c r="JV24" s="99"/>
      <c r="JW24" s="99"/>
      <c r="JX24" s="99"/>
      <c r="JY24" s="99"/>
      <c r="JZ24" s="99"/>
      <c r="KA24" s="99"/>
      <c r="KB24" s="99"/>
      <c r="KC24" s="99"/>
      <c r="KD24" s="99"/>
      <c r="KE24" s="99"/>
      <c r="KF24" s="99"/>
      <c r="KG24" s="99"/>
      <c r="KH24" s="99"/>
      <c r="KI24" s="99"/>
      <c r="KJ24" s="99"/>
      <c r="KK24" s="99"/>
      <c r="KL24" s="99"/>
      <c r="KM24" s="99"/>
      <c r="KN24" s="99"/>
      <c r="KO24" s="99"/>
      <c r="KP24" s="99"/>
      <c r="KQ24" s="99"/>
      <c r="KR24" s="99"/>
      <c r="KS24" s="99"/>
      <c r="KT24" s="99"/>
      <c r="KU24" s="99"/>
      <c r="KV24" s="99"/>
      <c r="KW24" s="99"/>
      <c r="KX24" s="99"/>
      <c r="KY24" s="99"/>
      <c r="KZ24" s="99"/>
      <c r="LA24" s="99"/>
      <c r="LB24" s="99"/>
      <c r="LC24" s="99"/>
      <c r="LD24" s="99"/>
      <c r="LE24" s="99"/>
      <c r="LF24" s="99"/>
      <c r="LG24" s="99"/>
      <c r="LH24" s="99"/>
      <c r="LI24" s="99"/>
      <c r="LJ24" s="99"/>
      <c r="LK24" s="99"/>
      <c r="LL24" s="99"/>
      <c r="LM24" s="99"/>
      <c r="LN24" s="99"/>
      <c r="LO24" s="99"/>
      <c r="LP24" s="99"/>
      <c r="LQ24" s="99"/>
      <c r="LR24" s="99"/>
      <c r="LS24" s="99"/>
      <c r="LT24" s="99"/>
      <c r="LU24" s="99"/>
      <c r="LV24" s="99"/>
      <c r="LW24" s="99"/>
      <c r="LX24" s="99"/>
      <c r="LY24" s="99"/>
      <c r="LZ24" s="99"/>
      <c r="MA24" s="99"/>
      <c r="MB24" s="99"/>
      <c r="MC24" s="99"/>
      <c r="MD24" s="99"/>
      <c r="ME24" s="99"/>
      <c r="MF24" s="99"/>
    </row>
    <row r="25" spans="1:344" ht="17.25" customHeight="1" x14ac:dyDescent="0.25">
      <c r="A25" s="155" t="s">
        <v>9</v>
      </c>
      <c r="B25" s="79" t="s">
        <v>1</v>
      </c>
      <c r="C25" s="80">
        <v>45159</v>
      </c>
      <c r="D25" s="50"/>
      <c r="G25" s="36">
        <f t="shared" si="0"/>
        <v>0</v>
      </c>
      <c r="H25" s="27">
        <f t="shared" si="1"/>
        <v>0</v>
      </c>
      <c r="I25" s="47"/>
      <c r="K25" s="105">
        <v>70</v>
      </c>
      <c r="L25" s="89">
        <f t="shared" si="2"/>
        <v>5.5625</v>
      </c>
      <c r="M25" s="27">
        <f t="shared" si="20"/>
        <v>389.375</v>
      </c>
      <c r="N25" s="35">
        <f t="shared" si="21"/>
        <v>389.375</v>
      </c>
      <c r="O25" s="97"/>
      <c r="P25" s="149">
        <f t="shared" ref="P25" si="78">SUM(N25:N31)</f>
        <v>3711.0625</v>
      </c>
      <c r="W25" s="11">
        <v>0</v>
      </c>
      <c r="X25" s="1">
        <v>5</v>
      </c>
      <c r="Y25" s="27">
        <f t="shared" si="3"/>
        <v>350</v>
      </c>
      <c r="Z25" s="27">
        <f t="shared" si="22"/>
        <v>0</v>
      </c>
      <c r="AA25" s="15">
        <f>AB25/AC25</f>
        <v>1.0000000000000002</v>
      </c>
      <c r="AB25" s="43">
        <f>Y25*(2/(7+1))+((1-(2/(7+1)))*Y25)</f>
        <v>350</v>
      </c>
      <c r="AC25" s="43">
        <f>Y25*(2/(28+1))+((1-(2/(28+1)))*Y25)</f>
        <v>349.99999999999994</v>
      </c>
      <c r="AD25" s="33"/>
      <c r="AH25" s="31"/>
      <c r="AP25" s="27">
        <f t="shared" si="4"/>
        <v>0</v>
      </c>
      <c r="AQ25" s="27">
        <f t="shared" si="23"/>
        <v>0</v>
      </c>
      <c r="AR25" s="52"/>
      <c r="AS25" s="28">
        <f t="shared" si="37"/>
        <v>0</v>
      </c>
      <c r="AT25" s="28">
        <f t="shared" si="38"/>
        <v>0</v>
      </c>
      <c r="AU25" s="33"/>
      <c r="AY25" s="31"/>
      <c r="BF25" s="1">
        <v>4</v>
      </c>
      <c r="BG25" s="27">
        <f t="shared" si="5"/>
        <v>280</v>
      </c>
      <c r="BH25" s="27">
        <f t="shared" si="24"/>
        <v>0</v>
      </c>
      <c r="BI25" s="15">
        <f t="shared" si="39"/>
        <v>1.2524270647511959</v>
      </c>
      <c r="BJ25" s="28">
        <f t="shared" si="40"/>
        <v>381.97820919193327</v>
      </c>
      <c r="BK25" s="28">
        <f t="shared" si="41"/>
        <v>304.99038222861793</v>
      </c>
      <c r="BL25" s="33"/>
      <c r="BP25" s="31"/>
      <c r="BW25" s="1">
        <v>7</v>
      </c>
      <c r="BX25" s="27">
        <f t="shared" si="6"/>
        <v>490</v>
      </c>
      <c r="BY25" s="27">
        <f t="shared" si="25"/>
        <v>0</v>
      </c>
      <c r="BZ25" s="15">
        <f t="shared" si="42"/>
        <v>1.3562057555828475</v>
      </c>
      <c r="CA25" s="28">
        <f t="shared" si="43"/>
        <v>432.6613451782614</v>
      </c>
      <c r="CB25" s="28">
        <f t="shared" si="44"/>
        <v>319.02338077920882</v>
      </c>
      <c r="CC25" s="33"/>
      <c r="CG25" s="31"/>
      <c r="CN25" s="1">
        <v>5</v>
      </c>
      <c r="CO25" s="27">
        <f t="shared" si="7"/>
        <v>350</v>
      </c>
      <c r="CP25" s="27">
        <f t="shared" si="26"/>
        <v>0</v>
      </c>
      <c r="CQ25" s="15">
        <f t="shared" si="45"/>
        <v>1.2670602507730402</v>
      </c>
      <c r="CR25" s="28">
        <f t="shared" si="46"/>
        <v>393.2887865845114</v>
      </c>
      <c r="CS25" s="28">
        <f t="shared" si="47"/>
        <v>310.39470012934572</v>
      </c>
      <c r="CT25" s="33"/>
      <c r="CX25" s="31"/>
      <c r="DE25" s="1">
        <v>6</v>
      </c>
      <c r="DF25" s="27">
        <f t="shared" si="8"/>
        <v>420</v>
      </c>
      <c r="DG25" s="27">
        <f t="shared" si="27"/>
        <v>0</v>
      </c>
      <c r="DH25" s="15">
        <f t="shared" si="48"/>
        <v>1.2663603160911612</v>
      </c>
      <c r="DI25" s="28">
        <f t="shared" si="49"/>
        <v>369.89492672123015</v>
      </c>
      <c r="DJ25" s="28">
        <f t="shared" si="50"/>
        <v>292.09295492058249</v>
      </c>
      <c r="DK25" s="33"/>
      <c r="DO25" s="31"/>
      <c r="DV25" s="1">
        <v>4.5</v>
      </c>
      <c r="DW25" s="27">
        <f t="shared" si="9"/>
        <v>315</v>
      </c>
      <c r="DX25" s="27">
        <f t="shared" si="28"/>
        <v>0</v>
      </c>
      <c r="DY25" s="15">
        <f t="shared" si="51"/>
        <v>1.2561548161357563</v>
      </c>
      <c r="DZ25" s="28">
        <f t="shared" si="52"/>
        <v>374.93398922123015</v>
      </c>
      <c r="EA25" s="28">
        <f t="shared" si="53"/>
        <v>298.47753191331947</v>
      </c>
      <c r="EB25" s="33"/>
      <c r="EF25" s="31"/>
      <c r="EN25" s="27">
        <f t="shared" si="10"/>
        <v>0</v>
      </c>
      <c r="EO25" s="27">
        <f t="shared" si="29"/>
        <v>0</v>
      </c>
      <c r="EP25" s="52"/>
      <c r="EQ25" s="28">
        <f t="shared" si="54"/>
        <v>0</v>
      </c>
      <c r="ER25" s="28">
        <f t="shared" si="55"/>
        <v>0</v>
      </c>
      <c r="ES25" s="33"/>
      <c r="EW25" s="31"/>
      <c r="FD25" s="1">
        <v>7</v>
      </c>
      <c r="FE25" s="27">
        <f t="shared" si="11"/>
        <v>490</v>
      </c>
      <c r="FF25" s="27">
        <f t="shared" si="30"/>
        <v>0</v>
      </c>
      <c r="FG25" s="15">
        <f t="shared" si="56"/>
        <v>1.3597687514957799</v>
      </c>
      <c r="FH25" s="28">
        <f t="shared" si="57"/>
        <v>468.35455196537077</v>
      </c>
      <c r="FI25" s="28">
        <f t="shared" si="58"/>
        <v>344.43691359296861</v>
      </c>
      <c r="FJ25" s="33"/>
      <c r="FN25" s="31"/>
      <c r="FV25" s="27">
        <f t="shared" si="12"/>
        <v>0</v>
      </c>
      <c r="FW25" s="27">
        <f t="shared" si="31"/>
        <v>0</v>
      </c>
      <c r="FX25" s="52"/>
      <c r="FY25" s="28">
        <f t="shared" si="59"/>
        <v>0</v>
      </c>
      <c r="FZ25" s="28">
        <f t="shared" si="60"/>
        <v>0</v>
      </c>
      <c r="GA25" s="33"/>
      <c r="GE25" s="31"/>
      <c r="GL25" s="1">
        <v>6</v>
      </c>
      <c r="GM25" s="27">
        <f t="shared" si="13"/>
        <v>420</v>
      </c>
      <c r="GN25" s="27">
        <f t="shared" si="32"/>
        <v>0</v>
      </c>
      <c r="GO25" s="15">
        <f t="shared" si="77"/>
        <v>0.74515172029308707</v>
      </c>
      <c r="GP25" s="28">
        <f t="shared" si="61"/>
        <v>667.5</v>
      </c>
      <c r="GQ25" s="28">
        <f t="shared" si="62"/>
        <v>895.79072532699161</v>
      </c>
      <c r="GR25" s="33"/>
      <c r="GV25" s="31"/>
      <c r="HC25" s="1">
        <v>5</v>
      </c>
      <c r="HD25" s="27">
        <f t="shared" si="14"/>
        <v>350</v>
      </c>
      <c r="HE25" s="27">
        <f t="shared" si="33"/>
        <v>0</v>
      </c>
      <c r="HF25" s="15">
        <f t="shared" si="63"/>
        <v>1.2068476683985851</v>
      </c>
      <c r="HG25" s="28">
        <f t="shared" si="64"/>
        <v>339.12344234623015</v>
      </c>
      <c r="HH25" s="28">
        <f t="shared" si="65"/>
        <v>280.99937649647757</v>
      </c>
      <c r="HI25" s="33"/>
      <c r="HM25" s="31"/>
      <c r="HT25" s="1">
        <v>5</v>
      </c>
      <c r="HU25" s="27">
        <f t="shared" si="15"/>
        <v>350</v>
      </c>
      <c r="HV25" s="27">
        <f t="shared" si="34"/>
        <v>0</v>
      </c>
      <c r="HW25" s="15">
        <f t="shared" si="66"/>
        <v>1.2589960877812967</v>
      </c>
      <c r="HX25" s="28">
        <f t="shared" si="67"/>
        <v>358.27982204593718</v>
      </c>
      <c r="HY25" s="28">
        <f t="shared" si="68"/>
        <v>284.5758025168501</v>
      </c>
      <c r="HZ25" s="33"/>
      <c r="ID25" s="31"/>
      <c r="II25" s="12"/>
      <c r="IK25" s="1">
        <v>7</v>
      </c>
      <c r="IL25" s="27">
        <f t="shared" si="16"/>
        <v>490</v>
      </c>
      <c r="IM25" s="27">
        <f t="shared" si="17"/>
        <v>3819.8309018758382</v>
      </c>
      <c r="IN25" s="15">
        <f t="shared" si="69"/>
        <v>1.1361317946652447</v>
      </c>
      <c r="IO25" s="28">
        <f t="shared" si="70"/>
        <v>307.0191218201071</v>
      </c>
      <c r="IP25" s="28">
        <f t="shared" si="71"/>
        <v>270.23196011389564</v>
      </c>
      <c r="IQ25" s="33"/>
      <c r="IU25" s="31"/>
      <c r="JC25" s="27">
        <f t="shared" si="18"/>
        <v>0</v>
      </c>
      <c r="JD25" s="27">
        <f t="shared" si="19"/>
        <v>3478.9298277370935</v>
      </c>
      <c r="JE25" s="15" t="e">
        <f t="shared" si="72"/>
        <v>#DIV/0!</v>
      </c>
      <c r="JF25" s="28">
        <f t="shared" si="73"/>
        <v>0</v>
      </c>
      <c r="JG25" s="28">
        <f t="shared" si="74"/>
        <v>0</v>
      </c>
      <c r="JH25" s="33"/>
      <c r="JL25" s="31"/>
      <c r="JR25" s="99"/>
      <c r="JS25" s="99"/>
      <c r="JT25" s="99"/>
      <c r="JU25" s="99"/>
      <c r="JV25" s="99"/>
      <c r="JW25" s="99"/>
      <c r="JX25" s="99"/>
      <c r="JY25" s="99"/>
      <c r="JZ25" s="99"/>
      <c r="KA25" s="99"/>
      <c r="KB25" s="99"/>
      <c r="KC25" s="99"/>
      <c r="KD25" s="99"/>
      <c r="KE25" s="99"/>
      <c r="KF25" s="99"/>
      <c r="KG25" s="99"/>
      <c r="KH25" s="99"/>
      <c r="KI25" s="99"/>
      <c r="KJ25" s="99"/>
      <c r="KK25" s="99"/>
      <c r="KL25" s="99"/>
      <c r="KM25" s="99"/>
      <c r="KN25" s="99"/>
      <c r="KO25" s="99"/>
      <c r="KP25" s="99"/>
      <c r="KQ25" s="99"/>
      <c r="KR25" s="99"/>
      <c r="KS25" s="99"/>
      <c r="KT25" s="99"/>
      <c r="KU25" s="99"/>
      <c r="KV25" s="99"/>
      <c r="KW25" s="99"/>
      <c r="KX25" s="99"/>
      <c r="KY25" s="99"/>
      <c r="KZ25" s="99"/>
      <c r="LA25" s="99"/>
      <c r="LB25" s="99"/>
      <c r="LC25" s="99"/>
      <c r="LD25" s="99"/>
      <c r="LE25" s="99"/>
      <c r="LF25" s="99"/>
      <c r="LG25" s="99"/>
      <c r="LH25" s="99"/>
      <c r="LI25" s="99"/>
      <c r="LJ25" s="99"/>
      <c r="LK25" s="99"/>
      <c r="LL25" s="99"/>
      <c r="LM25" s="99"/>
      <c r="LN25" s="99"/>
      <c r="LO25" s="99"/>
      <c r="LP25" s="99"/>
      <c r="LQ25" s="99"/>
      <c r="LR25" s="99"/>
      <c r="LS25" s="99"/>
      <c r="LT25" s="99"/>
      <c r="LU25" s="99"/>
      <c r="LV25" s="99"/>
      <c r="LW25" s="99"/>
      <c r="LX25" s="99"/>
      <c r="LY25" s="99"/>
      <c r="LZ25" s="99"/>
      <c r="MA25" s="99"/>
      <c r="MB25" s="99"/>
      <c r="MC25" s="99"/>
      <c r="MD25" s="99"/>
      <c r="ME25" s="99"/>
      <c r="MF25" s="99"/>
    </row>
    <row r="26" spans="1:344" ht="17.25" customHeight="1" x14ac:dyDescent="0.25">
      <c r="A26" s="156"/>
      <c r="B26" s="81" t="s">
        <v>2</v>
      </c>
      <c r="C26" s="82">
        <v>45160</v>
      </c>
      <c r="D26" s="49"/>
      <c r="G26" s="89">
        <f t="shared" si="0"/>
        <v>0</v>
      </c>
      <c r="H26" s="35">
        <f t="shared" si="1"/>
        <v>0</v>
      </c>
      <c r="I26" s="39"/>
      <c r="K26" s="103">
        <v>71</v>
      </c>
      <c r="L26" s="89">
        <f t="shared" si="2"/>
        <v>7.3125</v>
      </c>
      <c r="M26" s="35">
        <f t="shared" si="20"/>
        <v>519.1875</v>
      </c>
      <c r="N26" s="35">
        <f t="shared" si="21"/>
        <v>519.1875</v>
      </c>
      <c r="O26" s="97"/>
      <c r="P26" s="150"/>
      <c r="W26" s="11">
        <v>0</v>
      </c>
      <c r="X26" s="1">
        <v>7.5</v>
      </c>
      <c r="Y26" s="35">
        <f t="shared" si="3"/>
        <v>532.5</v>
      </c>
      <c r="Z26" s="35">
        <f t="shared" si="22"/>
        <v>0</v>
      </c>
      <c r="AA26" s="15">
        <f>AB26/AC26</f>
        <v>1.0911198288159774</v>
      </c>
      <c r="AB26" s="43">
        <f t="shared" ref="AB26" si="79">Y26*(2/(7+1))+((1-(2/(7+1)))*AB25)</f>
        <v>395.625</v>
      </c>
      <c r="AC26" s="43">
        <f>Y26*(2/(28+1))+((1-(2/(28+1)))*AC25)</f>
        <v>362.58620689655163</v>
      </c>
      <c r="AD26" s="33"/>
      <c r="AH26" s="31"/>
      <c r="AP26" s="35">
        <f t="shared" si="4"/>
        <v>0</v>
      </c>
      <c r="AQ26" s="35">
        <f t="shared" si="23"/>
        <v>0</v>
      </c>
      <c r="AR26" s="52"/>
      <c r="AS26" s="28">
        <f t="shared" si="37"/>
        <v>0</v>
      </c>
      <c r="AT26" s="28">
        <f t="shared" si="38"/>
        <v>0</v>
      </c>
      <c r="AU26" s="33"/>
      <c r="AY26" s="31"/>
      <c r="BF26" s="1">
        <v>8</v>
      </c>
      <c r="BG26" s="35">
        <f t="shared" si="5"/>
        <v>568</v>
      </c>
      <c r="BH26" s="35">
        <f t="shared" si="24"/>
        <v>0</v>
      </c>
      <c r="BI26" s="15">
        <f t="shared" si="39"/>
        <v>1.326045288350874</v>
      </c>
      <c r="BJ26" s="28">
        <f t="shared" si="40"/>
        <v>428.48365689394996</v>
      </c>
      <c r="BK26" s="28">
        <f t="shared" si="41"/>
        <v>323.12897655767875</v>
      </c>
      <c r="BL26" s="33"/>
      <c r="BP26" s="31"/>
      <c r="BW26" s="1">
        <v>7</v>
      </c>
      <c r="BX26" s="35">
        <f t="shared" si="6"/>
        <v>497</v>
      </c>
      <c r="BY26" s="35">
        <f t="shared" si="25"/>
        <v>0</v>
      </c>
      <c r="BZ26" s="15">
        <f t="shared" si="42"/>
        <v>1.3545101676945641</v>
      </c>
      <c r="CA26" s="28">
        <f t="shared" si="43"/>
        <v>448.74600888369605</v>
      </c>
      <c r="CB26" s="28">
        <f t="shared" si="44"/>
        <v>331.29763038064272</v>
      </c>
      <c r="CC26" s="33"/>
      <c r="CG26" s="31"/>
      <c r="CN26" s="1">
        <v>7</v>
      </c>
      <c r="CO26" s="35">
        <f t="shared" si="7"/>
        <v>497</v>
      </c>
      <c r="CP26" s="35">
        <f t="shared" si="26"/>
        <v>0</v>
      </c>
      <c r="CQ26" s="15">
        <f t="shared" si="45"/>
        <v>1.2968241113639241</v>
      </c>
      <c r="CR26" s="28">
        <f t="shared" si="46"/>
        <v>419.21658993838355</v>
      </c>
      <c r="CS26" s="28">
        <f t="shared" si="47"/>
        <v>323.26403115490808</v>
      </c>
      <c r="CT26" s="33"/>
      <c r="CX26" s="31"/>
      <c r="DE26" s="1">
        <v>7</v>
      </c>
      <c r="DF26" s="35">
        <f t="shared" si="8"/>
        <v>497</v>
      </c>
      <c r="DG26" s="35">
        <f t="shared" si="27"/>
        <v>0</v>
      </c>
      <c r="DH26" s="15">
        <f t="shared" si="48"/>
        <v>1.3116887364591057</v>
      </c>
      <c r="DI26" s="28">
        <f t="shared" si="49"/>
        <v>401.67119504092261</v>
      </c>
      <c r="DJ26" s="28">
        <f t="shared" si="50"/>
        <v>306.22447527088713</v>
      </c>
      <c r="DK26" s="33"/>
      <c r="DO26" s="31"/>
      <c r="DV26" s="1">
        <v>7</v>
      </c>
      <c r="DW26" s="35">
        <f t="shared" si="9"/>
        <v>497</v>
      </c>
      <c r="DX26" s="35">
        <f t="shared" si="28"/>
        <v>0</v>
      </c>
      <c r="DY26" s="15">
        <f t="shared" si="51"/>
        <v>1.2988183772669784</v>
      </c>
      <c r="DZ26" s="28">
        <f t="shared" si="52"/>
        <v>405.45049191592261</v>
      </c>
      <c r="EA26" s="28">
        <f t="shared" si="53"/>
        <v>312.1687366089526</v>
      </c>
      <c r="EB26" s="33"/>
      <c r="EF26" s="31"/>
      <c r="EN26" s="35">
        <f t="shared" si="10"/>
        <v>0</v>
      </c>
      <c r="EO26" s="35">
        <f t="shared" si="29"/>
        <v>0</v>
      </c>
      <c r="EP26" s="52"/>
      <c r="EQ26" s="28">
        <f t="shared" si="54"/>
        <v>0</v>
      </c>
      <c r="ER26" s="28">
        <f t="shared" si="55"/>
        <v>0</v>
      </c>
      <c r="ES26" s="33"/>
      <c r="EW26" s="31"/>
      <c r="FD26" s="1">
        <v>8</v>
      </c>
      <c r="FE26" s="35">
        <f t="shared" si="11"/>
        <v>568</v>
      </c>
      <c r="FF26" s="35">
        <f t="shared" si="30"/>
        <v>0</v>
      </c>
      <c r="FG26" s="15">
        <f t="shared" si="56"/>
        <v>1.3707349770877726</v>
      </c>
      <c r="FH26" s="28">
        <f t="shared" si="57"/>
        <v>493.26591397402808</v>
      </c>
      <c r="FI26" s="28">
        <f t="shared" si="58"/>
        <v>359.85505748310868</v>
      </c>
      <c r="FJ26" s="33"/>
      <c r="FN26" s="31"/>
      <c r="FV26" s="35">
        <f t="shared" si="12"/>
        <v>0</v>
      </c>
      <c r="FW26" s="35">
        <f t="shared" si="31"/>
        <v>0</v>
      </c>
      <c r="FX26" s="52"/>
      <c r="FY26" s="28">
        <f t="shared" si="59"/>
        <v>0</v>
      </c>
      <c r="FZ26" s="28">
        <f t="shared" si="60"/>
        <v>0</v>
      </c>
      <c r="GA26" s="33"/>
      <c r="GE26" s="31"/>
      <c r="GL26" s="1">
        <v>7</v>
      </c>
      <c r="GM26" s="35">
        <f t="shared" si="13"/>
        <v>497</v>
      </c>
      <c r="GN26" s="35">
        <f t="shared" si="32"/>
        <v>0</v>
      </c>
      <c r="GO26" s="15">
        <f t="shared" si="77"/>
        <v>0.71966336049749846</v>
      </c>
      <c r="GP26" s="28">
        <f t="shared" si="61"/>
        <v>624.875</v>
      </c>
      <c r="GQ26" s="28">
        <f t="shared" si="62"/>
        <v>868.28791668375072</v>
      </c>
      <c r="GR26" s="33"/>
      <c r="GV26" s="31"/>
      <c r="HC26" s="1">
        <v>6</v>
      </c>
      <c r="HD26" s="35">
        <f t="shared" si="14"/>
        <v>426</v>
      </c>
      <c r="HE26" s="35">
        <f t="shared" si="33"/>
        <v>0</v>
      </c>
      <c r="HF26" s="15">
        <f t="shared" si="63"/>
        <v>1.2400113456712212</v>
      </c>
      <c r="HG26" s="28">
        <f t="shared" si="64"/>
        <v>360.84258175967261</v>
      </c>
      <c r="HH26" s="28">
        <f t="shared" si="65"/>
        <v>290.99941949672052</v>
      </c>
      <c r="HI26" s="33"/>
      <c r="HM26" s="31"/>
      <c r="HT26" s="1">
        <v>8</v>
      </c>
      <c r="HU26" s="35">
        <f t="shared" si="15"/>
        <v>568</v>
      </c>
      <c r="HV26" s="35">
        <f t="shared" si="34"/>
        <v>0</v>
      </c>
      <c r="HW26" s="15">
        <f t="shared" si="66"/>
        <v>1.350476002669752</v>
      </c>
      <c r="HX26" s="28">
        <f t="shared" si="67"/>
        <v>410.70986653445289</v>
      </c>
      <c r="HY26" s="28">
        <f t="shared" si="68"/>
        <v>304.12229889499832</v>
      </c>
      <c r="HZ26" s="33"/>
      <c r="ID26" s="31"/>
      <c r="II26" s="12"/>
      <c r="IK26" s="1">
        <v>8</v>
      </c>
      <c r="IL26" s="35">
        <f t="shared" si="16"/>
        <v>568</v>
      </c>
      <c r="IM26" s="35">
        <f t="shared" si="17"/>
        <v>3952.5357179410812</v>
      </c>
      <c r="IN26" s="15">
        <f t="shared" si="69"/>
        <v>1.2802809872121768</v>
      </c>
      <c r="IO26" s="28">
        <f t="shared" si="70"/>
        <v>372.26434136508033</v>
      </c>
      <c r="IP26" s="28">
        <f t="shared" si="71"/>
        <v>290.76768700259248</v>
      </c>
      <c r="IQ26" s="33"/>
      <c r="IU26" s="31"/>
      <c r="JC26" s="35">
        <f t="shared" si="18"/>
        <v>0</v>
      </c>
      <c r="JD26" s="35">
        <f t="shared" si="19"/>
        <v>3794.0769878621668</v>
      </c>
      <c r="JE26" s="15" t="e">
        <f t="shared" si="72"/>
        <v>#DIV/0!</v>
      </c>
      <c r="JF26" s="28">
        <f t="shared" si="73"/>
        <v>0</v>
      </c>
      <c r="JG26" s="28">
        <f t="shared" si="74"/>
        <v>0</v>
      </c>
      <c r="JH26" s="33"/>
      <c r="JL26" s="31"/>
      <c r="JR26" s="99"/>
      <c r="JS26" s="99"/>
      <c r="JT26" s="99"/>
      <c r="JU26" s="99"/>
      <c r="JV26" s="99"/>
      <c r="JW26" s="99"/>
      <c r="JX26" s="99"/>
      <c r="JY26" s="99"/>
      <c r="JZ26" s="99"/>
      <c r="KA26" s="99"/>
      <c r="KB26" s="99"/>
      <c r="KC26" s="99"/>
      <c r="KD26" s="99"/>
      <c r="KE26" s="99"/>
      <c r="KF26" s="99"/>
      <c r="KG26" s="99"/>
      <c r="KH26" s="99"/>
      <c r="KI26" s="99"/>
      <c r="KJ26" s="99"/>
      <c r="KK26" s="99"/>
      <c r="KL26" s="99"/>
      <c r="KM26" s="99"/>
      <c r="KN26" s="99"/>
      <c r="KO26" s="99"/>
      <c r="KP26" s="99"/>
      <c r="KQ26" s="99"/>
      <c r="KR26" s="99"/>
      <c r="KS26" s="99"/>
      <c r="KT26" s="99"/>
      <c r="KU26" s="99"/>
      <c r="KV26" s="99"/>
      <c r="KW26" s="99"/>
      <c r="KX26" s="99"/>
      <c r="KY26" s="99"/>
      <c r="KZ26" s="99"/>
      <c r="LA26" s="99"/>
      <c r="LB26" s="99"/>
      <c r="LC26" s="99"/>
      <c r="LD26" s="99"/>
      <c r="LE26" s="99"/>
      <c r="LF26" s="99"/>
      <c r="LG26" s="99"/>
      <c r="LH26" s="99"/>
      <c r="LI26" s="99"/>
      <c r="LJ26" s="99"/>
      <c r="LK26" s="99"/>
      <c r="LL26" s="99"/>
      <c r="LM26" s="99"/>
      <c r="LN26" s="99"/>
      <c r="LO26" s="99"/>
      <c r="LP26" s="99"/>
      <c r="LQ26" s="99"/>
      <c r="LR26" s="99"/>
      <c r="LS26" s="99"/>
      <c r="LT26" s="99"/>
      <c r="LU26" s="99"/>
      <c r="LV26" s="99"/>
      <c r="LW26" s="99"/>
      <c r="LX26" s="99"/>
      <c r="LY26" s="99"/>
      <c r="LZ26" s="99"/>
      <c r="MA26" s="99"/>
      <c r="MB26" s="99"/>
      <c r="MC26" s="99"/>
      <c r="MD26" s="99"/>
      <c r="ME26" s="99"/>
      <c r="MF26" s="99"/>
    </row>
    <row r="27" spans="1:344" ht="17.25" customHeight="1" x14ac:dyDescent="0.25">
      <c r="A27" s="156"/>
      <c r="B27" s="81" t="s">
        <v>3</v>
      </c>
      <c r="C27" s="82">
        <v>45161</v>
      </c>
      <c r="D27" s="49"/>
      <c r="F27" s="103">
        <v>100</v>
      </c>
      <c r="G27" s="89">
        <f t="shared" si="0"/>
        <v>3</v>
      </c>
      <c r="H27" s="35">
        <f t="shared" si="1"/>
        <v>300</v>
      </c>
      <c r="I27" s="39"/>
      <c r="L27" s="89">
        <f t="shared" si="2"/>
        <v>0</v>
      </c>
      <c r="M27" s="35">
        <f t="shared" si="20"/>
        <v>0</v>
      </c>
      <c r="N27" s="35">
        <f t="shared" si="21"/>
        <v>300</v>
      </c>
      <c r="O27" s="97"/>
      <c r="P27" s="150"/>
      <c r="W27" s="11">
        <v>3</v>
      </c>
      <c r="X27" s="1">
        <v>0</v>
      </c>
      <c r="Y27" s="35">
        <f t="shared" si="3"/>
        <v>300</v>
      </c>
      <c r="Z27" s="35">
        <f t="shared" si="22"/>
        <v>0</v>
      </c>
      <c r="AA27" s="15">
        <f t="shared" ref="AA27:AA76" si="80">AB27/AC27</f>
        <v>1.0375382710210588</v>
      </c>
      <c r="AB27" s="43">
        <f t="shared" ref="AB27:AB89" si="81">Y27*(2/(7+1))+((1-(2/(7+1)))*AB26)</f>
        <v>371.71875</v>
      </c>
      <c r="AC27" s="43">
        <f t="shared" ref="AC27:AC89" si="82">Y27*(2/(28+1))+((1-(2/(28+1)))*AC26)</f>
        <v>358.26991676575494</v>
      </c>
      <c r="AD27" s="33"/>
      <c r="AH27" s="31"/>
      <c r="AP27" s="35">
        <f t="shared" si="4"/>
        <v>0</v>
      </c>
      <c r="AQ27" s="35">
        <f t="shared" si="23"/>
        <v>0</v>
      </c>
      <c r="AR27" s="52"/>
      <c r="AS27" s="28">
        <f t="shared" si="37"/>
        <v>0</v>
      </c>
      <c r="AT27" s="28">
        <f t="shared" si="38"/>
        <v>0</v>
      </c>
      <c r="AU27" s="33"/>
      <c r="AY27" s="31"/>
      <c r="BE27" s="11">
        <v>3</v>
      </c>
      <c r="BG27" s="35">
        <f t="shared" si="5"/>
        <v>300</v>
      </c>
      <c r="BH27" s="35">
        <f t="shared" si="24"/>
        <v>0</v>
      </c>
      <c r="BI27" s="15">
        <f t="shared" si="39"/>
        <v>1.2327246795009941</v>
      </c>
      <c r="BJ27" s="28">
        <f t="shared" si="40"/>
        <v>396.36274267046247</v>
      </c>
      <c r="BK27" s="28">
        <f t="shared" si="41"/>
        <v>321.53387472611468</v>
      </c>
      <c r="BL27" s="33"/>
      <c r="BP27" s="31"/>
      <c r="BV27" s="11">
        <v>3</v>
      </c>
      <c r="BX27" s="35">
        <f t="shared" si="6"/>
        <v>300</v>
      </c>
      <c r="BY27" s="35">
        <f t="shared" si="25"/>
        <v>0</v>
      </c>
      <c r="BZ27" s="15">
        <f t="shared" si="42"/>
        <v>1.2504118023091111</v>
      </c>
      <c r="CA27" s="28">
        <f t="shared" si="43"/>
        <v>411.55950666277204</v>
      </c>
      <c r="CB27" s="28">
        <f t="shared" si="44"/>
        <v>329.13917311301213</v>
      </c>
      <c r="CC27" s="33"/>
      <c r="CG27" s="31"/>
      <c r="CM27" s="11">
        <v>3</v>
      </c>
      <c r="CO27" s="35">
        <f t="shared" si="7"/>
        <v>300</v>
      </c>
      <c r="CP27" s="35">
        <f t="shared" si="26"/>
        <v>0</v>
      </c>
      <c r="CQ27" s="15">
        <f t="shared" si="45"/>
        <v>1.2106351684705339</v>
      </c>
      <c r="CR27" s="28">
        <f t="shared" si="46"/>
        <v>389.41244245378766</v>
      </c>
      <c r="CS27" s="28">
        <f t="shared" si="47"/>
        <v>321.65961521319025</v>
      </c>
      <c r="CT27" s="33"/>
      <c r="CX27" s="31"/>
      <c r="DD27" s="11">
        <v>3</v>
      </c>
      <c r="DF27" s="35">
        <f t="shared" si="8"/>
        <v>300</v>
      </c>
      <c r="DG27" s="35">
        <f t="shared" si="27"/>
        <v>0</v>
      </c>
      <c r="DH27" s="15">
        <f t="shared" si="48"/>
        <v>1.2304097477974738</v>
      </c>
      <c r="DI27" s="28">
        <f t="shared" si="49"/>
        <v>376.25339628069196</v>
      </c>
      <c r="DJ27" s="28">
        <f t="shared" si="50"/>
        <v>305.79520111427422</v>
      </c>
      <c r="DK27" s="33"/>
      <c r="DO27" s="31"/>
      <c r="DU27" s="11">
        <v>3</v>
      </c>
      <c r="DW27" s="35">
        <f t="shared" si="9"/>
        <v>300</v>
      </c>
      <c r="DX27" s="35">
        <f t="shared" si="28"/>
        <v>0</v>
      </c>
      <c r="DY27" s="15">
        <f t="shared" si="51"/>
        <v>1.2176419280125588</v>
      </c>
      <c r="DZ27" s="28">
        <f t="shared" si="52"/>
        <v>379.08786893694196</v>
      </c>
      <c r="EA27" s="28">
        <f t="shared" si="53"/>
        <v>311.32951339454206</v>
      </c>
      <c r="EB27" s="33"/>
      <c r="EF27" s="31"/>
      <c r="EN27" s="35">
        <f t="shared" si="10"/>
        <v>0</v>
      </c>
      <c r="EO27" s="35">
        <f t="shared" si="29"/>
        <v>0</v>
      </c>
      <c r="EP27" s="52"/>
      <c r="EQ27" s="28">
        <f t="shared" si="54"/>
        <v>0</v>
      </c>
      <c r="ER27" s="28">
        <f t="shared" si="55"/>
        <v>0</v>
      </c>
      <c r="ES27" s="33"/>
      <c r="EW27" s="31"/>
      <c r="FC27" s="11">
        <v>3</v>
      </c>
      <c r="FE27" s="35">
        <f t="shared" si="11"/>
        <v>300</v>
      </c>
      <c r="FF27" s="35">
        <f t="shared" si="30"/>
        <v>0</v>
      </c>
      <c r="FG27" s="15">
        <f t="shared" si="56"/>
        <v>1.2508167282077063</v>
      </c>
      <c r="FH27" s="28">
        <f t="shared" si="57"/>
        <v>444.94943548052106</v>
      </c>
      <c r="FI27" s="28">
        <f t="shared" si="58"/>
        <v>355.72712248427359</v>
      </c>
      <c r="FJ27" s="33"/>
      <c r="FN27" s="31"/>
      <c r="FV27" s="35">
        <f t="shared" si="12"/>
        <v>0</v>
      </c>
      <c r="FW27" s="35">
        <f t="shared" si="31"/>
        <v>0</v>
      </c>
      <c r="FX27" s="52"/>
      <c r="FY27" s="28">
        <f t="shared" si="59"/>
        <v>0</v>
      </c>
      <c r="FZ27" s="28">
        <f t="shared" si="60"/>
        <v>0</v>
      </c>
      <c r="GA27" s="33"/>
      <c r="GE27" s="31"/>
      <c r="GK27" s="11">
        <v>3</v>
      </c>
      <c r="GM27" s="35">
        <f t="shared" si="13"/>
        <v>300</v>
      </c>
      <c r="GN27" s="35">
        <f t="shared" si="32"/>
        <v>0</v>
      </c>
      <c r="GO27" s="15">
        <f t="shared" si="77"/>
        <v>0.65572199329556313</v>
      </c>
      <c r="GP27" s="28">
        <f t="shared" si="61"/>
        <v>543.65625</v>
      </c>
      <c r="GQ27" s="28">
        <f t="shared" si="62"/>
        <v>829.09564656762996</v>
      </c>
      <c r="GR27" s="33"/>
      <c r="GV27" s="31"/>
      <c r="HB27" s="11">
        <v>3</v>
      </c>
      <c r="HD27" s="35">
        <f t="shared" si="14"/>
        <v>300</v>
      </c>
      <c r="HE27" s="35">
        <f t="shared" si="33"/>
        <v>0</v>
      </c>
      <c r="HF27" s="15">
        <f t="shared" si="63"/>
        <v>1.1852128094845447</v>
      </c>
      <c r="HG27" s="28">
        <f t="shared" si="64"/>
        <v>345.63193631975446</v>
      </c>
      <c r="HH27" s="28">
        <f t="shared" si="65"/>
        <v>291.62014918660185</v>
      </c>
      <c r="HI27" s="33"/>
      <c r="HM27" s="31"/>
      <c r="HS27" s="11">
        <v>3</v>
      </c>
      <c r="HU27" s="35">
        <f t="shared" si="15"/>
        <v>300</v>
      </c>
      <c r="HV27" s="35">
        <f t="shared" si="34"/>
        <v>0</v>
      </c>
      <c r="HW27" s="15">
        <f t="shared" si="66"/>
        <v>1.260646781675526</v>
      </c>
      <c r="HX27" s="28">
        <f t="shared" si="67"/>
        <v>383.03239990083966</v>
      </c>
      <c r="HY27" s="28">
        <f t="shared" si="68"/>
        <v>303.8380024194812</v>
      </c>
      <c r="HZ27" s="33"/>
      <c r="ID27" s="31"/>
      <c r="II27" s="12"/>
      <c r="IJ27" s="11">
        <v>3</v>
      </c>
      <c r="IL27" s="35">
        <f t="shared" si="16"/>
        <v>300</v>
      </c>
      <c r="IM27" s="35">
        <f t="shared" si="17"/>
        <v>3595.6851276230759</v>
      </c>
      <c r="IN27" s="15">
        <f t="shared" si="69"/>
        <v>1.2154869938767467</v>
      </c>
      <c r="IO27" s="28">
        <f t="shared" si="70"/>
        <v>354.19825602381025</v>
      </c>
      <c r="IP27" s="28">
        <f t="shared" si="71"/>
        <v>291.40439824379297</v>
      </c>
      <c r="IQ27" s="33"/>
      <c r="IU27" s="31"/>
      <c r="JC27" s="35">
        <f t="shared" si="18"/>
        <v>0</v>
      </c>
      <c r="JD27" s="35">
        <f t="shared" si="19"/>
        <v>3469.5797513865136</v>
      </c>
      <c r="JE27" s="15" t="e">
        <f t="shared" si="72"/>
        <v>#DIV/0!</v>
      </c>
      <c r="JF27" s="28">
        <f t="shared" si="73"/>
        <v>0</v>
      </c>
      <c r="JG27" s="28">
        <f t="shared" si="74"/>
        <v>0</v>
      </c>
      <c r="JH27" s="33"/>
      <c r="JL27" s="31"/>
      <c r="JR27" s="99"/>
      <c r="JS27" s="99"/>
      <c r="JT27" s="99"/>
      <c r="JU27" s="99"/>
      <c r="JV27" s="99"/>
      <c r="JW27" s="99"/>
      <c r="JX27" s="99"/>
      <c r="JY27" s="99"/>
      <c r="JZ27" s="99"/>
      <c r="KA27" s="99"/>
      <c r="KB27" s="99"/>
      <c r="KC27" s="99"/>
      <c r="KD27" s="99"/>
      <c r="KE27" s="99"/>
      <c r="KF27" s="99"/>
      <c r="KG27" s="99"/>
      <c r="KH27" s="99"/>
      <c r="KI27" s="99"/>
      <c r="KJ27" s="99"/>
      <c r="KK27" s="99"/>
      <c r="KL27" s="99"/>
      <c r="KM27" s="99"/>
      <c r="KN27" s="99"/>
      <c r="KO27" s="99"/>
      <c r="KP27" s="99"/>
      <c r="KQ27" s="99"/>
      <c r="KR27" s="99"/>
      <c r="KS27" s="99"/>
      <c r="KT27" s="99"/>
      <c r="KU27" s="99"/>
      <c r="KV27" s="99"/>
      <c r="KW27" s="99"/>
      <c r="KX27" s="99"/>
      <c r="KY27" s="99"/>
      <c r="KZ27" s="99"/>
      <c r="LA27" s="99"/>
      <c r="LB27" s="99"/>
      <c r="LC27" s="99"/>
      <c r="LD27" s="99"/>
      <c r="LE27" s="99"/>
      <c r="LF27" s="99"/>
      <c r="LG27" s="99"/>
      <c r="LH27" s="99"/>
      <c r="LI27" s="99"/>
      <c r="LJ27" s="99"/>
      <c r="LK27" s="99"/>
      <c r="LL27" s="99"/>
      <c r="LM27" s="99"/>
      <c r="LN27" s="99"/>
      <c r="LO27" s="99"/>
      <c r="LP27" s="99"/>
      <c r="LQ27" s="99"/>
      <c r="LR27" s="99"/>
      <c r="LS27" s="99"/>
      <c r="LT27" s="99"/>
      <c r="LU27" s="99"/>
      <c r="LV27" s="99"/>
      <c r="LW27" s="99"/>
      <c r="LX27" s="99"/>
      <c r="LY27" s="99"/>
      <c r="LZ27" s="99"/>
      <c r="MA27" s="99"/>
      <c r="MB27" s="99"/>
      <c r="MC27" s="99"/>
      <c r="MD27" s="99"/>
      <c r="ME27" s="99"/>
      <c r="MF27" s="99"/>
    </row>
    <row r="28" spans="1:344" ht="17.25" customHeight="1" x14ac:dyDescent="0.25">
      <c r="A28" s="156"/>
      <c r="B28" s="81" t="s">
        <v>4</v>
      </c>
      <c r="C28" s="82">
        <v>45162</v>
      </c>
      <c r="D28" s="49"/>
      <c r="F28" s="103">
        <v>90</v>
      </c>
      <c r="G28" s="89">
        <f t="shared" si="0"/>
        <v>6.6875</v>
      </c>
      <c r="H28" s="35">
        <f t="shared" si="1"/>
        <v>601.875</v>
      </c>
      <c r="I28" s="39"/>
      <c r="K28" s="103">
        <v>60</v>
      </c>
      <c r="L28" s="89">
        <f t="shared" si="2"/>
        <v>4.75</v>
      </c>
      <c r="M28" s="35">
        <f t="shared" si="20"/>
        <v>285</v>
      </c>
      <c r="N28" s="35">
        <f t="shared" si="21"/>
        <v>886.875</v>
      </c>
      <c r="O28" s="97"/>
      <c r="P28" s="150"/>
      <c r="W28" s="11">
        <v>5.5</v>
      </c>
      <c r="X28" s="1">
        <v>5</v>
      </c>
      <c r="Y28" s="35">
        <f t="shared" si="3"/>
        <v>795</v>
      </c>
      <c r="Z28" s="35">
        <f t="shared" si="22"/>
        <v>0</v>
      </c>
      <c r="AA28" s="15">
        <f t="shared" si="80"/>
        <v>1.2295373355093866</v>
      </c>
      <c r="AB28" s="43">
        <f t="shared" si="81"/>
        <v>477.5390625</v>
      </c>
      <c r="AC28" s="43">
        <f t="shared" si="82"/>
        <v>388.38923285087532</v>
      </c>
      <c r="AD28" s="33"/>
      <c r="AH28" s="31"/>
      <c r="AP28" s="35">
        <f t="shared" si="4"/>
        <v>0</v>
      </c>
      <c r="AQ28" s="35">
        <f t="shared" si="23"/>
        <v>0</v>
      </c>
      <c r="AR28" s="52"/>
      <c r="AS28" s="28">
        <f t="shared" si="37"/>
        <v>0</v>
      </c>
      <c r="AT28" s="28">
        <f t="shared" si="38"/>
        <v>0</v>
      </c>
      <c r="AU28" s="33"/>
      <c r="AY28" s="31"/>
      <c r="BE28" s="11">
        <v>6.5</v>
      </c>
      <c r="BF28" s="1">
        <v>5.5</v>
      </c>
      <c r="BG28" s="35">
        <f t="shared" si="5"/>
        <v>915</v>
      </c>
      <c r="BH28" s="35">
        <f t="shared" si="24"/>
        <v>0</v>
      </c>
      <c r="BI28" s="15">
        <f t="shared" si="39"/>
        <v>1.451245166139032</v>
      </c>
      <c r="BJ28" s="28">
        <f t="shared" si="40"/>
        <v>526.02205700284685</v>
      </c>
      <c r="BK28" s="28">
        <f t="shared" si="41"/>
        <v>362.46257302086542</v>
      </c>
      <c r="BL28" s="33"/>
      <c r="BP28" s="31"/>
      <c r="BV28" s="11">
        <v>7</v>
      </c>
      <c r="BW28" s="1">
        <v>5</v>
      </c>
      <c r="BX28" s="35">
        <f t="shared" si="6"/>
        <v>930</v>
      </c>
      <c r="BY28" s="35">
        <f t="shared" si="25"/>
        <v>0</v>
      </c>
      <c r="BZ28" s="15">
        <f t="shared" si="42"/>
        <v>1.4603399225990903</v>
      </c>
      <c r="CA28" s="28">
        <f t="shared" si="43"/>
        <v>541.16962999707903</v>
      </c>
      <c r="CB28" s="28">
        <f t="shared" si="44"/>
        <v>370.57785082935607</v>
      </c>
      <c r="CC28" s="33"/>
      <c r="CG28" s="31"/>
      <c r="CM28" s="11">
        <v>7.5</v>
      </c>
      <c r="CN28" s="1">
        <v>5.5</v>
      </c>
      <c r="CO28" s="35">
        <f t="shared" si="7"/>
        <v>1005</v>
      </c>
      <c r="CP28" s="35">
        <f t="shared" si="26"/>
        <v>0</v>
      </c>
      <c r="CQ28" s="15">
        <f t="shared" si="45"/>
        <v>1.4732352605439147</v>
      </c>
      <c r="CR28" s="28">
        <f t="shared" si="46"/>
        <v>543.30933184034075</v>
      </c>
      <c r="CS28" s="28">
        <f t="shared" si="47"/>
        <v>368.78653830193576</v>
      </c>
      <c r="CT28" s="33"/>
      <c r="CX28" s="31"/>
      <c r="DD28" s="11">
        <v>6</v>
      </c>
      <c r="DE28" s="1">
        <v>4</v>
      </c>
      <c r="DF28" s="35">
        <f t="shared" si="8"/>
        <v>780</v>
      </c>
      <c r="DG28" s="35">
        <f t="shared" si="27"/>
        <v>0</v>
      </c>
      <c r="DH28" s="15">
        <f t="shared" si="48"/>
        <v>1.4097237360072865</v>
      </c>
      <c r="DI28" s="28">
        <f t="shared" si="49"/>
        <v>477.19004721051897</v>
      </c>
      <c r="DJ28" s="28">
        <f t="shared" si="50"/>
        <v>338.49898034777254</v>
      </c>
      <c r="DK28" s="33"/>
      <c r="DO28" s="31"/>
      <c r="DU28" s="11">
        <v>6</v>
      </c>
      <c r="DV28" s="1">
        <v>3.5</v>
      </c>
      <c r="DW28" s="35">
        <f t="shared" si="9"/>
        <v>750</v>
      </c>
      <c r="DX28" s="35">
        <f t="shared" si="28"/>
        <v>0</v>
      </c>
      <c r="DY28" s="15">
        <f t="shared" si="51"/>
        <v>1.3812642449717332</v>
      </c>
      <c r="DZ28" s="28">
        <f t="shared" si="52"/>
        <v>471.81590170270647</v>
      </c>
      <c r="EA28" s="28">
        <f t="shared" si="53"/>
        <v>341.58265040181499</v>
      </c>
      <c r="EB28" s="33"/>
      <c r="EF28" s="31"/>
      <c r="EN28" s="35">
        <f t="shared" si="10"/>
        <v>0</v>
      </c>
      <c r="EO28" s="35">
        <f t="shared" si="29"/>
        <v>0</v>
      </c>
      <c r="EP28" s="52"/>
      <c r="EQ28" s="28">
        <f t="shared" si="54"/>
        <v>0</v>
      </c>
      <c r="ER28" s="28">
        <f t="shared" si="55"/>
        <v>0</v>
      </c>
      <c r="ES28" s="33"/>
      <c r="EW28" s="31"/>
      <c r="FC28" s="11">
        <v>7</v>
      </c>
      <c r="FD28" s="1">
        <v>5</v>
      </c>
      <c r="FE28" s="35">
        <f t="shared" si="11"/>
        <v>930</v>
      </c>
      <c r="FF28" s="35">
        <f t="shared" si="30"/>
        <v>0</v>
      </c>
      <c r="FG28" s="15">
        <f t="shared" si="56"/>
        <v>1.4322439465910874</v>
      </c>
      <c r="FH28" s="28">
        <f t="shared" si="57"/>
        <v>566.2120766103908</v>
      </c>
      <c r="FI28" s="28">
        <f t="shared" si="58"/>
        <v>395.33214851984087</v>
      </c>
      <c r="FJ28" s="33"/>
      <c r="FN28" s="31"/>
      <c r="FV28" s="35">
        <f t="shared" si="12"/>
        <v>0</v>
      </c>
      <c r="FW28" s="35">
        <f t="shared" si="31"/>
        <v>0</v>
      </c>
      <c r="FX28" s="52"/>
      <c r="FY28" s="28">
        <f t="shared" si="59"/>
        <v>0</v>
      </c>
      <c r="FZ28" s="28">
        <f t="shared" si="60"/>
        <v>0</v>
      </c>
      <c r="GA28" s="33"/>
      <c r="GE28" s="31"/>
      <c r="GK28" s="11">
        <v>8</v>
      </c>
      <c r="GL28" s="1">
        <v>4.5</v>
      </c>
      <c r="GM28" s="35">
        <f t="shared" si="13"/>
        <v>990</v>
      </c>
      <c r="GN28" s="35">
        <f t="shared" si="32"/>
        <v>0</v>
      </c>
      <c r="GO28" s="15">
        <f t="shared" si="77"/>
        <v>0.77987150402746286</v>
      </c>
      <c r="GP28" s="28">
        <f t="shared" si="61"/>
        <v>655.2421875</v>
      </c>
      <c r="GQ28" s="28">
        <f t="shared" si="62"/>
        <v>840.19249852848316</v>
      </c>
      <c r="GR28" s="33"/>
      <c r="GV28" s="31"/>
      <c r="HB28" s="11">
        <v>6</v>
      </c>
      <c r="HC28" s="1">
        <v>5</v>
      </c>
      <c r="HD28" s="35">
        <f t="shared" si="14"/>
        <v>840</v>
      </c>
      <c r="HE28" s="35">
        <f t="shared" si="33"/>
        <v>0</v>
      </c>
      <c r="HF28" s="15">
        <f t="shared" si="63"/>
        <v>1.4243101526500497</v>
      </c>
      <c r="HG28" s="28">
        <f t="shared" si="64"/>
        <v>469.22395223981584</v>
      </c>
      <c r="HH28" s="28">
        <f t="shared" si="65"/>
        <v>329.43944924269823</v>
      </c>
      <c r="HI28" s="33"/>
      <c r="HM28" s="31"/>
      <c r="HU28" s="35">
        <f t="shared" si="15"/>
        <v>0</v>
      </c>
      <c r="HV28" s="35">
        <f t="shared" si="34"/>
        <v>0</v>
      </c>
      <c r="HW28" s="15">
        <f t="shared" si="66"/>
        <v>1.0155210185719517</v>
      </c>
      <c r="HX28" s="28">
        <f t="shared" si="67"/>
        <v>287.27429992562975</v>
      </c>
      <c r="HY28" s="28">
        <f t="shared" si="68"/>
        <v>282.88365742503419</v>
      </c>
      <c r="HZ28" s="33"/>
      <c r="ID28" s="31"/>
      <c r="II28" s="12"/>
      <c r="IL28" s="35">
        <f t="shared" si="16"/>
        <v>0</v>
      </c>
      <c r="IM28" s="35">
        <f t="shared" si="17"/>
        <v>4951.9487939028932</v>
      </c>
      <c r="IN28" s="15">
        <f t="shared" si="69"/>
        <v>0.97914230062293484</v>
      </c>
      <c r="IO28" s="28">
        <f t="shared" si="70"/>
        <v>265.64869201785768</v>
      </c>
      <c r="IP28" s="28">
        <f t="shared" si="71"/>
        <v>271.30754319249689</v>
      </c>
      <c r="IQ28" s="33"/>
      <c r="IU28" s="31"/>
      <c r="JC28" s="35">
        <f t="shared" si="18"/>
        <v>0</v>
      </c>
      <c r="JD28" s="35">
        <f t="shared" si="19"/>
        <v>5026.5897246526738</v>
      </c>
      <c r="JE28" s="15" t="e">
        <f t="shared" si="72"/>
        <v>#DIV/0!</v>
      </c>
      <c r="JF28" s="28">
        <f t="shared" si="73"/>
        <v>0</v>
      </c>
      <c r="JG28" s="28">
        <f t="shared" si="74"/>
        <v>0</v>
      </c>
      <c r="JH28" s="33"/>
      <c r="JL28" s="31"/>
      <c r="JR28" s="99"/>
      <c r="JS28" s="99"/>
      <c r="JT28" s="99"/>
      <c r="JU28" s="99"/>
      <c r="JV28" s="99"/>
      <c r="JW28" s="99"/>
      <c r="JX28" s="99"/>
      <c r="JY28" s="99"/>
      <c r="JZ28" s="99"/>
      <c r="KA28" s="99"/>
      <c r="KB28" s="99"/>
      <c r="KC28" s="99"/>
      <c r="KD28" s="99"/>
      <c r="KE28" s="99"/>
      <c r="KF28" s="99"/>
      <c r="KG28" s="99"/>
      <c r="KH28" s="99"/>
      <c r="KI28" s="99"/>
      <c r="KJ28" s="99"/>
      <c r="KK28" s="99"/>
      <c r="KL28" s="99"/>
      <c r="KM28" s="99"/>
      <c r="KN28" s="99"/>
      <c r="KO28" s="99"/>
      <c r="KP28" s="99"/>
      <c r="KQ28" s="99"/>
      <c r="KR28" s="99"/>
      <c r="KS28" s="99"/>
      <c r="KT28" s="99"/>
      <c r="KU28" s="99"/>
      <c r="KV28" s="99"/>
      <c r="KW28" s="99"/>
      <c r="KX28" s="99"/>
      <c r="KY28" s="99"/>
      <c r="KZ28" s="99"/>
      <c r="LA28" s="99"/>
      <c r="LB28" s="99"/>
      <c r="LC28" s="99"/>
      <c r="LD28" s="99"/>
      <c r="LE28" s="99"/>
      <c r="LF28" s="99"/>
      <c r="LG28" s="99"/>
      <c r="LH28" s="99"/>
      <c r="LI28" s="99"/>
      <c r="LJ28" s="99"/>
      <c r="LK28" s="99"/>
      <c r="LL28" s="99"/>
      <c r="LM28" s="99"/>
      <c r="LN28" s="99"/>
      <c r="LO28" s="99"/>
      <c r="LP28" s="99"/>
      <c r="LQ28" s="99"/>
      <c r="LR28" s="99"/>
      <c r="LS28" s="99"/>
      <c r="LT28" s="99"/>
      <c r="LU28" s="99"/>
      <c r="LV28" s="99"/>
      <c r="LW28" s="99"/>
      <c r="LX28" s="99"/>
      <c r="LY28" s="99"/>
      <c r="LZ28" s="99"/>
      <c r="MA28" s="99"/>
      <c r="MB28" s="99"/>
      <c r="MC28" s="99"/>
      <c r="MD28" s="99"/>
      <c r="ME28" s="99"/>
      <c r="MF28" s="99"/>
    </row>
    <row r="29" spans="1:344" ht="17.25" customHeight="1" x14ac:dyDescent="0.25">
      <c r="A29" s="156"/>
      <c r="B29" s="81" t="s">
        <v>5</v>
      </c>
      <c r="C29" s="82">
        <v>45163</v>
      </c>
      <c r="D29" s="49"/>
      <c r="F29" s="103">
        <v>75</v>
      </c>
      <c r="G29" s="89">
        <f t="shared" si="0"/>
        <v>6.666666666666667</v>
      </c>
      <c r="H29" s="35">
        <f t="shared" si="1"/>
        <v>500</v>
      </c>
      <c r="I29" s="39"/>
      <c r="L29" s="89">
        <f t="shared" si="2"/>
        <v>0</v>
      </c>
      <c r="M29" s="35">
        <f t="shared" si="20"/>
        <v>0</v>
      </c>
      <c r="N29" s="35">
        <f t="shared" si="21"/>
        <v>500</v>
      </c>
      <c r="O29" s="97"/>
      <c r="P29" s="150"/>
      <c r="W29" s="11">
        <v>8.5</v>
      </c>
      <c r="X29" s="1">
        <v>0</v>
      </c>
      <c r="Y29" s="35">
        <f t="shared" si="3"/>
        <v>637.5</v>
      </c>
      <c r="Z29" s="35">
        <f t="shared" si="22"/>
        <v>0</v>
      </c>
      <c r="AA29" s="15">
        <f t="shared" si="80"/>
        <v>1.2760564348656664</v>
      </c>
      <c r="AB29" s="43">
        <f t="shared" si="81"/>
        <v>517.529296875</v>
      </c>
      <c r="AC29" s="43">
        <f t="shared" si="82"/>
        <v>405.5692857577115</v>
      </c>
      <c r="AD29" s="33"/>
      <c r="AH29" s="31"/>
      <c r="AN29" s="11">
        <v>6</v>
      </c>
      <c r="AP29" s="35">
        <f t="shared" si="4"/>
        <v>450</v>
      </c>
      <c r="AQ29" s="35">
        <f t="shared" si="23"/>
        <v>0</v>
      </c>
      <c r="AR29" s="15">
        <f t="shared" ref="AR29:AR76" si="83">AS29/AT29</f>
        <v>1</v>
      </c>
      <c r="AS29" s="28">
        <f>AP29*(2/(7+1))+((1-(2/(7+1)))*AP29)</f>
        <v>450</v>
      </c>
      <c r="AT29" s="28">
        <f>AP29*(2/(28+1))+((1-(2/(28+1)))*AP29)</f>
        <v>450</v>
      </c>
      <c r="AU29" s="33"/>
      <c r="AY29" s="31"/>
      <c r="BE29" s="11">
        <v>5</v>
      </c>
      <c r="BG29" s="35">
        <f t="shared" si="5"/>
        <v>375</v>
      </c>
      <c r="BH29" s="35">
        <f t="shared" si="24"/>
        <v>0</v>
      </c>
      <c r="BI29" s="15">
        <f t="shared" si="39"/>
        <v>1.3438754699112274</v>
      </c>
      <c r="BJ29" s="28">
        <f t="shared" si="40"/>
        <v>488.26654275213514</v>
      </c>
      <c r="BK29" s="28">
        <f t="shared" si="41"/>
        <v>363.32722315735748</v>
      </c>
      <c r="BL29" s="33"/>
      <c r="BP29" s="31"/>
      <c r="BV29" s="11">
        <v>7</v>
      </c>
      <c r="BX29" s="35">
        <f t="shared" si="6"/>
        <v>525</v>
      </c>
      <c r="BY29" s="35">
        <f t="shared" si="25"/>
        <v>0</v>
      </c>
      <c r="BZ29" s="15">
        <f t="shared" si="42"/>
        <v>1.4089408691931606</v>
      </c>
      <c r="CA29" s="28">
        <f t="shared" si="43"/>
        <v>537.12722249780927</v>
      </c>
      <c r="CB29" s="28">
        <f t="shared" si="44"/>
        <v>381.22765422043494</v>
      </c>
      <c r="CC29" s="33"/>
      <c r="CG29" s="31"/>
      <c r="CM29" s="11">
        <v>6</v>
      </c>
      <c r="CO29" s="35">
        <f t="shared" si="7"/>
        <v>450</v>
      </c>
      <c r="CP29" s="35">
        <f t="shared" si="26"/>
        <v>0</v>
      </c>
      <c r="CQ29" s="15">
        <f t="shared" si="45"/>
        <v>1.3888873029609112</v>
      </c>
      <c r="CR29" s="28">
        <f t="shared" si="46"/>
        <v>519.98199888025556</v>
      </c>
      <c r="CS29" s="28">
        <f t="shared" si="47"/>
        <v>374.3874666949057</v>
      </c>
      <c r="CT29" s="33"/>
      <c r="CX29" s="31"/>
      <c r="DD29" s="11">
        <v>6</v>
      </c>
      <c r="DF29" s="35">
        <f t="shared" si="8"/>
        <v>450</v>
      </c>
      <c r="DG29" s="35">
        <f t="shared" si="27"/>
        <v>0</v>
      </c>
      <c r="DH29" s="15">
        <f t="shared" si="48"/>
        <v>1.3587749324898375</v>
      </c>
      <c r="DI29" s="28">
        <f t="shared" si="49"/>
        <v>470.39253540788923</v>
      </c>
      <c r="DJ29" s="28">
        <f t="shared" si="50"/>
        <v>346.18870584102962</v>
      </c>
      <c r="DK29" s="33"/>
      <c r="DO29" s="31"/>
      <c r="DU29" s="11">
        <v>6</v>
      </c>
      <c r="DW29" s="35">
        <f t="shared" si="9"/>
        <v>450</v>
      </c>
      <c r="DX29" s="35">
        <f t="shared" si="28"/>
        <v>0</v>
      </c>
      <c r="DY29" s="15">
        <f t="shared" si="51"/>
        <v>1.3360520113307788</v>
      </c>
      <c r="DZ29" s="28">
        <f t="shared" si="52"/>
        <v>466.36192627702985</v>
      </c>
      <c r="EA29" s="28">
        <f t="shared" si="53"/>
        <v>349.05970899479325</v>
      </c>
      <c r="EB29" s="33"/>
      <c r="EF29" s="31"/>
      <c r="EN29" s="35">
        <f t="shared" si="10"/>
        <v>0</v>
      </c>
      <c r="EO29" s="35">
        <f t="shared" si="29"/>
        <v>0</v>
      </c>
      <c r="EP29" s="52"/>
      <c r="EQ29" s="28">
        <f t="shared" si="54"/>
        <v>0</v>
      </c>
      <c r="ER29" s="28">
        <f t="shared" si="55"/>
        <v>0</v>
      </c>
      <c r="ES29" s="33"/>
      <c r="EW29" s="31"/>
      <c r="FC29" s="11">
        <v>7</v>
      </c>
      <c r="FE29" s="35">
        <f t="shared" si="11"/>
        <v>525</v>
      </c>
      <c r="FF29" s="35">
        <f t="shared" si="30"/>
        <v>0</v>
      </c>
      <c r="FG29" s="15">
        <f t="shared" si="56"/>
        <v>1.3750773332438413</v>
      </c>
      <c r="FH29" s="28">
        <f t="shared" si="57"/>
        <v>555.9090574577931</v>
      </c>
      <c r="FI29" s="28">
        <f t="shared" si="58"/>
        <v>404.27475896674838</v>
      </c>
      <c r="FJ29" s="33"/>
      <c r="FN29" s="31"/>
      <c r="FV29" s="35">
        <f t="shared" si="12"/>
        <v>0</v>
      </c>
      <c r="FW29" s="35">
        <f t="shared" si="31"/>
        <v>0</v>
      </c>
      <c r="FX29" s="52"/>
      <c r="FY29" s="28">
        <f t="shared" si="59"/>
        <v>0</v>
      </c>
      <c r="FZ29" s="28">
        <f t="shared" si="60"/>
        <v>0</v>
      </c>
      <c r="GA29" s="33"/>
      <c r="GE29" s="31"/>
      <c r="GK29" s="11">
        <v>8.5</v>
      </c>
      <c r="GM29" s="35">
        <f t="shared" si="13"/>
        <v>637.5</v>
      </c>
      <c r="GN29" s="35">
        <f t="shared" si="32"/>
        <v>0</v>
      </c>
      <c r="GO29" s="15">
        <f t="shared" si="77"/>
        <v>0.78769770614040147</v>
      </c>
      <c r="GP29" s="28">
        <f t="shared" si="61"/>
        <v>650.806640625</v>
      </c>
      <c r="GQ29" s="28">
        <f t="shared" si="62"/>
        <v>826.21370552651877</v>
      </c>
      <c r="GR29" s="33"/>
      <c r="GV29" s="31"/>
      <c r="HB29" s="11">
        <v>7</v>
      </c>
      <c r="HD29" s="35">
        <f t="shared" si="14"/>
        <v>525</v>
      </c>
      <c r="HE29" s="35">
        <f t="shared" si="33"/>
        <v>0</v>
      </c>
      <c r="HF29" s="15">
        <f t="shared" si="63"/>
        <v>1.4089553532080941</v>
      </c>
      <c r="HG29" s="28">
        <f t="shared" si="64"/>
        <v>483.16796417986188</v>
      </c>
      <c r="HH29" s="28">
        <f t="shared" si="65"/>
        <v>342.92638377768452</v>
      </c>
      <c r="HI29" s="33"/>
      <c r="HM29" s="31"/>
      <c r="HU29" s="35">
        <f t="shared" si="15"/>
        <v>0</v>
      </c>
      <c r="HV29" s="35">
        <f t="shared" si="34"/>
        <v>0</v>
      </c>
      <c r="HW29" s="15">
        <f t="shared" si="66"/>
        <v>0.81805859829407213</v>
      </c>
      <c r="HX29" s="28">
        <f t="shared" si="67"/>
        <v>215.45572494422231</v>
      </c>
      <c r="HY29" s="28">
        <f t="shared" si="68"/>
        <v>263.37443967158356</v>
      </c>
      <c r="HZ29" s="33"/>
      <c r="ID29" s="31"/>
      <c r="II29" s="12"/>
      <c r="IL29" s="35">
        <f t="shared" si="16"/>
        <v>0</v>
      </c>
      <c r="IM29" s="35">
        <f t="shared" si="17"/>
        <v>4583.8739837009907</v>
      </c>
      <c r="IN29" s="15">
        <f t="shared" si="69"/>
        <v>0.78875351994625309</v>
      </c>
      <c r="IO29" s="28">
        <f t="shared" si="70"/>
        <v>199.23651901339326</v>
      </c>
      <c r="IP29" s="28">
        <f t="shared" si="71"/>
        <v>252.59667814473849</v>
      </c>
      <c r="IQ29" s="33"/>
      <c r="IU29" s="31"/>
      <c r="JC29" s="35">
        <f t="shared" si="18"/>
        <v>0</v>
      </c>
      <c r="JD29" s="35">
        <f t="shared" si="19"/>
        <v>4406.0319909044338</v>
      </c>
      <c r="JE29" s="15" t="e">
        <f t="shared" si="72"/>
        <v>#DIV/0!</v>
      </c>
      <c r="JF29" s="28">
        <f t="shared" si="73"/>
        <v>0</v>
      </c>
      <c r="JG29" s="28">
        <f t="shared" si="74"/>
        <v>0</v>
      </c>
      <c r="JH29" s="33"/>
      <c r="JL29" s="31"/>
      <c r="JR29" s="99"/>
      <c r="JS29" s="99"/>
      <c r="JT29" s="99"/>
      <c r="JU29" s="99"/>
      <c r="JV29" s="99"/>
      <c r="JW29" s="99"/>
      <c r="JX29" s="99"/>
      <c r="JY29" s="99"/>
      <c r="JZ29" s="99"/>
      <c r="KA29" s="99"/>
      <c r="KB29" s="99"/>
      <c r="KC29" s="99"/>
      <c r="KD29" s="99"/>
      <c r="KE29" s="99"/>
      <c r="KF29" s="99"/>
      <c r="KG29" s="99"/>
      <c r="KH29" s="99"/>
      <c r="KI29" s="99"/>
      <c r="KJ29" s="99"/>
      <c r="KK29" s="99"/>
      <c r="KL29" s="99"/>
      <c r="KM29" s="99"/>
      <c r="KN29" s="99"/>
      <c r="KO29" s="99"/>
      <c r="KP29" s="99"/>
      <c r="KQ29" s="99"/>
      <c r="KR29" s="99"/>
      <c r="KS29" s="99"/>
      <c r="KT29" s="99"/>
      <c r="KU29" s="99"/>
      <c r="KV29" s="99"/>
      <c r="KW29" s="99"/>
      <c r="KX29" s="99"/>
      <c r="KY29" s="99"/>
      <c r="KZ29" s="99"/>
      <c r="LA29" s="99"/>
      <c r="LB29" s="99"/>
      <c r="LC29" s="99"/>
      <c r="LD29" s="99"/>
      <c r="LE29" s="99"/>
      <c r="LF29" s="99"/>
      <c r="LG29" s="99"/>
      <c r="LH29" s="99"/>
      <c r="LI29" s="99"/>
      <c r="LJ29" s="99"/>
      <c r="LK29" s="99"/>
      <c r="LL29" s="99"/>
      <c r="LM29" s="99"/>
      <c r="LN29" s="99"/>
      <c r="LO29" s="99"/>
      <c r="LP29" s="99"/>
      <c r="LQ29" s="99"/>
      <c r="LR29" s="99"/>
      <c r="LS29" s="99"/>
      <c r="LT29" s="99"/>
      <c r="LU29" s="99"/>
      <c r="LV29" s="99"/>
      <c r="LW29" s="99"/>
      <c r="LX29" s="99"/>
      <c r="LY29" s="99"/>
      <c r="LZ29" s="99"/>
      <c r="MA29" s="99"/>
      <c r="MB29" s="99"/>
      <c r="MC29" s="99"/>
      <c r="MD29" s="99"/>
      <c r="ME29" s="99"/>
      <c r="MF29" s="99"/>
    </row>
    <row r="30" spans="1:344" ht="17.25" customHeight="1" x14ac:dyDescent="0.25">
      <c r="A30" s="156"/>
      <c r="B30" s="81" t="s">
        <v>6</v>
      </c>
      <c r="C30" s="82">
        <v>45164</v>
      </c>
      <c r="D30" s="49"/>
      <c r="F30" s="103">
        <v>70</v>
      </c>
      <c r="G30" s="89">
        <f t="shared" si="0"/>
        <v>5.3125</v>
      </c>
      <c r="H30" s="35">
        <f t="shared" si="1"/>
        <v>371.875</v>
      </c>
      <c r="I30" s="39"/>
      <c r="L30" s="89">
        <f t="shared" si="2"/>
        <v>0</v>
      </c>
      <c r="M30" s="35">
        <f t="shared" si="20"/>
        <v>0</v>
      </c>
      <c r="N30" s="35">
        <f t="shared" si="21"/>
        <v>371.875</v>
      </c>
      <c r="O30" s="97"/>
      <c r="P30" s="150"/>
      <c r="W30" s="11">
        <v>5</v>
      </c>
      <c r="X30" s="1">
        <v>0</v>
      </c>
      <c r="Y30" s="35">
        <f t="shared" si="3"/>
        <v>350</v>
      </c>
      <c r="Z30" s="35">
        <f t="shared" si="22"/>
        <v>0</v>
      </c>
      <c r="AA30" s="15">
        <f t="shared" si="80"/>
        <v>1.1839762479599982</v>
      </c>
      <c r="AB30" s="43">
        <f t="shared" si="81"/>
        <v>475.64697265625</v>
      </c>
      <c r="AC30" s="43">
        <f t="shared" si="82"/>
        <v>401.73692122269688</v>
      </c>
      <c r="AD30" s="33"/>
      <c r="AH30" s="31"/>
      <c r="AN30" s="11">
        <v>5</v>
      </c>
      <c r="AP30" s="35">
        <f t="shared" si="4"/>
        <v>350</v>
      </c>
      <c r="AQ30" s="35">
        <f t="shared" si="23"/>
        <v>0</v>
      </c>
      <c r="AR30" s="15">
        <f t="shared" si="83"/>
        <v>0.95914396887159536</v>
      </c>
      <c r="AS30" s="28">
        <f t="shared" si="37"/>
        <v>425</v>
      </c>
      <c r="AT30" s="28">
        <f t="shared" si="38"/>
        <v>443.10344827586204</v>
      </c>
      <c r="AU30" s="33"/>
      <c r="AY30" s="31"/>
      <c r="BE30" s="54"/>
      <c r="BF30" s="55"/>
      <c r="BG30" s="35">
        <f t="shared" si="5"/>
        <v>0</v>
      </c>
      <c r="BH30" s="35">
        <f t="shared" si="24"/>
        <v>0</v>
      </c>
      <c r="BI30" s="15">
        <f t="shared" si="39"/>
        <v>1.0825663507618219</v>
      </c>
      <c r="BJ30" s="28">
        <f t="shared" si="40"/>
        <v>366.19990706410135</v>
      </c>
      <c r="BK30" s="28">
        <f t="shared" si="41"/>
        <v>338.27017328443628</v>
      </c>
      <c r="BL30" s="33"/>
      <c r="BP30" s="31"/>
      <c r="BV30" s="11">
        <v>5</v>
      </c>
      <c r="BX30" s="35">
        <f t="shared" si="6"/>
        <v>350</v>
      </c>
      <c r="BY30" s="35">
        <f t="shared" si="25"/>
        <v>0</v>
      </c>
      <c r="BZ30" s="15">
        <f t="shared" si="42"/>
        <v>1.2935347379615179</v>
      </c>
      <c r="CA30" s="28">
        <f t="shared" si="43"/>
        <v>490.34541687335695</v>
      </c>
      <c r="CB30" s="28">
        <f t="shared" si="44"/>
        <v>379.07402289488766</v>
      </c>
      <c r="CC30" s="33"/>
      <c r="CG30" s="31"/>
      <c r="CM30" s="11">
        <v>5.5</v>
      </c>
      <c r="CO30" s="35">
        <f t="shared" si="7"/>
        <v>385</v>
      </c>
      <c r="CP30" s="35">
        <f t="shared" si="26"/>
        <v>0</v>
      </c>
      <c r="CQ30" s="15">
        <f t="shared" si="45"/>
        <v>1.2962180676960107</v>
      </c>
      <c r="CR30" s="28">
        <f t="shared" si="46"/>
        <v>486.23649916019167</v>
      </c>
      <c r="CS30" s="28">
        <f t="shared" si="47"/>
        <v>375.11936554353287</v>
      </c>
      <c r="CT30" s="33"/>
      <c r="CX30" s="31"/>
      <c r="DD30" s="11">
        <v>5</v>
      </c>
      <c r="DF30" s="35">
        <f t="shared" si="8"/>
        <v>350</v>
      </c>
      <c r="DG30" s="35">
        <f t="shared" si="27"/>
        <v>0</v>
      </c>
      <c r="DH30" s="15">
        <f t="shared" si="48"/>
        <v>1.2708686014994943</v>
      </c>
      <c r="DI30" s="28">
        <f t="shared" si="49"/>
        <v>440.29440155591692</v>
      </c>
      <c r="DJ30" s="28">
        <f t="shared" si="50"/>
        <v>346.45155371406202</v>
      </c>
      <c r="DK30" s="33"/>
      <c r="DO30" s="31"/>
      <c r="DU30" s="11">
        <v>5</v>
      </c>
      <c r="DW30" s="35">
        <f t="shared" si="9"/>
        <v>350</v>
      </c>
      <c r="DX30" s="35">
        <f t="shared" si="28"/>
        <v>0</v>
      </c>
      <c r="DY30" s="15">
        <f t="shared" si="51"/>
        <v>1.2524797708393041</v>
      </c>
      <c r="DZ30" s="28">
        <f t="shared" si="52"/>
        <v>437.27144470777239</v>
      </c>
      <c r="EA30" s="28">
        <f t="shared" si="53"/>
        <v>349.12455665032473</v>
      </c>
      <c r="EB30" s="33"/>
      <c r="EF30" s="31"/>
      <c r="EN30" s="35">
        <f t="shared" si="10"/>
        <v>0</v>
      </c>
      <c r="EO30" s="35">
        <f t="shared" si="29"/>
        <v>0</v>
      </c>
      <c r="EP30" s="52"/>
      <c r="EQ30" s="28">
        <f t="shared" si="54"/>
        <v>0</v>
      </c>
      <c r="ER30" s="28">
        <f t="shared" si="55"/>
        <v>0</v>
      </c>
      <c r="ES30" s="33"/>
      <c r="EW30" s="31"/>
      <c r="FC30" s="11">
        <v>6</v>
      </c>
      <c r="FE30" s="35">
        <f t="shared" si="11"/>
        <v>420</v>
      </c>
      <c r="FF30" s="35">
        <f t="shared" si="30"/>
        <v>0</v>
      </c>
      <c r="FG30" s="15">
        <f t="shared" si="56"/>
        <v>1.2875783205741274</v>
      </c>
      <c r="FH30" s="28">
        <f t="shared" si="57"/>
        <v>521.93179309334482</v>
      </c>
      <c r="FI30" s="28">
        <f t="shared" si="58"/>
        <v>405.35925834835194</v>
      </c>
      <c r="FJ30" s="33"/>
      <c r="FN30" s="31"/>
      <c r="FV30" s="35">
        <f t="shared" si="12"/>
        <v>0</v>
      </c>
      <c r="FW30" s="35">
        <f t="shared" si="31"/>
        <v>0</v>
      </c>
      <c r="FX30" s="52"/>
      <c r="FY30" s="28">
        <f t="shared" si="59"/>
        <v>0</v>
      </c>
      <c r="FZ30" s="28">
        <f t="shared" si="60"/>
        <v>0</v>
      </c>
      <c r="GA30" s="33"/>
      <c r="GE30" s="31"/>
      <c r="GK30" s="11">
        <v>6</v>
      </c>
      <c r="GM30" s="35">
        <f t="shared" si="13"/>
        <v>420</v>
      </c>
      <c r="GN30" s="35">
        <f t="shared" si="32"/>
        <v>0</v>
      </c>
      <c r="GO30" s="15">
        <f t="shared" si="77"/>
        <v>0.74305405648248612</v>
      </c>
      <c r="GP30" s="28">
        <f t="shared" si="61"/>
        <v>593.10498046875</v>
      </c>
      <c r="GQ30" s="28">
        <f t="shared" si="62"/>
        <v>798.19896721434498</v>
      </c>
      <c r="GR30" s="33"/>
      <c r="GV30" s="31"/>
      <c r="HB30" s="11">
        <v>6</v>
      </c>
      <c r="HD30" s="35">
        <f t="shared" si="14"/>
        <v>420</v>
      </c>
      <c r="HE30" s="35">
        <f t="shared" si="33"/>
        <v>0</v>
      </c>
      <c r="HF30" s="15">
        <f t="shared" si="63"/>
        <v>1.342101854624443</v>
      </c>
      <c r="HG30" s="28">
        <f t="shared" si="64"/>
        <v>467.37597313489641</v>
      </c>
      <c r="HH30" s="28">
        <f t="shared" si="65"/>
        <v>348.24180558612005</v>
      </c>
      <c r="HI30" s="33"/>
      <c r="HM30" s="31"/>
      <c r="HS30" s="11">
        <v>5</v>
      </c>
      <c r="HU30" s="35">
        <f t="shared" si="15"/>
        <v>350</v>
      </c>
      <c r="HV30" s="35">
        <f t="shared" si="34"/>
        <v>0</v>
      </c>
      <c r="HW30" s="15">
        <f t="shared" si="66"/>
        <v>0.92479329272182809</v>
      </c>
      <c r="HX30" s="28">
        <f t="shared" si="67"/>
        <v>249.09179370816673</v>
      </c>
      <c r="HY30" s="28">
        <f t="shared" si="68"/>
        <v>269.34861624595709</v>
      </c>
      <c r="HZ30" s="33"/>
      <c r="ID30" s="31"/>
      <c r="II30" s="12"/>
      <c r="IL30" s="35">
        <f t="shared" si="16"/>
        <v>0</v>
      </c>
      <c r="IM30" s="35">
        <f t="shared" si="17"/>
        <v>4210.6323861817509</v>
      </c>
      <c r="IN30" s="15">
        <f t="shared" si="69"/>
        <v>0.63538477995670384</v>
      </c>
      <c r="IO30" s="28">
        <f t="shared" si="70"/>
        <v>149.42738926004495</v>
      </c>
      <c r="IP30" s="28">
        <f t="shared" si="71"/>
        <v>235.17621758303238</v>
      </c>
      <c r="IQ30" s="33"/>
      <c r="IU30" s="31"/>
      <c r="JC30" s="35">
        <f t="shared" si="18"/>
        <v>0</v>
      </c>
      <c r="JD30" s="35">
        <f t="shared" si="19"/>
        <v>4209.4314785615188</v>
      </c>
      <c r="JE30" s="15" t="e">
        <f t="shared" si="72"/>
        <v>#DIV/0!</v>
      </c>
      <c r="JF30" s="28">
        <f t="shared" si="73"/>
        <v>0</v>
      </c>
      <c r="JG30" s="28">
        <f t="shared" si="74"/>
        <v>0</v>
      </c>
      <c r="JH30" s="33"/>
      <c r="JL30" s="31"/>
      <c r="JR30" s="99"/>
      <c r="JS30" s="99"/>
      <c r="JT30" s="99"/>
      <c r="JU30" s="99"/>
      <c r="JV30" s="99"/>
      <c r="JW30" s="99"/>
      <c r="JX30" s="99"/>
      <c r="JY30" s="99"/>
      <c r="JZ30" s="99"/>
      <c r="KA30" s="99"/>
      <c r="KB30" s="99"/>
      <c r="KC30" s="99"/>
      <c r="KD30" s="99"/>
      <c r="KE30" s="99"/>
      <c r="KF30" s="99"/>
      <c r="KG30" s="99"/>
      <c r="KH30" s="99"/>
      <c r="KI30" s="99"/>
      <c r="KJ30" s="99"/>
      <c r="KK30" s="99"/>
      <c r="KL30" s="99"/>
      <c r="KM30" s="99"/>
      <c r="KN30" s="99"/>
      <c r="KO30" s="99"/>
      <c r="KP30" s="99"/>
      <c r="KQ30" s="99"/>
      <c r="KR30" s="99"/>
      <c r="KS30" s="99"/>
      <c r="KT30" s="99"/>
      <c r="KU30" s="99"/>
      <c r="KV30" s="99"/>
      <c r="KW30" s="99"/>
      <c r="KX30" s="99"/>
      <c r="KY30" s="99"/>
      <c r="KZ30" s="99"/>
      <c r="LA30" s="99"/>
      <c r="LB30" s="99"/>
      <c r="LC30" s="99"/>
      <c r="LD30" s="99"/>
      <c r="LE30" s="99"/>
      <c r="LF30" s="99"/>
      <c r="LG30" s="99"/>
      <c r="LH30" s="99"/>
      <c r="LI30" s="99"/>
      <c r="LJ30" s="99"/>
      <c r="LK30" s="99"/>
      <c r="LL30" s="99"/>
      <c r="LM30" s="99"/>
      <c r="LN30" s="99"/>
      <c r="LO30" s="99"/>
      <c r="LP30" s="99"/>
      <c r="LQ30" s="99"/>
      <c r="LR30" s="99"/>
      <c r="LS30" s="99"/>
      <c r="LT30" s="99"/>
      <c r="LU30" s="99"/>
      <c r="LV30" s="99"/>
      <c r="LW30" s="99"/>
      <c r="LX30" s="99"/>
      <c r="LY30" s="99"/>
      <c r="LZ30" s="99"/>
      <c r="MA30" s="99"/>
      <c r="MB30" s="99"/>
      <c r="MC30" s="99"/>
      <c r="MD30" s="99"/>
      <c r="ME30" s="99"/>
      <c r="MF30" s="99"/>
    </row>
    <row r="31" spans="1:344" s="2" customFormat="1" ht="17.25" customHeight="1" x14ac:dyDescent="0.25">
      <c r="A31" s="157"/>
      <c r="B31" s="92" t="s">
        <v>7</v>
      </c>
      <c r="C31" s="93">
        <v>45165</v>
      </c>
      <c r="D31" s="51"/>
      <c r="E31" s="48"/>
      <c r="F31" s="104"/>
      <c r="G31" s="37">
        <f t="shared" si="0"/>
        <v>0</v>
      </c>
      <c r="H31" s="26">
        <f t="shared" si="1"/>
        <v>0</v>
      </c>
      <c r="I31" s="48"/>
      <c r="J31" s="48"/>
      <c r="K31" s="104">
        <v>100</v>
      </c>
      <c r="L31" s="37">
        <f t="shared" si="2"/>
        <v>7.4375</v>
      </c>
      <c r="M31" s="26">
        <f t="shared" si="20"/>
        <v>743.75</v>
      </c>
      <c r="N31" s="26">
        <f t="shared" si="21"/>
        <v>743.75</v>
      </c>
      <c r="O31" s="98"/>
      <c r="P31" s="151"/>
      <c r="Q31" s="125"/>
      <c r="R31" s="115"/>
      <c r="S31" s="130"/>
      <c r="T31" s="110"/>
      <c r="U31" s="120"/>
      <c r="V31" s="23"/>
      <c r="W31" s="13">
        <v>0</v>
      </c>
      <c r="X31" s="2">
        <v>8</v>
      </c>
      <c r="Y31" s="26">
        <f t="shared" si="3"/>
        <v>800</v>
      </c>
      <c r="Z31" s="26">
        <f t="shared" si="22"/>
        <v>0</v>
      </c>
      <c r="AA31" s="16">
        <f t="shared" si="80"/>
        <v>1.2971362918800664</v>
      </c>
      <c r="AB31" s="44">
        <f t="shared" si="81"/>
        <v>556.7352294921875</v>
      </c>
      <c r="AC31" s="44">
        <f t="shared" si="82"/>
        <v>429.20334044871777</v>
      </c>
      <c r="AD31" s="34"/>
      <c r="AE31" s="4"/>
      <c r="AF31" s="5"/>
      <c r="AG31" s="6"/>
      <c r="AH31" s="32"/>
      <c r="AI31" s="3"/>
      <c r="AJ31" s="4"/>
      <c r="AK31" s="5"/>
      <c r="AL31" s="6"/>
      <c r="AM31" s="14"/>
      <c r="AN31" s="13"/>
      <c r="AO31" s="2">
        <v>6.5</v>
      </c>
      <c r="AP31" s="26">
        <f t="shared" si="4"/>
        <v>650</v>
      </c>
      <c r="AQ31" s="26">
        <f t="shared" si="23"/>
        <v>0</v>
      </c>
      <c r="AR31" s="16">
        <f t="shared" si="83"/>
        <v>1.0522065514103731</v>
      </c>
      <c r="AS31" s="29">
        <f t="shared" si="37"/>
        <v>481.25</v>
      </c>
      <c r="AT31" s="29">
        <f t="shared" si="38"/>
        <v>457.37217598097499</v>
      </c>
      <c r="AU31" s="34"/>
      <c r="AV31" s="4"/>
      <c r="AW31" s="5"/>
      <c r="AX31" s="6"/>
      <c r="AY31" s="32"/>
      <c r="AZ31" s="3"/>
      <c r="BA31" s="4"/>
      <c r="BB31" s="5"/>
      <c r="BC31" s="6"/>
      <c r="BD31" s="14"/>
      <c r="BE31" s="56"/>
      <c r="BF31" s="57"/>
      <c r="BG31" s="26">
        <f t="shared" si="5"/>
        <v>0</v>
      </c>
      <c r="BH31" s="26">
        <f t="shared" si="24"/>
        <v>0</v>
      </c>
      <c r="BI31" s="16">
        <f t="shared" si="39"/>
        <v>0.87206733811368997</v>
      </c>
      <c r="BJ31" s="29">
        <f t="shared" si="40"/>
        <v>274.64993029807601</v>
      </c>
      <c r="BK31" s="29">
        <f t="shared" si="41"/>
        <v>314.94119581654411</v>
      </c>
      <c r="BL31" s="34"/>
      <c r="BM31" s="4"/>
      <c r="BN31" s="5"/>
      <c r="BO31" s="6"/>
      <c r="BP31" s="32"/>
      <c r="BQ31" s="3"/>
      <c r="BR31" s="4"/>
      <c r="BS31" s="5"/>
      <c r="BT31" s="6"/>
      <c r="BU31" s="14"/>
      <c r="BV31" s="13"/>
      <c r="BW31" s="2">
        <v>7</v>
      </c>
      <c r="BX31" s="26">
        <f t="shared" si="6"/>
        <v>700</v>
      </c>
      <c r="BY31" s="26">
        <f t="shared" si="25"/>
        <v>0</v>
      </c>
      <c r="BZ31" s="16">
        <f t="shared" si="42"/>
        <v>1.3528160452400666</v>
      </c>
      <c r="CA31" s="29">
        <f t="shared" si="43"/>
        <v>542.75906265501771</v>
      </c>
      <c r="CB31" s="29">
        <f t="shared" si="44"/>
        <v>401.20684890213681</v>
      </c>
      <c r="CC31" s="34"/>
      <c r="CD31" s="4"/>
      <c r="CE31" s="5"/>
      <c r="CF31" s="6"/>
      <c r="CG31" s="32"/>
      <c r="CH31" s="3"/>
      <c r="CI31" s="4"/>
      <c r="CJ31" s="5"/>
      <c r="CK31" s="6"/>
      <c r="CL31" s="14"/>
      <c r="CM31" s="13"/>
      <c r="CN31" s="2">
        <v>6</v>
      </c>
      <c r="CO31" s="26">
        <f t="shared" si="7"/>
        <v>600</v>
      </c>
      <c r="CP31" s="26">
        <f t="shared" si="26"/>
        <v>0</v>
      </c>
      <c r="CQ31" s="16">
        <f t="shared" si="45"/>
        <v>1.3175626952651811</v>
      </c>
      <c r="CR31" s="29">
        <f t="shared" si="46"/>
        <v>514.67737437014375</v>
      </c>
      <c r="CS31" s="29">
        <f t="shared" si="47"/>
        <v>390.62837481639269</v>
      </c>
      <c r="CT31" s="34"/>
      <c r="CU31" s="4"/>
      <c r="CV31" s="5"/>
      <c r="CW31" s="6"/>
      <c r="CX31" s="32"/>
      <c r="CY31" s="3"/>
      <c r="CZ31" s="4"/>
      <c r="DA31" s="5"/>
      <c r="DB31" s="6"/>
      <c r="DC31" s="14"/>
      <c r="DD31" s="13"/>
      <c r="DE31" s="2">
        <v>8</v>
      </c>
      <c r="DF31" s="26">
        <f t="shared" si="8"/>
        <v>800</v>
      </c>
      <c r="DG31" s="26">
        <f t="shared" si="27"/>
        <v>0</v>
      </c>
      <c r="DH31" s="16">
        <f t="shared" si="48"/>
        <v>1.4037003645393136</v>
      </c>
      <c r="DI31" s="29">
        <f t="shared" si="49"/>
        <v>530.22080116693769</v>
      </c>
      <c r="DJ31" s="29">
        <f t="shared" si="50"/>
        <v>377.73075690619567</v>
      </c>
      <c r="DK31" s="34"/>
      <c r="DL31" s="4"/>
      <c r="DM31" s="5"/>
      <c r="DN31" s="6"/>
      <c r="DO31" s="32"/>
      <c r="DP31" s="3"/>
      <c r="DQ31" s="4"/>
      <c r="DR31" s="5"/>
      <c r="DS31" s="6"/>
      <c r="DT31" s="14"/>
      <c r="DU31" s="13"/>
      <c r="DV31" s="2">
        <v>8</v>
      </c>
      <c r="DW31" s="26">
        <f t="shared" si="9"/>
        <v>800</v>
      </c>
      <c r="DX31" s="26">
        <f t="shared" si="28"/>
        <v>0</v>
      </c>
      <c r="DY31" s="16">
        <f t="shared" si="51"/>
        <v>1.3885497766897599</v>
      </c>
      <c r="DZ31" s="29">
        <f t="shared" si="52"/>
        <v>527.95358353082929</v>
      </c>
      <c r="EA31" s="29">
        <f t="shared" si="53"/>
        <v>380.21941481237127</v>
      </c>
      <c r="EB31" s="34"/>
      <c r="EC31" s="4"/>
      <c r="ED31" s="5"/>
      <c r="EE31" s="6"/>
      <c r="EF31" s="32"/>
      <c r="EG31" s="3"/>
      <c r="EH31" s="4"/>
      <c r="EI31" s="5"/>
      <c r="EJ31" s="6"/>
      <c r="EK31" s="14"/>
      <c r="EL31" s="13"/>
      <c r="EN31" s="26">
        <f t="shared" si="10"/>
        <v>0</v>
      </c>
      <c r="EO31" s="26">
        <f t="shared" si="29"/>
        <v>0</v>
      </c>
      <c r="EP31" s="53"/>
      <c r="EQ31" s="29">
        <f t="shared" si="54"/>
        <v>0</v>
      </c>
      <c r="ER31" s="29">
        <f t="shared" si="55"/>
        <v>0</v>
      </c>
      <c r="ES31" s="34"/>
      <c r="ET31" s="4"/>
      <c r="EU31" s="5"/>
      <c r="EV31" s="6"/>
      <c r="EW31" s="32"/>
      <c r="EX31" s="3"/>
      <c r="EY31" s="4"/>
      <c r="EZ31" s="5"/>
      <c r="FA31" s="6"/>
      <c r="FB31" s="14"/>
      <c r="FC31" s="13"/>
      <c r="FD31" s="2">
        <v>8</v>
      </c>
      <c r="FE31" s="26">
        <f t="shared" si="11"/>
        <v>800</v>
      </c>
      <c r="FF31" s="26">
        <f t="shared" si="30"/>
        <v>0</v>
      </c>
      <c r="FG31" s="16">
        <f t="shared" si="56"/>
        <v>1.3672719581502641</v>
      </c>
      <c r="FH31" s="29">
        <f t="shared" si="57"/>
        <v>591.44884482000862</v>
      </c>
      <c r="FI31" s="29">
        <f t="shared" si="58"/>
        <v>432.57586122087935</v>
      </c>
      <c r="FJ31" s="34"/>
      <c r="FK31" s="4"/>
      <c r="FL31" s="5"/>
      <c r="FM31" s="6"/>
      <c r="FN31" s="32"/>
      <c r="FO31" s="3"/>
      <c r="FP31" s="4"/>
      <c r="FQ31" s="5"/>
      <c r="FR31" s="6"/>
      <c r="FS31" s="14"/>
      <c r="FT31" s="13"/>
      <c r="FV31" s="26">
        <f t="shared" si="12"/>
        <v>0</v>
      </c>
      <c r="FW31" s="26">
        <f t="shared" si="31"/>
        <v>0</v>
      </c>
      <c r="FX31" s="53"/>
      <c r="FY31" s="29">
        <f t="shared" si="59"/>
        <v>0</v>
      </c>
      <c r="FZ31" s="29">
        <f t="shared" si="60"/>
        <v>0</v>
      </c>
      <c r="GA31" s="34"/>
      <c r="GB31" s="4"/>
      <c r="GC31" s="5"/>
      <c r="GD31" s="6"/>
      <c r="GE31" s="32"/>
      <c r="GF31" s="3"/>
      <c r="GG31" s="4"/>
      <c r="GH31" s="5"/>
      <c r="GI31" s="6"/>
      <c r="GJ31" s="14"/>
      <c r="GK31" s="13"/>
      <c r="GL31" s="2">
        <v>8</v>
      </c>
      <c r="GM31" s="26">
        <f t="shared" si="13"/>
        <v>800</v>
      </c>
      <c r="GN31" s="26">
        <f t="shared" si="32"/>
        <v>0</v>
      </c>
      <c r="GO31" s="16">
        <f t="shared" si="77"/>
        <v>0.8077289429100909</v>
      </c>
      <c r="GP31" s="29">
        <f t="shared" si="61"/>
        <v>644.8287353515625</v>
      </c>
      <c r="GQ31" s="29">
        <f t="shared" si="62"/>
        <v>798.32317637197639</v>
      </c>
      <c r="GR31" s="34"/>
      <c r="GS31" s="4"/>
      <c r="GT31" s="5"/>
      <c r="GU31" s="6"/>
      <c r="GV31" s="32"/>
      <c r="GW31" s="3"/>
      <c r="GX31" s="4"/>
      <c r="GY31" s="5"/>
      <c r="GZ31" s="6"/>
      <c r="HA31" s="14"/>
      <c r="HB31" s="13"/>
      <c r="HC31" s="2">
        <v>6</v>
      </c>
      <c r="HD31" s="26">
        <f t="shared" si="14"/>
        <v>600</v>
      </c>
      <c r="HE31" s="26">
        <f t="shared" si="33"/>
        <v>0</v>
      </c>
      <c r="HF31" s="16">
        <f t="shared" si="63"/>
        <v>1.369053341595909</v>
      </c>
      <c r="HG31" s="29">
        <f t="shared" si="64"/>
        <v>500.53197985117231</v>
      </c>
      <c r="HH31" s="29">
        <f t="shared" si="65"/>
        <v>365.60443968362904</v>
      </c>
      <c r="HI31" s="34"/>
      <c r="HJ31" s="4"/>
      <c r="HK31" s="5"/>
      <c r="HL31" s="6"/>
      <c r="HM31" s="32"/>
      <c r="HN31" s="3"/>
      <c r="HO31" s="4"/>
      <c r="HP31" s="5"/>
      <c r="HQ31" s="6"/>
      <c r="HR31" s="14"/>
      <c r="HS31" s="13"/>
      <c r="HT31" s="2">
        <v>5</v>
      </c>
      <c r="HU31" s="26">
        <f t="shared" si="15"/>
        <v>500</v>
      </c>
      <c r="HV31" s="26">
        <f t="shared" si="34"/>
        <v>0</v>
      </c>
      <c r="HW31" s="16">
        <f t="shared" si="66"/>
        <v>1.0931208231699561</v>
      </c>
      <c r="HX31" s="29">
        <f t="shared" si="67"/>
        <v>311.81884528112505</v>
      </c>
      <c r="HY31" s="29">
        <f t="shared" si="68"/>
        <v>285.25560822899456</v>
      </c>
      <c r="HZ31" s="34"/>
      <c r="IA31" s="4"/>
      <c r="IB31" s="5"/>
      <c r="IC31" s="6"/>
      <c r="ID31" s="32"/>
      <c r="IE31" s="3"/>
      <c r="IF31" s="4"/>
      <c r="IG31" s="5"/>
      <c r="IH31" s="6"/>
      <c r="II31" s="14"/>
      <c r="IJ31" s="13"/>
      <c r="IL31" s="26">
        <f t="shared" si="16"/>
        <v>0</v>
      </c>
      <c r="IM31" s="26">
        <f t="shared" si="17"/>
        <v>4881.1289432664744</v>
      </c>
      <c r="IN31" s="16">
        <f t="shared" si="69"/>
        <v>0.51183773940956701</v>
      </c>
      <c r="IO31" s="29">
        <f t="shared" si="70"/>
        <v>112.07054194503371</v>
      </c>
      <c r="IP31" s="29">
        <f t="shared" si="71"/>
        <v>218.9571680945474</v>
      </c>
      <c r="IQ31" s="34"/>
      <c r="IR31" s="4"/>
      <c r="IS31" s="5"/>
      <c r="IT31" s="6"/>
      <c r="IU31" s="32"/>
      <c r="IV31" s="3"/>
      <c r="IW31" s="4"/>
      <c r="IX31" s="5"/>
      <c r="IY31" s="6"/>
      <c r="IZ31" s="14"/>
      <c r="JA31" s="13"/>
      <c r="JC31" s="26">
        <f t="shared" si="18"/>
        <v>0</v>
      </c>
      <c r="JD31" s="26">
        <f t="shared" si="19"/>
        <v>4615.8040596483343</v>
      </c>
      <c r="JE31" s="16" t="e">
        <f t="shared" si="72"/>
        <v>#DIV/0!</v>
      </c>
      <c r="JF31" s="29">
        <f t="shared" si="73"/>
        <v>0</v>
      </c>
      <c r="JG31" s="29">
        <f t="shared" si="74"/>
        <v>0</v>
      </c>
      <c r="JH31" s="34"/>
      <c r="JI31" s="4"/>
      <c r="JJ31" s="5"/>
      <c r="JK31" s="6"/>
      <c r="JL31" s="32"/>
      <c r="JM31" s="3"/>
      <c r="JN31" s="4"/>
      <c r="JO31" s="5"/>
      <c r="JP31" s="6"/>
      <c r="JQ31" s="14"/>
      <c r="JR31" s="99"/>
      <c r="JS31" s="99"/>
      <c r="JT31" s="99"/>
      <c r="JU31" s="99"/>
      <c r="JV31" s="99"/>
      <c r="JW31" s="99"/>
      <c r="JX31" s="99"/>
      <c r="JY31" s="99"/>
      <c r="JZ31" s="99"/>
      <c r="KA31" s="99"/>
      <c r="KB31" s="99"/>
      <c r="KC31" s="99"/>
      <c r="KD31" s="99"/>
      <c r="KE31" s="99"/>
      <c r="KF31" s="99"/>
      <c r="KG31" s="99"/>
      <c r="KH31" s="99"/>
      <c r="KI31" s="99"/>
      <c r="KJ31" s="99"/>
      <c r="KK31" s="99"/>
      <c r="KL31" s="99"/>
      <c r="KM31" s="99"/>
      <c r="KN31" s="99"/>
      <c r="KO31" s="99"/>
      <c r="KP31" s="99"/>
      <c r="KQ31" s="99"/>
      <c r="KR31" s="99"/>
      <c r="KS31" s="99"/>
      <c r="KT31" s="99"/>
      <c r="KU31" s="99"/>
      <c r="KV31" s="99"/>
      <c r="KW31" s="99"/>
      <c r="KX31" s="99"/>
      <c r="KY31" s="99"/>
      <c r="KZ31" s="99"/>
      <c r="LA31" s="99"/>
      <c r="LB31" s="99"/>
      <c r="LC31" s="99"/>
      <c r="LD31" s="99"/>
      <c r="LE31" s="99"/>
      <c r="LF31" s="99"/>
      <c r="LG31" s="99"/>
      <c r="LH31" s="99"/>
      <c r="LI31" s="99"/>
      <c r="LJ31" s="99"/>
      <c r="LK31" s="99"/>
      <c r="LL31" s="99"/>
      <c r="LM31" s="99"/>
      <c r="LN31" s="99"/>
      <c r="LO31" s="99"/>
      <c r="LP31" s="99"/>
      <c r="LQ31" s="99"/>
      <c r="LR31" s="99"/>
      <c r="LS31" s="99"/>
      <c r="LT31" s="99"/>
      <c r="LU31" s="99"/>
      <c r="LV31" s="99"/>
      <c r="LW31" s="99"/>
      <c r="LX31" s="99"/>
      <c r="LY31" s="99"/>
      <c r="LZ31" s="99"/>
      <c r="MA31" s="99"/>
      <c r="MB31" s="99"/>
      <c r="MC31" s="99"/>
      <c r="MD31" s="99"/>
      <c r="ME31" s="99"/>
      <c r="MF31" s="99"/>
    </row>
    <row r="32" spans="1:344" ht="17.25" customHeight="1" x14ac:dyDescent="0.25">
      <c r="A32" s="155" t="s">
        <v>10</v>
      </c>
      <c r="B32" s="79" t="s">
        <v>1</v>
      </c>
      <c r="C32" s="80">
        <v>45166</v>
      </c>
      <c r="D32" s="50"/>
      <c r="G32" s="36">
        <f t="shared" si="0"/>
        <v>0</v>
      </c>
      <c r="H32" s="27">
        <f t="shared" si="1"/>
        <v>0</v>
      </c>
      <c r="I32" s="47"/>
      <c r="K32" s="105"/>
      <c r="L32" s="89">
        <f t="shared" si="2"/>
        <v>0</v>
      </c>
      <c r="M32" s="27">
        <f t="shared" si="20"/>
        <v>0</v>
      </c>
      <c r="N32" s="35">
        <f t="shared" si="21"/>
        <v>0</v>
      </c>
      <c r="O32" s="97"/>
      <c r="P32" s="149">
        <f t="shared" ref="P32" si="84">SUM(N32:N38)</f>
        <v>3102.3958333333335</v>
      </c>
      <c r="W32" s="11">
        <v>0</v>
      </c>
      <c r="X32" s="1">
        <v>0</v>
      </c>
      <c r="Y32" s="27">
        <f t="shared" si="3"/>
        <v>0</v>
      </c>
      <c r="Z32" s="27">
        <f t="shared" si="22"/>
        <v>0</v>
      </c>
      <c r="AA32" s="15">
        <f t="shared" si="80"/>
        <v>1.0449153462367202</v>
      </c>
      <c r="AB32" s="43">
        <f t="shared" si="81"/>
        <v>417.55142211914063</v>
      </c>
      <c r="AC32" s="43">
        <f t="shared" si="82"/>
        <v>399.60311007294411</v>
      </c>
      <c r="AD32" s="33"/>
      <c r="AH32" s="31"/>
      <c r="AP32" s="27">
        <f t="shared" si="4"/>
        <v>0</v>
      </c>
      <c r="AQ32" s="27">
        <f t="shared" si="23"/>
        <v>0</v>
      </c>
      <c r="AR32" s="15">
        <f t="shared" si="83"/>
        <v>0.84761083308057839</v>
      </c>
      <c r="AS32" s="28">
        <f t="shared" si="37"/>
        <v>360.9375</v>
      </c>
      <c r="AT32" s="28">
        <f t="shared" si="38"/>
        <v>425.82926729263187</v>
      </c>
      <c r="AU32" s="33"/>
      <c r="AY32" s="31"/>
      <c r="BE32" s="54"/>
      <c r="BF32" s="55"/>
      <c r="BG32" s="27">
        <f t="shared" si="5"/>
        <v>0</v>
      </c>
      <c r="BH32" s="27">
        <f t="shared" si="24"/>
        <v>0</v>
      </c>
      <c r="BI32" s="15">
        <f t="shared" si="39"/>
        <v>0.70249868903602808</v>
      </c>
      <c r="BJ32" s="28">
        <f t="shared" si="40"/>
        <v>205.98744772355701</v>
      </c>
      <c r="BK32" s="28">
        <f t="shared" si="41"/>
        <v>293.22111334643762</v>
      </c>
      <c r="BL32" s="33"/>
      <c r="BP32" s="31"/>
      <c r="BX32" s="27">
        <f t="shared" si="6"/>
        <v>0</v>
      </c>
      <c r="BY32" s="27">
        <f t="shared" si="25"/>
        <v>0</v>
      </c>
      <c r="BZ32" s="15">
        <f t="shared" si="42"/>
        <v>1.0897684808878316</v>
      </c>
      <c r="CA32" s="28">
        <f t="shared" si="43"/>
        <v>407.06929699126329</v>
      </c>
      <c r="CB32" s="28">
        <f t="shared" si="44"/>
        <v>373.537411046817</v>
      </c>
      <c r="CC32" s="33"/>
      <c r="CG32" s="31"/>
      <c r="CO32" s="27">
        <f t="shared" si="7"/>
        <v>0</v>
      </c>
      <c r="CP32" s="27">
        <f t="shared" si="26"/>
        <v>0</v>
      </c>
      <c r="CQ32" s="15">
        <f t="shared" si="45"/>
        <v>1.0613699489636181</v>
      </c>
      <c r="CR32" s="28">
        <f t="shared" si="46"/>
        <v>386.00803077760781</v>
      </c>
      <c r="CS32" s="28">
        <f t="shared" si="47"/>
        <v>363.68848689802076</v>
      </c>
      <c r="CT32" s="33"/>
      <c r="CX32" s="31"/>
      <c r="DF32" s="27">
        <f t="shared" si="8"/>
        <v>0</v>
      </c>
      <c r="DG32" s="27">
        <f t="shared" si="27"/>
        <v>0</v>
      </c>
      <c r="DH32" s="15">
        <f t="shared" si="48"/>
        <v>1.1307586269900025</v>
      </c>
      <c r="DI32" s="28">
        <f t="shared" si="49"/>
        <v>397.66560087520327</v>
      </c>
      <c r="DJ32" s="28">
        <f t="shared" si="50"/>
        <v>351.68035987818217</v>
      </c>
      <c r="DK32" s="33"/>
      <c r="DO32" s="31"/>
      <c r="DW32" s="27">
        <f t="shared" si="9"/>
        <v>0</v>
      </c>
      <c r="DX32" s="27">
        <f t="shared" si="28"/>
        <v>0</v>
      </c>
      <c r="DY32" s="15">
        <f t="shared" si="51"/>
        <v>1.118553986777862</v>
      </c>
      <c r="DZ32" s="28">
        <f t="shared" si="52"/>
        <v>395.96518764812197</v>
      </c>
      <c r="EA32" s="28">
        <f t="shared" si="53"/>
        <v>353.99738620462153</v>
      </c>
      <c r="EB32" s="33"/>
      <c r="EF32" s="31"/>
      <c r="EN32" s="27">
        <f t="shared" si="10"/>
        <v>0</v>
      </c>
      <c r="EO32" s="27">
        <f t="shared" si="29"/>
        <v>0</v>
      </c>
      <c r="EP32" s="52"/>
      <c r="EQ32" s="28">
        <f t="shared" si="54"/>
        <v>0</v>
      </c>
      <c r="ER32" s="28">
        <f t="shared" si="55"/>
        <v>0</v>
      </c>
      <c r="ES32" s="33"/>
      <c r="EW32" s="31"/>
      <c r="FE32" s="27">
        <f t="shared" si="11"/>
        <v>0</v>
      </c>
      <c r="FF32" s="27">
        <f t="shared" si="30"/>
        <v>0</v>
      </c>
      <c r="FG32" s="15">
        <f t="shared" si="56"/>
        <v>1.1014135218432684</v>
      </c>
      <c r="FH32" s="28">
        <f t="shared" si="57"/>
        <v>443.58663361500646</v>
      </c>
      <c r="FI32" s="28">
        <f t="shared" si="58"/>
        <v>402.7430432056463</v>
      </c>
      <c r="FJ32" s="33"/>
      <c r="FN32" s="31"/>
      <c r="FV32" s="27">
        <f t="shared" si="12"/>
        <v>0</v>
      </c>
      <c r="FW32" s="27">
        <f t="shared" si="31"/>
        <v>0</v>
      </c>
      <c r="FX32" s="52"/>
      <c r="FY32" s="28">
        <f t="shared" si="59"/>
        <v>0</v>
      </c>
      <c r="FZ32" s="28">
        <f t="shared" si="60"/>
        <v>0</v>
      </c>
      <c r="GA32" s="33"/>
      <c r="GE32" s="31"/>
      <c r="GM32" s="27">
        <f t="shared" si="13"/>
        <v>0</v>
      </c>
      <c r="GN32" s="27">
        <f t="shared" si="32"/>
        <v>0</v>
      </c>
      <c r="GO32" s="15">
        <f t="shared" si="77"/>
        <v>0.65067053734423985</v>
      </c>
      <c r="GP32" s="28">
        <f t="shared" si="61"/>
        <v>483.62155151367188</v>
      </c>
      <c r="GQ32" s="28">
        <f t="shared" si="62"/>
        <v>743.26640558770214</v>
      </c>
      <c r="GR32" s="33"/>
      <c r="GV32" s="31"/>
      <c r="HD32" s="27">
        <f t="shared" si="14"/>
        <v>0</v>
      </c>
      <c r="HE32" s="27">
        <f t="shared" si="33"/>
        <v>0</v>
      </c>
      <c r="HF32" s="15">
        <f t="shared" si="63"/>
        <v>1.1028485251744824</v>
      </c>
      <c r="HG32" s="28">
        <f t="shared" si="64"/>
        <v>375.39898488837923</v>
      </c>
      <c r="HH32" s="28">
        <f t="shared" si="65"/>
        <v>340.3903403951029</v>
      </c>
      <c r="HI32" s="33"/>
      <c r="HM32" s="31"/>
      <c r="HU32" s="27">
        <f t="shared" si="15"/>
        <v>0</v>
      </c>
      <c r="HV32" s="27">
        <f t="shared" si="34"/>
        <v>0</v>
      </c>
      <c r="HW32" s="15">
        <f t="shared" si="66"/>
        <v>0.88056955199802034</v>
      </c>
      <c r="HX32" s="28">
        <f t="shared" si="67"/>
        <v>233.86413396084379</v>
      </c>
      <c r="HY32" s="28">
        <f t="shared" si="68"/>
        <v>265.58280766147766</v>
      </c>
      <c r="HZ32" s="33"/>
      <c r="ID32" s="31"/>
      <c r="II32" s="12"/>
      <c r="IL32" s="27">
        <f t="shared" si="16"/>
        <v>0</v>
      </c>
      <c r="IM32" s="27">
        <f t="shared" si="17"/>
        <v>3499.2335486418015</v>
      </c>
      <c r="IN32" s="15">
        <f t="shared" si="69"/>
        <v>0.41231373452437342</v>
      </c>
      <c r="IO32" s="28">
        <f t="shared" si="70"/>
        <v>84.052906458775283</v>
      </c>
      <c r="IP32" s="28">
        <f t="shared" si="71"/>
        <v>203.85667374319931</v>
      </c>
      <c r="IQ32" s="33"/>
      <c r="IU32" s="31"/>
      <c r="JC32" s="27">
        <f t="shared" si="18"/>
        <v>0</v>
      </c>
      <c r="JD32" s="27">
        <f t="shared" si="19"/>
        <v>3365.6586674474256</v>
      </c>
      <c r="JE32" s="15" t="e">
        <f t="shared" si="72"/>
        <v>#DIV/0!</v>
      </c>
      <c r="JF32" s="28">
        <f t="shared" si="73"/>
        <v>0</v>
      </c>
      <c r="JG32" s="28">
        <f t="shared" si="74"/>
        <v>0</v>
      </c>
      <c r="JH32" s="33"/>
      <c r="JL32" s="31"/>
      <c r="JR32" s="99"/>
      <c r="JS32" s="99"/>
      <c r="JT32" s="99"/>
      <c r="JU32" s="99"/>
      <c r="JV32" s="99"/>
      <c r="JW32" s="99"/>
      <c r="JX32" s="99"/>
      <c r="JY32" s="99"/>
      <c r="JZ32" s="99"/>
      <c r="KA32" s="99"/>
      <c r="KB32" s="99"/>
      <c r="KC32" s="99"/>
      <c r="KD32" s="99"/>
      <c r="KE32" s="99"/>
      <c r="KF32" s="99"/>
      <c r="KG32" s="99"/>
      <c r="KH32" s="99"/>
      <c r="KI32" s="99"/>
      <c r="KJ32" s="99"/>
      <c r="KK32" s="99"/>
      <c r="KL32" s="99"/>
      <c r="KM32" s="99"/>
      <c r="KN32" s="99"/>
      <c r="KO32" s="99"/>
      <c r="KP32" s="99"/>
      <c r="KQ32" s="99"/>
      <c r="KR32" s="99"/>
      <c r="KS32" s="99"/>
      <c r="KT32" s="99"/>
      <c r="KU32" s="99"/>
      <c r="KV32" s="99"/>
      <c r="KW32" s="99"/>
      <c r="KX32" s="99"/>
      <c r="KY32" s="99"/>
      <c r="KZ32" s="99"/>
      <c r="LA32" s="99"/>
      <c r="LB32" s="99"/>
      <c r="LC32" s="99"/>
      <c r="LD32" s="99"/>
      <c r="LE32" s="99"/>
      <c r="LF32" s="99"/>
      <c r="LG32" s="99"/>
      <c r="LH32" s="99"/>
      <c r="LI32" s="99"/>
      <c r="LJ32" s="99"/>
      <c r="LK32" s="99"/>
      <c r="LL32" s="99"/>
      <c r="LM32" s="99"/>
      <c r="LN32" s="99"/>
      <c r="LO32" s="99"/>
      <c r="LP32" s="99"/>
      <c r="LQ32" s="99"/>
      <c r="LR32" s="99"/>
      <c r="LS32" s="99"/>
      <c r="LT32" s="99"/>
      <c r="LU32" s="99"/>
      <c r="LV32" s="99"/>
      <c r="LW32" s="99"/>
      <c r="LX32" s="99"/>
      <c r="LY32" s="99"/>
      <c r="LZ32" s="99"/>
      <c r="MA32" s="99"/>
      <c r="MB32" s="99"/>
      <c r="MC32" s="99"/>
      <c r="MD32" s="99"/>
      <c r="ME32" s="99"/>
      <c r="MF32" s="99"/>
    </row>
    <row r="33" spans="1:344" ht="17.25" customHeight="1" x14ac:dyDescent="0.25">
      <c r="A33" s="156"/>
      <c r="B33" s="81" t="s">
        <v>2</v>
      </c>
      <c r="C33" s="82">
        <v>45167</v>
      </c>
      <c r="D33" s="49"/>
      <c r="G33" s="89">
        <f t="shared" si="0"/>
        <v>0</v>
      </c>
      <c r="H33" s="35">
        <f t="shared" si="1"/>
        <v>0</v>
      </c>
      <c r="I33" s="39">
        <v>8</v>
      </c>
      <c r="K33" s="103">
        <v>50</v>
      </c>
      <c r="L33" s="89">
        <f t="shared" si="2"/>
        <v>7.166666666666667</v>
      </c>
      <c r="M33" s="35">
        <f t="shared" si="20"/>
        <v>358.33333333333337</v>
      </c>
      <c r="N33" s="35">
        <f t="shared" si="21"/>
        <v>358.33333333333337</v>
      </c>
      <c r="O33" s="97"/>
      <c r="P33" s="150"/>
      <c r="W33" s="11">
        <v>0</v>
      </c>
      <c r="X33" s="1">
        <v>7.5</v>
      </c>
      <c r="Y33" s="35">
        <f t="shared" si="3"/>
        <v>375</v>
      </c>
      <c r="Z33" s="35">
        <f t="shared" si="22"/>
        <v>0</v>
      </c>
      <c r="AA33" s="15">
        <f t="shared" si="80"/>
        <v>1.0226365396463362</v>
      </c>
      <c r="AB33" s="43">
        <f t="shared" si="81"/>
        <v>406.91356658935547</v>
      </c>
      <c r="AC33" s="43">
        <f t="shared" si="82"/>
        <v>397.90634386101692</v>
      </c>
      <c r="AD33" s="33"/>
      <c r="AH33" s="31"/>
      <c r="AO33" s="1">
        <v>9</v>
      </c>
      <c r="AP33" s="35">
        <f t="shared" si="4"/>
        <v>450</v>
      </c>
      <c r="AQ33" s="35">
        <f t="shared" si="23"/>
        <v>0</v>
      </c>
      <c r="AR33" s="15">
        <f t="shared" si="83"/>
        <v>0.89638951671054656</v>
      </c>
      <c r="AS33" s="28">
        <f t="shared" si="37"/>
        <v>383.203125</v>
      </c>
      <c r="AT33" s="28">
        <f t="shared" si="38"/>
        <v>427.49621437589866</v>
      </c>
      <c r="AU33" s="33"/>
      <c r="AY33" s="31"/>
      <c r="BE33" s="54"/>
      <c r="BF33" s="55"/>
      <c r="BG33" s="35">
        <f t="shared" si="5"/>
        <v>0</v>
      </c>
      <c r="BH33" s="35">
        <f t="shared" si="24"/>
        <v>0</v>
      </c>
      <c r="BI33" s="15">
        <f t="shared" si="39"/>
        <v>0.56590172172346709</v>
      </c>
      <c r="BJ33" s="28">
        <f t="shared" si="40"/>
        <v>154.49058579266776</v>
      </c>
      <c r="BK33" s="28">
        <f t="shared" si="41"/>
        <v>272.99896759840743</v>
      </c>
      <c r="BL33" s="33"/>
      <c r="BP33" s="31"/>
      <c r="BW33" s="1">
        <v>7</v>
      </c>
      <c r="BX33" s="35">
        <f t="shared" si="6"/>
        <v>350</v>
      </c>
      <c r="BY33" s="35">
        <f t="shared" si="25"/>
        <v>0</v>
      </c>
      <c r="BZ33" s="15">
        <f t="shared" si="42"/>
        <v>1.056163047067511</v>
      </c>
      <c r="CA33" s="28">
        <f t="shared" si="43"/>
        <v>392.80197274344744</v>
      </c>
      <c r="CB33" s="28">
        <f t="shared" si="44"/>
        <v>371.91414131945027</v>
      </c>
      <c r="CC33" s="33"/>
      <c r="CG33" s="31"/>
      <c r="CO33" s="35">
        <f t="shared" si="7"/>
        <v>0</v>
      </c>
      <c r="CP33" s="35">
        <f t="shared" si="26"/>
        <v>0</v>
      </c>
      <c r="CQ33" s="15">
        <f t="shared" si="45"/>
        <v>0.85499245888735909</v>
      </c>
      <c r="CR33" s="28">
        <f t="shared" si="46"/>
        <v>289.50602308320583</v>
      </c>
      <c r="CS33" s="28">
        <f t="shared" si="47"/>
        <v>338.60652228436413</v>
      </c>
      <c r="CT33" s="33"/>
      <c r="CX33" s="31"/>
      <c r="DE33" s="1">
        <v>5</v>
      </c>
      <c r="DF33" s="35">
        <f t="shared" si="8"/>
        <v>250</v>
      </c>
      <c r="DG33" s="35">
        <f t="shared" si="27"/>
        <v>0</v>
      </c>
      <c r="DH33" s="15">
        <f t="shared" si="48"/>
        <v>1.0466573138905573</v>
      </c>
      <c r="DI33" s="28">
        <f t="shared" si="49"/>
        <v>360.74920065640242</v>
      </c>
      <c r="DJ33" s="28">
        <f t="shared" si="50"/>
        <v>344.66792126589371</v>
      </c>
      <c r="DK33" s="33"/>
      <c r="DO33" s="31"/>
      <c r="DV33" s="1">
        <v>7.5</v>
      </c>
      <c r="DW33" s="35">
        <f t="shared" si="9"/>
        <v>375</v>
      </c>
      <c r="DX33" s="35">
        <f t="shared" si="28"/>
        <v>0</v>
      </c>
      <c r="DY33" s="15">
        <f t="shared" si="51"/>
        <v>1.0992501366074581</v>
      </c>
      <c r="DZ33" s="28">
        <f t="shared" si="52"/>
        <v>390.72389073609145</v>
      </c>
      <c r="EA33" s="28">
        <f t="shared" si="53"/>
        <v>355.44584232844073</v>
      </c>
      <c r="EB33" s="33"/>
      <c r="EF33" s="31"/>
      <c r="EN33" s="35">
        <f t="shared" si="10"/>
        <v>0</v>
      </c>
      <c r="EO33" s="35">
        <f t="shared" si="29"/>
        <v>0</v>
      </c>
      <c r="EP33" s="52"/>
      <c r="EQ33" s="28">
        <f t="shared" si="54"/>
        <v>0</v>
      </c>
      <c r="ER33" s="28">
        <f t="shared" si="55"/>
        <v>0</v>
      </c>
      <c r="ES33" s="33"/>
      <c r="EW33" s="31"/>
      <c r="FE33" s="35">
        <f t="shared" si="11"/>
        <v>0</v>
      </c>
      <c r="FF33" s="35">
        <f t="shared" si="30"/>
        <v>0</v>
      </c>
      <c r="FG33" s="15">
        <f t="shared" si="56"/>
        <v>0.887249781484855</v>
      </c>
      <c r="FH33" s="28">
        <f t="shared" si="57"/>
        <v>332.68997521125482</v>
      </c>
      <c r="FI33" s="28">
        <f t="shared" si="58"/>
        <v>374.9676609156017</v>
      </c>
      <c r="FJ33" s="33"/>
      <c r="FN33" s="31"/>
      <c r="FV33" s="35">
        <f t="shared" si="12"/>
        <v>0</v>
      </c>
      <c r="FW33" s="35">
        <f t="shared" si="31"/>
        <v>0</v>
      </c>
      <c r="FX33" s="52"/>
      <c r="FY33" s="28">
        <f t="shared" si="59"/>
        <v>0</v>
      </c>
      <c r="FZ33" s="28">
        <f t="shared" si="60"/>
        <v>0</v>
      </c>
      <c r="GA33" s="33"/>
      <c r="GE33" s="31"/>
      <c r="GL33" s="1">
        <v>7</v>
      </c>
      <c r="GM33" s="35">
        <f t="shared" si="13"/>
        <v>350</v>
      </c>
      <c r="GN33" s="35">
        <f t="shared" si="32"/>
        <v>0</v>
      </c>
      <c r="GO33" s="15">
        <f t="shared" si="77"/>
        <v>0.62866657567704787</v>
      </c>
      <c r="GP33" s="28">
        <f t="shared" si="61"/>
        <v>450.21616363525391</v>
      </c>
      <c r="GQ33" s="28">
        <f t="shared" si="62"/>
        <v>716.1445845126882</v>
      </c>
      <c r="GR33" s="33"/>
      <c r="GV33" s="31"/>
      <c r="HC33" s="1">
        <v>7</v>
      </c>
      <c r="HD33" s="35">
        <f t="shared" si="14"/>
        <v>350</v>
      </c>
      <c r="HE33" s="35">
        <f t="shared" si="33"/>
        <v>0</v>
      </c>
      <c r="HF33" s="15">
        <f t="shared" si="63"/>
        <v>1.0820874084822927</v>
      </c>
      <c r="HG33" s="28">
        <f t="shared" si="64"/>
        <v>369.0492386662844</v>
      </c>
      <c r="HH33" s="28">
        <f t="shared" si="65"/>
        <v>341.0530755402682</v>
      </c>
      <c r="HI33" s="33"/>
      <c r="HM33" s="31"/>
      <c r="HT33" s="1">
        <v>6</v>
      </c>
      <c r="HU33" s="35">
        <f t="shared" si="15"/>
        <v>300</v>
      </c>
      <c r="HV33" s="35">
        <f t="shared" si="34"/>
        <v>0</v>
      </c>
      <c r="HW33" s="15">
        <f t="shared" si="66"/>
        <v>0.93447327178952111</v>
      </c>
      <c r="HX33" s="28">
        <f t="shared" si="67"/>
        <v>250.39810047063284</v>
      </c>
      <c r="HY33" s="28">
        <f t="shared" si="68"/>
        <v>267.9564071330999</v>
      </c>
      <c r="HZ33" s="33"/>
      <c r="ID33" s="31"/>
      <c r="II33" s="12"/>
      <c r="IL33" s="35">
        <f t="shared" si="16"/>
        <v>0</v>
      </c>
      <c r="IM33" s="35">
        <f t="shared" si="17"/>
        <v>3783.9470867122436</v>
      </c>
      <c r="IN33" s="15">
        <f t="shared" si="69"/>
        <v>0.33214161947796744</v>
      </c>
      <c r="IO33" s="28">
        <f t="shared" si="70"/>
        <v>63.039679844081462</v>
      </c>
      <c r="IP33" s="28">
        <f t="shared" si="71"/>
        <v>189.79759279539246</v>
      </c>
      <c r="IQ33" s="33"/>
      <c r="IU33" s="31"/>
      <c r="JC33" s="35">
        <f t="shared" si="18"/>
        <v>0</v>
      </c>
      <c r="JD33" s="35">
        <f t="shared" si="19"/>
        <v>2853.6216811313061</v>
      </c>
      <c r="JE33" s="15" t="e">
        <f t="shared" si="72"/>
        <v>#DIV/0!</v>
      </c>
      <c r="JF33" s="28">
        <f t="shared" si="73"/>
        <v>0</v>
      </c>
      <c r="JG33" s="28">
        <f t="shared" si="74"/>
        <v>0</v>
      </c>
      <c r="JH33" s="33"/>
      <c r="JL33" s="31"/>
      <c r="JR33" s="99"/>
      <c r="JS33" s="99"/>
      <c r="JT33" s="99"/>
      <c r="JU33" s="99"/>
      <c r="JV33" s="99"/>
      <c r="JW33" s="99"/>
      <c r="JX33" s="99"/>
      <c r="JY33" s="99"/>
      <c r="JZ33" s="99"/>
      <c r="KA33" s="99"/>
      <c r="KB33" s="99"/>
      <c r="KC33" s="99"/>
      <c r="KD33" s="99"/>
      <c r="KE33" s="99"/>
      <c r="KF33" s="99"/>
      <c r="KG33" s="99"/>
      <c r="KH33" s="99"/>
      <c r="KI33" s="99"/>
      <c r="KJ33" s="99"/>
      <c r="KK33" s="99"/>
      <c r="KL33" s="99"/>
      <c r="KM33" s="99"/>
      <c r="KN33" s="99"/>
      <c r="KO33" s="99"/>
      <c r="KP33" s="99"/>
      <c r="KQ33" s="99"/>
      <c r="KR33" s="99"/>
      <c r="KS33" s="99"/>
      <c r="KT33" s="99"/>
      <c r="KU33" s="99"/>
      <c r="KV33" s="99"/>
      <c r="KW33" s="99"/>
      <c r="KX33" s="99"/>
      <c r="KY33" s="99"/>
      <c r="KZ33" s="99"/>
      <c r="LA33" s="99"/>
      <c r="LB33" s="99"/>
      <c r="LC33" s="99"/>
      <c r="LD33" s="99"/>
      <c r="LE33" s="99"/>
      <c r="LF33" s="99"/>
      <c r="LG33" s="99"/>
      <c r="LH33" s="99"/>
      <c r="LI33" s="99"/>
      <c r="LJ33" s="99"/>
      <c r="LK33" s="99"/>
      <c r="LL33" s="99"/>
      <c r="LM33" s="99"/>
      <c r="LN33" s="99"/>
      <c r="LO33" s="99"/>
      <c r="LP33" s="99"/>
      <c r="LQ33" s="99"/>
      <c r="LR33" s="99"/>
      <c r="LS33" s="99"/>
      <c r="LT33" s="99"/>
      <c r="LU33" s="99"/>
      <c r="LV33" s="99"/>
      <c r="LW33" s="99"/>
      <c r="LX33" s="99"/>
      <c r="LY33" s="99"/>
      <c r="LZ33" s="99"/>
      <c r="MA33" s="99"/>
      <c r="MB33" s="99"/>
      <c r="MC33" s="99"/>
      <c r="MD33" s="99"/>
      <c r="ME33" s="99"/>
      <c r="MF33" s="99"/>
    </row>
    <row r="34" spans="1:344" ht="17.25" customHeight="1" x14ac:dyDescent="0.25">
      <c r="A34" s="156"/>
      <c r="B34" s="81" t="s">
        <v>3</v>
      </c>
      <c r="C34" s="82">
        <v>45168</v>
      </c>
      <c r="D34" s="49">
        <v>11</v>
      </c>
      <c r="F34" s="103">
        <v>50</v>
      </c>
      <c r="G34" s="89">
        <f t="shared" si="0"/>
        <v>6.4375</v>
      </c>
      <c r="H34" s="35">
        <f t="shared" si="1"/>
        <v>321.875</v>
      </c>
      <c r="I34" s="39">
        <v>11</v>
      </c>
      <c r="K34" s="103">
        <v>55</v>
      </c>
      <c r="L34" s="89">
        <f t="shared" si="2"/>
        <v>6.8125</v>
      </c>
      <c r="M34" s="35">
        <f t="shared" si="20"/>
        <v>374.6875</v>
      </c>
      <c r="N34" s="35">
        <f t="shared" si="21"/>
        <v>696.5625</v>
      </c>
      <c r="O34" s="97"/>
      <c r="P34" s="150"/>
      <c r="W34" s="11">
        <v>7</v>
      </c>
      <c r="X34" s="1">
        <v>8.5</v>
      </c>
      <c r="Y34" s="35">
        <f t="shared" si="3"/>
        <v>817.5</v>
      </c>
      <c r="Z34" s="35">
        <f t="shared" si="22"/>
        <v>0</v>
      </c>
      <c r="AA34" s="15">
        <f t="shared" si="80"/>
        <v>1.1937859477142099</v>
      </c>
      <c r="AB34" s="43">
        <f t="shared" si="81"/>
        <v>509.5601749420166</v>
      </c>
      <c r="AC34" s="43">
        <f t="shared" si="82"/>
        <v>426.84383738784334</v>
      </c>
      <c r="AD34" s="33"/>
      <c r="AH34" s="31"/>
      <c r="AN34" s="11">
        <v>7</v>
      </c>
      <c r="AO34" s="1">
        <v>6</v>
      </c>
      <c r="AP34" s="35">
        <f t="shared" si="4"/>
        <v>680</v>
      </c>
      <c r="AQ34" s="35">
        <f t="shared" si="23"/>
        <v>0</v>
      </c>
      <c r="AR34" s="15">
        <f t="shared" si="83"/>
        <v>1.0280777407850097</v>
      </c>
      <c r="AS34" s="28">
        <f t="shared" si="37"/>
        <v>457.40234375</v>
      </c>
      <c r="AT34" s="28">
        <f t="shared" si="38"/>
        <v>444.91026855687113</v>
      </c>
      <c r="AU34" s="33"/>
      <c r="AY34" s="31"/>
      <c r="BE34" s="54"/>
      <c r="BF34" s="55"/>
      <c r="BG34" s="35">
        <f t="shared" si="5"/>
        <v>0</v>
      </c>
      <c r="BH34" s="35">
        <f t="shared" si="24"/>
        <v>0</v>
      </c>
      <c r="BI34" s="15">
        <f t="shared" si="39"/>
        <v>0.45586527583279296</v>
      </c>
      <c r="BJ34" s="28">
        <f t="shared" si="40"/>
        <v>115.86793934450083</v>
      </c>
      <c r="BK34" s="28">
        <f t="shared" si="41"/>
        <v>254.17145259162069</v>
      </c>
      <c r="BL34" s="33"/>
      <c r="BP34" s="31"/>
      <c r="BV34" s="11">
        <v>8</v>
      </c>
      <c r="BW34" s="1">
        <v>7</v>
      </c>
      <c r="BX34" s="35">
        <f t="shared" si="6"/>
        <v>785</v>
      </c>
      <c r="BY34" s="35">
        <f t="shared" si="25"/>
        <v>0</v>
      </c>
      <c r="BZ34" s="15">
        <f t="shared" si="42"/>
        <v>1.2258941584168448</v>
      </c>
      <c r="CA34" s="28">
        <f t="shared" si="43"/>
        <v>490.85147955758555</v>
      </c>
      <c r="CB34" s="28">
        <f t="shared" si="44"/>
        <v>400.40282122845366</v>
      </c>
      <c r="CC34" s="33"/>
      <c r="CG34" s="31"/>
      <c r="CM34" s="11">
        <v>5.5</v>
      </c>
      <c r="CN34" s="1">
        <v>7.5</v>
      </c>
      <c r="CO34" s="35">
        <f t="shared" si="7"/>
        <v>687.5</v>
      </c>
      <c r="CP34" s="35">
        <f t="shared" si="26"/>
        <v>0</v>
      </c>
      <c r="CQ34" s="15">
        <f t="shared" si="45"/>
        <v>1.0726183881795435</v>
      </c>
      <c r="CR34" s="28">
        <f t="shared" si="46"/>
        <v>389.00451731240435</v>
      </c>
      <c r="CS34" s="28">
        <f t="shared" si="47"/>
        <v>362.66814143716658</v>
      </c>
      <c r="CT34" s="33"/>
      <c r="CX34" s="31"/>
      <c r="DD34" s="11">
        <v>5.5</v>
      </c>
      <c r="DE34" s="1">
        <v>5.5</v>
      </c>
      <c r="DF34" s="35">
        <f t="shared" si="8"/>
        <v>577.5</v>
      </c>
      <c r="DG34" s="35">
        <f t="shared" si="27"/>
        <v>0</v>
      </c>
      <c r="DH34" s="15">
        <f t="shared" si="48"/>
        <v>1.1502849774703541</v>
      </c>
      <c r="DI34" s="28">
        <f t="shared" si="49"/>
        <v>414.93690049230179</v>
      </c>
      <c r="DJ34" s="28">
        <f t="shared" si="50"/>
        <v>360.72530600617694</v>
      </c>
      <c r="DK34" s="33"/>
      <c r="DO34" s="31"/>
      <c r="DU34" s="11">
        <v>5</v>
      </c>
      <c r="DV34" s="1">
        <v>5</v>
      </c>
      <c r="DW34" s="35">
        <f t="shared" si="9"/>
        <v>525</v>
      </c>
      <c r="DX34" s="35">
        <f t="shared" si="28"/>
        <v>0</v>
      </c>
      <c r="DY34" s="15">
        <f t="shared" si="51"/>
        <v>1.1556730539207831</v>
      </c>
      <c r="DZ34" s="28">
        <f t="shared" si="52"/>
        <v>424.29291805206856</v>
      </c>
      <c r="EA34" s="28">
        <f t="shared" si="53"/>
        <v>367.13923251268619</v>
      </c>
      <c r="EB34" s="33"/>
      <c r="EF34" s="31"/>
      <c r="EN34" s="35">
        <f t="shared" si="10"/>
        <v>0</v>
      </c>
      <c r="EO34" s="35">
        <f t="shared" si="29"/>
        <v>0</v>
      </c>
      <c r="EP34" s="52"/>
      <c r="EQ34" s="28">
        <f t="shared" si="54"/>
        <v>0</v>
      </c>
      <c r="ER34" s="28">
        <f t="shared" si="55"/>
        <v>0</v>
      </c>
      <c r="ES34" s="33"/>
      <c r="EW34" s="31"/>
      <c r="FC34" s="11">
        <v>6</v>
      </c>
      <c r="FD34" s="1">
        <v>8</v>
      </c>
      <c r="FE34" s="35">
        <f t="shared" si="11"/>
        <v>740</v>
      </c>
      <c r="FF34" s="35">
        <f t="shared" si="30"/>
        <v>0</v>
      </c>
      <c r="FG34" s="15">
        <f t="shared" si="56"/>
        <v>1.0859073784234812</v>
      </c>
      <c r="FH34" s="28">
        <f t="shared" si="57"/>
        <v>434.51748140844109</v>
      </c>
      <c r="FI34" s="28">
        <f t="shared" si="58"/>
        <v>400.1423049903878</v>
      </c>
      <c r="FJ34" s="33"/>
      <c r="FN34" s="31"/>
      <c r="FV34" s="35">
        <f t="shared" si="12"/>
        <v>0</v>
      </c>
      <c r="FW34" s="35">
        <f t="shared" si="31"/>
        <v>0</v>
      </c>
      <c r="FX34" s="52"/>
      <c r="FY34" s="28">
        <f t="shared" si="59"/>
        <v>0</v>
      </c>
      <c r="FZ34" s="28">
        <f t="shared" si="60"/>
        <v>0</v>
      </c>
      <c r="GA34" s="33"/>
      <c r="GE34" s="31"/>
      <c r="GK34" s="11">
        <v>7.5</v>
      </c>
      <c r="GL34" s="1">
        <v>7</v>
      </c>
      <c r="GM34" s="35">
        <f t="shared" si="13"/>
        <v>760</v>
      </c>
      <c r="GN34" s="35">
        <f t="shared" si="32"/>
        <v>0</v>
      </c>
      <c r="GO34" s="15">
        <f t="shared" si="77"/>
        <v>0.73371078612230012</v>
      </c>
      <c r="GP34" s="28">
        <f t="shared" si="61"/>
        <v>527.66212272644043</v>
      </c>
      <c r="GQ34" s="28">
        <f t="shared" si="62"/>
        <v>719.16909592560626</v>
      </c>
      <c r="GR34" s="33"/>
      <c r="GV34" s="31"/>
      <c r="HB34" s="11">
        <v>6</v>
      </c>
      <c r="HC34" s="1">
        <v>7</v>
      </c>
      <c r="HD34" s="35">
        <f t="shared" si="14"/>
        <v>685</v>
      </c>
      <c r="HE34" s="35">
        <f t="shared" si="33"/>
        <v>0</v>
      </c>
      <c r="HF34" s="15">
        <f t="shared" si="63"/>
        <v>1.2282604514646207</v>
      </c>
      <c r="HG34" s="28">
        <f t="shared" si="64"/>
        <v>448.03692899971327</v>
      </c>
      <c r="HH34" s="28">
        <f t="shared" si="65"/>
        <v>364.77355308921523</v>
      </c>
      <c r="HI34" s="33"/>
      <c r="HM34" s="31"/>
      <c r="HS34" s="11">
        <v>6</v>
      </c>
      <c r="HT34" s="1">
        <v>7</v>
      </c>
      <c r="HU34" s="35">
        <f t="shared" si="15"/>
        <v>685</v>
      </c>
      <c r="HV34" s="35">
        <f t="shared" si="34"/>
        <v>0</v>
      </c>
      <c r="HW34" s="15">
        <f t="shared" si="66"/>
        <v>1.2100665747800254</v>
      </c>
      <c r="HX34" s="28">
        <f t="shared" si="67"/>
        <v>359.04857535297464</v>
      </c>
      <c r="HY34" s="28">
        <f t="shared" si="68"/>
        <v>296.71803422736889</v>
      </c>
      <c r="HZ34" s="33"/>
      <c r="ID34" s="31"/>
      <c r="II34" s="12"/>
      <c r="IL34" s="35">
        <f t="shared" si="16"/>
        <v>0</v>
      </c>
      <c r="IM34" s="35">
        <f t="shared" si="17"/>
        <v>4754.0977068478605</v>
      </c>
      <c r="IN34" s="15">
        <f t="shared" si="69"/>
        <v>0.26755852680169601</v>
      </c>
      <c r="IO34" s="28">
        <f t="shared" si="70"/>
        <v>47.279759883061097</v>
      </c>
      <c r="IP34" s="28">
        <f t="shared" si="71"/>
        <v>176.70810363708952</v>
      </c>
      <c r="IQ34" s="33"/>
      <c r="IU34" s="31"/>
      <c r="JC34" s="35">
        <f t="shared" si="18"/>
        <v>0</v>
      </c>
      <c r="JD34" s="35">
        <f t="shared" si="19"/>
        <v>4060.076631599989</v>
      </c>
      <c r="JE34" s="15" t="e">
        <f t="shared" si="72"/>
        <v>#DIV/0!</v>
      </c>
      <c r="JF34" s="28">
        <f t="shared" si="73"/>
        <v>0</v>
      </c>
      <c r="JG34" s="28">
        <f t="shared" si="74"/>
        <v>0</v>
      </c>
      <c r="JH34" s="33"/>
      <c r="JL34" s="31"/>
      <c r="JR34" s="99"/>
      <c r="JS34" s="99"/>
      <c r="JT34" s="99"/>
      <c r="JU34" s="99"/>
      <c r="JV34" s="99"/>
      <c r="JW34" s="99"/>
      <c r="JX34" s="99"/>
      <c r="JY34" s="99"/>
      <c r="JZ34" s="99"/>
      <c r="KA34" s="99"/>
      <c r="KB34" s="99"/>
      <c r="KC34" s="99"/>
      <c r="KD34" s="99"/>
      <c r="KE34" s="99"/>
      <c r="KF34" s="99"/>
      <c r="KG34" s="99"/>
      <c r="KH34" s="99"/>
      <c r="KI34" s="99"/>
      <c r="KJ34" s="99"/>
      <c r="KK34" s="99"/>
      <c r="KL34" s="99"/>
      <c r="KM34" s="99"/>
      <c r="KN34" s="99"/>
      <c r="KO34" s="99"/>
      <c r="KP34" s="99"/>
      <c r="KQ34" s="99"/>
      <c r="KR34" s="99"/>
      <c r="KS34" s="99"/>
      <c r="KT34" s="99"/>
      <c r="KU34" s="99"/>
      <c r="KV34" s="99"/>
      <c r="KW34" s="99"/>
      <c r="KX34" s="99"/>
      <c r="KY34" s="99"/>
      <c r="KZ34" s="99"/>
      <c r="LA34" s="99"/>
      <c r="LB34" s="99"/>
      <c r="LC34" s="99"/>
      <c r="LD34" s="99"/>
      <c r="LE34" s="99"/>
      <c r="LF34" s="99"/>
      <c r="LG34" s="99"/>
      <c r="LH34" s="99"/>
      <c r="LI34" s="99"/>
      <c r="LJ34" s="99"/>
      <c r="LK34" s="99"/>
      <c r="LL34" s="99"/>
      <c r="LM34" s="99"/>
      <c r="LN34" s="99"/>
      <c r="LO34" s="99"/>
      <c r="LP34" s="99"/>
      <c r="LQ34" s="99"/>
      <c r="LR34" s="99"/>
      <c r="LS34" s="99"/>
      <c r="LT34" s="99"/>
      <c r="LU34" s="99"/>
      <c r="LV34" s="99"/>
      <c r="LW34" s="99"/>
      <c r="LX34" s="99"/>
      <c r="LY34" s="99"/>
      <c r="LZ34" s="99"/>
      <c r="MA34" s="99"/>
      <c r="MB34" s="99"/>
      <c r="MC34" s="99"/>
      <c r="MD34" s="99"/>
      <c r="ME34" s="99"/>
      <c r="MF34" s="99"/>
    </row>
    <row r="35" spans="1:344" ht="17.25" customHeight="1" x14ac:dyDescent="0.25">
      <c r="A35" s="156"/>
      <c r="B35" s="81" t="s">
        <v>4</v>
      </c>
      <c r="C35" s="82">
        <v>45169</v>
      </c>
      <c r="D35" s="49"/>
      <c r="G35" s="89">
        <f t="shared" si="0"/>
        <v>0</v>
      </c>
      <c r="H35" s="35">
        <f t="shared" si="1"/>
        <v>0</v>
      </c>
      <c r="I35" s="39">
        <v>12</v>
      </c>
      <c r="K35" s="103">
        <v>60</v>
      </c>
      <c r="L35" s="89">
        <f t="shared" si="2"/>
        <v>5.333333333333333</v>
      </c>
      <c r="M35" s="35">
        <f t="shared" si="20"/>
        <v>320</v>
      </c>
      <c r="N35" s="35">
        <f t="shared" si="21"/>
        <v>320</v>
      </c>
      <c r="O35" s="97"/>
      <c r="P35" s="150"/>
      <c r="W35" s="11">
        <v>0</v>
      </c>
      <c r="X35" s="1">
        <v>5.5</v>
      </c>
      <c r="Y35" s="35">
        <f t="shared" si="3"/>
        <v>330</v>
      </c>
      <c r="Z35" s="35">
        <f t="shared" si="22"/>
        <v>0</v>
      </c>
      <c r="AA35" s="15">
        <f t="shared" si="80"/>
        <v>1.1059231117172907</v>
      </c>
      <c r="AB35" s="43">
        <f t="shared" si="81"/>
        <v>464.67013120651245</v>
      </c>
      <c r="AC35" s="43">
        <f t="shared" si="82"/>
        <v>420.16495205075068</v>
      </c>
      <c r="AD35" s="33"/>
      <c r="AH35" s="31"/>
      <c r="AO35" s="1">
        <v>5</v>
      </c>
      <c r="AP35" s="35">
        <f t="shared" si="4"/>
        <v>300</v>
      </c>
      <c r="AQ35" s="35">
        <f t="shared" si="23"/>
        <v>0</v>
      </c>
      <c r="AR35" s="15">
        <f t="shared" si="83"/>
        <v>0.96122312952074362</v>
      </c>
      <c r="AS35" s="28">
        <f t="shared" si="37"/>
        <v>418.0517578125</v>
      </c>
      <c r="AT35" s="28">
        <f t="shared" si="38"/>
        <v>434.91645693225928</v>
      </c>
      <c r="AU35" s="33"/>
      <c r="AY35" s="31"/>
      <c r="BF35" s="1">
        <v>2</v>
      </c>
      <c r="BG35" s="35">
        <f t="shared" si="5"/>
        <v>120</v>
      </c>
      <c r="BH35" s="35">
        <f t="shared" si="24"/>
        <v>0</v>
      </c>
      <c r="BI35" s="15">
        <f t="shared" si="39"/>
        <v>0.47730601946801587</v>
      </c>
      <c r="BJ35" s="28">
        <f t="shared" si="40"/>
        <v>116.90095450837562</v>
      </c>
      <c r="BK35" s="28">
        <f t="shared" si="41"/>
        <v>244.91824896461236</v>
      </c>
      <c r="BL35" s="33"/>
      <c r="BP35" s="31"/>
      <c r="BW35" s="1">
        <v>5</v>
      </c>
      <c r="BX35" s="35">
        <f t="shared" si="6"/>
        <v>300</v>
      </c>
      <c r="BY35" s="35">
        <f t="shared" si="25"/>
        <v>0</v>
      </c>
      <c r="BZ35" s="15">
        <f t="shared" si="42"/>
        <v>1.1262079690773981</v>
      </c>
      <c r="CA35" s="28">
        <f t="shared" si="43"/>
        <v>443.13860966818913</v>
      </c>
      <c r="CB35" s="28">
        <f t="shared" si="44"/>
        <v>393.47848872993961</v>
      </c>
      <c r="CC35" s="33"/>
      <c r="CG35" s="31"/>
      <c r="CN35" s="1">
        <v>5.5</v>
      </c>
      <c r="CO35" s="35">
        <f t="shared" si="7"/>
        <v>330</v>
      </c>
      <c r="CP35" s="35">
        <f t="shared" si="26"/>
        <v>0</v>
      </c>
      <c r="CQ35" s="15">
        <f t="shared" si="45"/>
        <v>1.0383952261662199</v>
      </c>
      <c r="CR35" s="28">
        <f t="shared" si="46"/>
        <v>374.25338798430323</v>
      </c>
      <c r="CS35" s="28">
        <f t="shared" si="47"/>
        <v>360.41516616563786</v>
      </c>
      <c r="CT35" s="33"/>
      <c r="CX35" s="31"/>
      <c r="DE35" s="1">
        <v>5.5</v>
      </c>
      <c r="DF35" s="35">
        <f t="shared" si="8"/>
        <v>330</v>
      </c>
      <c r="DG35" s="35">
        <f t="shared" si="27"/>
        <v>0</v>
      </c>
      <c r="DH35" s="15">
        <f t="shared" si="48"/>
        <v>1.0978687604957669</v>
      </c>
      <c r="DI35" s="28">
        <f t="shared" si="49"/>
        <v>393.70267536922631</v>
      </c>
      <c r="DJ35" s="28">
        <f t="shared" si="50"/>
        <v>358.60631938506128</v>
      </c>
      <c r="DK35" s="33"/>
      <c r="DO35" s="31"/>
      <c r="DV35" s="1">
        <v>5.5</v>
      </c>
      <c r="DW35" s="35">
        <f t="shared" si="9"/>
        <v>330</v>
      </c>
      <c r="DX35" s="35">
        <f t="shared" si="28"/>
        <v>0</v>
      </c>
      <c r="DY35" s="15">
        <f t="shared" si="51"/>
        <v>1.0991332217301595</v>
      </c>
      <c r="DZ35" s="28">
        <f t="shared" si="52"/>
        <v>400.71968853905139</v>
      </c>
      <c r="EA35" s="28">
        <f t="shared" si="53"/>
        <v>364.57790613250091</v>
      </c>
      <c r="EB35" s="33"/>
      <c r="EF35" s="31"/>
      <c r="EN35" s="35">
        <f t="shared" si="10"/>
        <v>0</v>
      </c>
      <c r="EO35" s="35">
        <f t="shared" si="29"/>
        <v>0</v>
      </c>
      <c r="EP35" s="52"/>
      <c r="EQ35" s="28">
        <f t="shared" si="54"/>
        <v>0</v>
      </c>
      <c r="ER35" s="28">
        <f t="shared" si="55"/>
        <v>0</v>
      </c>
      <c r="ES35" s="33"/>
      <c r="EW35" s="31"/>
      <c r="FD35" s="1">
        <v>7</v>
      </c>
      <c r="FE35" s="35">
        <f t="shared" si="11"/>
        <v>420</v>
      </c>
      <c r="FF35" s="35">
        <f t="shared" si="30"/>
        <v>0</v>
      </c>
      <c r="FG35" s="15">
        <f t="shared" si="56"/>
        <v>1.0731642501434244</v>
      </c>
      <c r="FH35" s="28">
        <f t="shared" si="57"/>
        <v>430.88811105633079</v>
      </c>
      <c r="FI35" s="28">
        <f t="shared" si="58"/>
        <v>401.51180119794725</v>
      </c>
      <c r="FJ35" s="33"/>
      <c r="FN35" s="31"/>
      <c r="FV35" s="35">
        <f t="shared" si="12"/>
        <v>0</v>
      </c>
      <c r="FW35" s="35">
        <f t="shared" si="31"/>
        <v>0</v>
      </c>
      <c r="FX35" s="52"/>
      <c r="FY35" s="28">
        <f t="shared" si="59"/>
        <v>0</v>
      </c>
      <c r="FZ35" s="28">
        <f t="shared" si="60"/>
        <v>0</v>
      </c>
      <c r="GA35" s="33"/>
      <c r="GE35" s="31"/>
      <c r="GL35" s="1">
        <v>7</v>
      </c>
      <c r="GM35" s="35">
        <f t="shared" si="13"/>
        <v>420</v>
      </c>
      <c r="GN35" s="35">
        <f t="shared" si="32"/>
        <v>0</v>
      </c>
      <c r="GO35" s="15">
        <f t="shared" si="77"/>
        <v>0.7168507540943011</v>
      </c>
      <c r="GP35" s="28">
        <f t="shared" si="61"/>
        <v>500.74659204483032</v>
      </c>
      <c r="GQ35" s="28">
        <f t="shared" si="62"/>
        <v>698.53674448246102</v>
      </c>
      <c r="GR35" s="33"/>
      <c r="GV35" s="31"/>
      <c r="HC35" s="1">
        <v>6</v>
      </c>
      <c r="HD35" s="35">
        <f t="shared" si="14"/>
        <v>360</v>
      </c>
      <c r="HE35" s="35">
        <f t="shared" si="33"/>
        <v>0</v>
      </c>
      <c r="HF35" s="15">
        <f t="shared" si="63"/>
        <v>1.1689787630964557</v>
      </c>
      <c r="HG35" s="28">
        <f t="shared" si="64"/>
        <v>426.02769674978492</v>
      </c>
      <c r="HH35" s="28">
        <f t="shared" si="65"/>
        <v>364.44434253133835</v>
      </c>
      <c r="HI35" s="33"/>
      <c r="HM35" s="31"/>
      <c r="HT35" s="1">
        <v>6</v>
      </c>
      <c r="HU35" s="35">
        <f t="shared" si="15"/>
        <v>360</v>
      </c>
      <c r="HV35" s="35">
        <f t="shared" si="34"/>
        <v>0</v>
      </c>
      <c r="HW35" s="15">
        <f t="shared" si="66"/>
        <v>1.193316320127995</v>
      </c>
      <c r="HX35" s="28">
        <f t="shared" si="67"/>
        <v>359.28643151473096</v>
      </c>
      <c r="HY35" s="28">
        <f t="shared" si="68"/>
        <v>301.08230772892966</v>
      </c>
      <c r="HZ35" s="33"/>
      <c r="ID35" s="31"/>
      <c r="II35" s="12"/>
      <c r="IL35" s="35">
        <f t="shared" si="16"/>
        <v>0</v>
      </c>
      <c r="IM35" s="35">
        <f t="shared" si="17"/>
        <v>4043.3255062296867</v>
      </c>
      <c r="IN35" s="15">
        <f t="shared" si="69"/>
        <v>0.21553325770136622</v>
      </c>
      <c r="IO35" s="28">
        <f t="shared" si="70"/>
        <v>35.459819912295821</v>
      </c>
      <c r="IP35" s="28">
        <f t="shared" si="71"/>
        <v>164.52133786901439</v>
      </c>
      <c r="IQ35" s="33"/>
      <c r="IU35" s="31"/>
      <c r="JC35" s="35">
        <f t="shared" si="18"/>
        <v>0</v>
      </c>
      <c r="JD35" s="35">
        <f t="shared" si="19"/>
        <v>3632.2045684439008</v>
      </c>
      <c r="JE35" s="15" t="e">
        <f t="shared" si="72"/>
        <v>#DIV/0!</v>
      </c>
      <c r="JF35" s="28">
        <f t="shared" si="73"/>
        <v>0</v>
      </c>
      <c r="JG35" s="28">
        <f t="shared" si="74"/>
        <v>0</v>
      </c>
      <c r="JH35" s="33"/>
      <c r="JL35" s="31"/>
      <c r="JR35" s="99"/>
      <c r="JS35" s="99"/>
      <c r="JT35" s="99"/>
      <c r="JU35" s="99"/>
      <c r="JV35" s="99"/>
      <c r="JW35" s="99"/>
      <c r="JX35" s="99"/>
      <c r="JY35" s="99"/>
      <c r="JZ35" s="99"/>
      <c r="KA35" s="99"/>
      <c r="KB35" s="99"/>
      <c r="KC35" s="99"/>
      <c r="KD35" s="99"/>
      <c r="KE35" s="99"/>
      <c r="KF35" s="99"/>
      <c r="KG35" s="99"/>
      <c r="KH35" s="99"/>
      <c r="KI35" s="99"/>
      <c r="KJ35" s="99"/>
      <c r="KK35" s="99"/>
      <c r="KL35" s="99"/>
      <c r="KM35" s="99"/>
      <c r="KN35" s="99"/>
      <c r="KO35" s="99"/>
      <c r="KP35" s="99"/>
      <c r="KQ35" s="99"/>
      <c r="KR35" s="99"/>
      <c r="KS35" s="99"/>
      <c r="KT35" s="99"/>
      <c r="KU35" s="99"/>
      <c r="KV35" s="99"/>
      <c r="KW35" s="99"/>
      <c r="KX35" s="99"/>
      <c r="KY35" s="99"/>
      <c r="KZ35" s="99"/>
      <c r="LA35" s="99"/>
      <c r="LB35" s="99"/>
      <c r="LC35" s="99"/>
      <c r="LD35" s="99"/>
      <c r="LE35" s="99"/>
      <c r="LF35" s="99"/>
      <c r="LG35" s="99"/>
      <c r="LH35" s="99"/>
      <c r="LI35" s="99"/>
      <c r="LJ35" s="99"/>
      <c r="LK35" s="99"/>
      <c r="LL35" s="99"/>
      <c r="LM35" s="99"/>
      <c r="LN35" s="99"/>
      <c r="LO35" s="99"/>
      <c r="LP35" s="99"/>
      <c r="LQ35" s="99"/>
      <c r="LR35" s="99"/>
      <c r="LS35" s="99"/>
      <c r="LT35" s="99"/>
      <c r="LU35" s="99"/>
      <c r="LV35" s="99"/>
      <c r="LW35" s="99"/>
      <c r="LX35" s="99"/>
      <c r="LY35" s="99"/>
      <c r="LZ35" s="99"/>
      <c r="MA35" s="99"/>
      <c r="MB35" s="99"/>
      <c r="MC35" s="99"/>
      <c r="MD35" s="99"/>
      <c r="ME35" s="99"/>
      <c r="MF35" s="99"/>
    </row>
    <row r="36" spans="1:344" ht="17.25" customHeight="1" x14ac:dyDescent="0.25">
      <c r="A36" s="156"/>
      <c r="B36" s="81" t="s">
        <v>5</v>
      </c>
      <c r="C36" s="82">
        <v>45170</v>
      </c>
      <c r="D36" s="49"/>
      <c r="G36" s="89">
        <f t="shared" si="0"/>
        <v>0</v>
      </c>
      <c r="H36" s="35">
        <f t="shared" si="1"/>
        <v>0</v>
      </c>
      <c r="I36" s="39">
        <v>12</v>
      </c>
      <c r="K36" s="103">
        <v>50</v>
      </c>
      <c r="L36" s="89">
        <f t="shared" si="2"/>
        <v>5.55</v>
      </c>
      <c r="M36" s="35">
        <f t="shared" si="20"/>
        <v>277.5</v>
      </c>
      <c r="N36" s="35">
        <f t="shared" si="21"/>
        <v>277.5</v>
      </c>
      <c r="O36" s="97"/>
      <c r="P36" s="150"/>
      <c r="W36" s="11">
        <v>0</v>
      </c>
      <c r="X36" s="1">
        <v>6</v>
      </c>
      <c r="Y36" s="35">
        <f t="shared" si="3"/>
        <v>300</v>
      </c>
      <c r="Z36" s="35">
        <f t="shared" si="22"/>
        <v>0</v>
      </c>
      <c r="AA36" s="15">
        <f t="shared" si="80"/>
        <v>1.0282241161200874</v>
      </c>
      <c r="AB36" s="43">
        <f t="shared" si="81"/>
        <v>423.50259840488434</v>
      </c>
      <c r="AC36" s="43">
        <f t="shared" si="82"/>
        <v>411.8777139782851</v>
      </c>
      <c r="AD36" s="33"/>
      <c r="AH36" s="31"/>
      <c r="AO36" s="1">
        <v>6</v>
      </c>
      <c r="AP36" s="35">
        <f t="shared" si="4"/>
        <v>300</v>
      </c>
      <c r="AQ36" s="35">
        <f t="shared" si="23"/>
        <v>0</v>
      </c>
      <c r="AR36" s="15">
        <f t="shared" si="83"/>
        <v>0.91289468732562717</v>
      </c>
      <c r="AS36" s="28">
        <f t="shared" si="37"/>
        <v>388.538818359375</v>
      </c>
      <c r="AT36" s="28">
        <f t="shared" si="38"/>
        <v>425.61187369555171</v>
      </c>
      <c r="AU36" s="33"/>
      <c r="AY36" s="31"/>
      <c r="BF36" s="1">
        <v>4.5</v>
      </c>
      <c r="BG36" s="35">
        <f t="shared" si="5"/>
        <v>225</v>
      </c>
      <c r="BH36" s="35">
        <f t="shared" si="24"/>
        <v>0</v>
      </c>
      <c r="BI36" s="15">
        <f t="shared" si="39"/>
        <v>0.59096251650281006</v>
      </c>
      <c r="BJ36" s="28">
        <f t="shared" si="40"/>
        <v>143.92571588128172</v>
      </c>
      <c r="BK36" s="28">
        <f t="shared" si="41"/>
        <v>243.54457662222529</v>
      </c>
      <c r="BL36" s="33"/>
      <c r="BP36" s="31"/>
      <c r="BW36" s="1">
        <v>5</v>
      </c>
      <c r="BX36" s="35">
        <f t="shared" si="6"/>
        <v>250</v>
      </c>
      <c r="BY36" s="35">
        <f t="shared" si="25"/>
        <v>0</v>
      </c>
      <c r="BZ36" s="15">
        <f t="shared" si="42"/>
        <v>1.0293822311025813</v>
      </c>
      <c r="CA36" s="28">
        <f t="shared" si="43"/>
        <v>394.85395725114188</v>
      </c>
      <c r="CB36" s="28">
        <f t="shared" si="44"/>
        <v>383.58342054166792</v>
      </c>
      <c r="CC36" s="33"/>
      <c r="CG36" s="31"/>
      <c r="CN36" s="1">
        <v>6</v>
      </c>
      <c r="CO36" s="35">
        <f t="shared" si="7"/>
        <v>300</v>
      </c>
      <c r="CP36" s="35">
        <f t="shared" si="26"/>
        <v>0</v>
      </c>
      <c r="CQ36" s="15">
        <f t="shared" si="45"/>
        <v>0.99843210053626008</v>
      </c>
      <c r="CR36" s="28">
        <f t="shared" si="46"/>
        <v>355.69004098822745</v>
      </c>
      <c r="CS36" s="28">
        <f t="shared" si="47"/>
        <v>356.24860298180073</v>
      </c>
      <c r="CT36" s="33"/>
      <c r="CX36" s="31"/>
      <c r="DE36" s="1">
        <v>3</v>
      </c>
      <c r="DF36" s="35">
        <f t="shared" si="8"/>
        <v>150</v>
      </c>
      <c r="DG36" s="35">
        <f t="shared" si="27"/>
        <v>0</v>
      </c>
      <c r="DH36" s="15">
        <f t="shared" si="48"/>
        <v>0.96675765240190314</v>
      </c>
      <c r="DI36" s="28">
        <f t="shared" si="49"/>
        <v>332.77700652691976</v>
      </c>
      <c r="DJ36" s="28">
        <f t="shared" si="50"/>
        <v>344.21967666885018</v>
      </c>
      <c r="DK36" s="33"/>
      <c r="DO36" s="31"/>
      <c r="DV36" s="1">
        <v>5</v>
      </c>
      <c r="DW36" s="35">
        <f t="shared" si="9"/>
        <v>250</v>
      </c>
      <c r="DX36" s="35">
        <f t="shared" si="28"/>
        <v>0</v>
      </c>
      <c r="DY36" s="15">
        <f t="shared" si="51"/>
        <v>1.0178419214117216</v>
      </c>
      <c r="DZ36" s="28">
        <f t="shared" si="52"/>
        <v>363.03976640428857</v>
      </c>
      <c r="EA36" s="28">
        <f t="shared" si="53"/>
        <v>356.67598157163877</v>
      </c>
      <c r="EB36" s="33"/>
      <c r="EF36" s="31"/>
      <c r="EM36" s="1">
        <v>9</v>
      </c>
      <c r="EN36" s="35">
        <f t="shared" si="10"/>
        <v>450</v>
      </c>
      <c r="EO36" s="35">
        <f t="shared" si="29"/>
        <v>0</v>
      </c>
      <c r="EP36" s="15">
        <f t="shared" ref="EP36:EP76" si="85">EQ36/ER36</f>
        <v>1</v>
      </c>
      <c r="EQ36" s="28">
        <f>EN36*(2/(7+1))+((1-(2/(7+1)))*EN36)</f>
        <v>450</v>
      </c>
      <c r="ER36" s="28">
        <f>EN36*(2/(28+1))+((1-(2/(28+1)))*EN36)</f>
        <v>450</v>
      </c>
      <c r="ES36" s="33"/>
      <c r="EW36" s="31"/>
      <c r="FD36" s="1">
        <v>5</v>
      </c>
      <c r="FE36" s="35">
        <f t="shared" si="11"/>
        <v>250</v>
      </c>
      <c r="FF36" s="35">
        <f t="shared" si="30"/>
        <v>0</v>
      </c>
      <c r="FG36" s="15">
        <f t="shared" si="56"/>
        <v>0.98620009525387975</v>
      </c>
      <c r="FH36" s="28">
        <f t="shared" si="57"/>
        <v>385.66608329224812</v>
      </c>
      <c r="FI36" s="28">
        <f t="shared" si="58"/>
        <v>391.0627114601578</v>
      </c>
      <c r="FJ36" s="33"/>
      <c r="FN36" s="31"/>
      <c r="FV36" s="35">
        <f t="shared" si="12"/>
        <v>0</v>
      </c>
      <c r="FW36" s="35">
        <f t="shared" si="31"/>
        <v>0</v>
      </c>
      <c r="FX36" s="52"/>
      <c r="FY36" s="28">
        <f t="shared" si="59"/>
        <v>0</v>
      </c>
      <c r="FZ36" s="28">
        <f t="shared" si="60"/>
        <v>0</v>
      </c>
      <c r="GA36" s="33"/>
      <c r="GE36" s="31"/>
      <c r="GL36" s="1">
        <v>6</v>
      </c>
      <c r="GM36" s="35">
        <f t="shared" si="13"/>
        <v>300</v>
      </c>
      <c r="GN36" s="35">
        <f t="shared" si="32"/>
        <v>0</v>
      </c>
      <c r="GO36" s="15">
        <f t="shared" si="77"/>
        <v>0.67142384216922646</v>
      </c>
      <c r="GP36" s="28">
        <f t="shared" si="61"/>
        <v>450.55994403362274</v>
      </c>
      <c r="GQ36" s="28">
        <f t="shared" si="62"/>
        <v>671.05145175953271</v>
      </c>
      <c r="GR36" s="33"/>
      <c r="GV36" s="31"/>
      <c r="HC36" s="1">
        <v>5</v>
      </c>
      <c r="HD36" s="35">
        <f t="shared" si="14"/>
        <v>250</v>
      </c>
      <c r="HE36" s="35">
        <f t="shared" si="33"/>
        <v>0</v>
      </c>
      <c r="HF36" s="15">
        <f t="shared" si="63"/>
        <v>1.071431852274412</v>
      </c>
      <c r="HG36" s="28">
        <f t="shared" si="64"/>
        <v>382.02077256233872</v>
      </c>
      <c r="HH36" s="28">
        <f t="shared" si="65"/>
        <v>356.55162925331501</v>
      </c>
      <c r="HI36" s="33"/>
      <c r="HM36" s="31"/>
      <c r="HU36" s="35">
        <f t="shared" si="15"/>
        <v>0</v>
      </c>
      <c r="HV36" s="35">
        <f t="shared" si="34"/>
        <v>0</v>
      </c>
      <c r="HW36" s="15">
        <f t="shared" si="66"/>
        <v>0.96128259121421822</v>
      </c>
      <c r="HX36" s="28">
        <f t="shared" si="67"/>
        <v>269.46482363604821</v>
      </c>
      <c r="HY36" s="28">
        <f t="shared" si="68"/>
        <v>280.3180106441759</v>
      </c>
      <c r="HZ36" s="33"/>
      <c r="ID36" s="31"/>
      <c r="II36" s="12"/>
      <c r="IL36" s="35">
        <f t="shared" si="16"/>
        <v>0</v>
      </c>
      <c r="IM36" s="35">
        <f t="shared" si="17"/>
        <v>3750.4210784062152</v>
      </c>
      <c r="IN36" s="15">
        <f t="shared" si="69"/>
        <v>0.17362401314832282</v>
      </c>
      <c r="IO36" s="28">
        <f t="shared" si="70"/>
        <v>26.594864934221867</v>
      </c>
      <c r="IP36" s="28">
        <f t="shared" si="71"/>
        <v>153.17503870563408</v>
      </c>
      <c r="IQ36" s="33"/>
      <c r="IU36" s="31"/>
      <c r="JC36" s="35">
        <f t="shared" si="18"/>
        <v>0</v>
      </c>
      <c r="JD36" s="35">
        <f t="shared" si="19"/>
        <v>3506.998475163522</v>
      </c>
      <c r="JE36" s="15" t="e">
        <f t="shared" si="72"/>
        <v>#DIV/0!</v>
      </c>
      <c r="JF36" s="28">
        <f t="shared" si="73"/>
        <v>0</v>
      </c>
      <c r="JG36" s="28">
        <f t="shared" si="74"/>
        <v>0</v>
      </c>
      <c r="JH36" s="33"/>
      <c r="JL36" s="31"/>
      <c r="JR36" s="99"/>
      <c r="JS36" s="99"/>
      <c r="JT36" s="99"/>
      <c r="JU36" s="99"/>
      <c r="JV36" s="99"/>
      <c r="JW36" s="99"/>
      <c r="JX36" s="99"/>
      <c r="JY36" s="99"/>
      <c r="JZ36" s="99"/>
      <c r="KA36" s="99"/>
      <c r="KB36" s="99"/>
      <c r="KC36" s="99"/>
      <c r="KD36" s="99"/>
      <c r="KE36" s="99"/>
      <c r="KF36" s="99"/>
      <c r="KG36" s="99"/>
      <c r="KH36" s="99"/>
      <c r="KI36" s="99"/>
      <c r="KJ36" s="99"/>
      <c r="KK36" s="99"/>
      <c r="KL36" s="99"/>
      <c r="KM36" s="99"/>
      <c r="KN36" s="99"/>
      <c r="KO36" s="99"/>
      <c r="KP36" s="99"/>
      <c r="KQ36" s="99"/>
      <c r="KR36" s="99"/>
      <c r="KS36" s="99"/>
      <c r="KT36" s="99"/>
      <c r="KU36" s="99"/>
      <c r="KV36" s="99"/>
      <c r="KW36" s="99"/>
      <c r="KX36" s="99"/>
      <c r="KY36" s="99"/>
      <c r="KZ36" s="99"/>
      <c r="LA36" s="99"/>
      <c r="LB36" s="99"/>
      <c r="LC36" s="99"/>
      <c r="LD36" s="99"/>
      <c r="LE36" s="99"/>
      <c r="LF36" s="99"/>
      <c r="LG36" s="99"/>
      <c r="LH36" s="99"/>
      <c r="LI36" s="99"/>
      <c r="LJ36" s="99"/>
      <c r="LK36" s="99"/>
      <c r="LL36" s="99"/>
      <c r="LM36" s="99"/>
      <c r="LN36" s="99"/>
      <c r="LO36" s="99"/>
      <c r="LP36" s="99"/>
      <c r="LQ36" s="99"/>
      <c r="LR36" s="99"/>
      <c r="LS36" s="99"/>
      <c r="LT36" s="99"/>
      <c r="LU36" s="99"/>
      <c r="LV36" s="99"/>
      <c r="LW36" s="99"/>
      <c r="LX36" s="99"/>
      <c r="LY36" s="99"/>
      <c r="LZ36" s="99"/>
      <c r="MA36" s="99"/>
      <c r="MB36" s="99"/>
      <c r="MC36" s="99"/>
      <c r="MD36" s="99"/>
      <c r="ME36" s="99"/>
      <c r="MF36" s="99"/>
    </row>
    <row r="37" spans="1:344" ht="17.25" customHeight="1" x14ac:dyDescent="0.25">
      <c r="A37" s="156"/>
      <c r="B37" s="90" t="s">
        <v>6</v>
      </c>
      <c r="C37" s="91">
        <v>45171</v>
      </c>
      <c r="D37" s="49"/>
      <c r="G37" s="89">
        <f t="shared" si="0"/>
        <v>0</v>
      </c>
      <c r="H37" s="35">
        <f t="shared" si="1"/>
        <v>0</v>
      </c>
      <c r="I37" s="39">
        <v>12</v>
      </c>
      <c r="K37" s="103">
        <v>100</v>
      </c>
      <c r="L37" s="89">
        <f t="shared" si="2"/>
        <v>7</v>
      </c>
      <c r="M37" s="35">
        <f t="shared" si="20"/>
        <v>700</v>
      </c>
      <c r="N37" s="35">
        <f t="shared" si="21"/>
        <v>700</v>
      </c>
      <c r="O37" s="97"/>
      <c r="P37" s="150"/>
      <c r="W37" s="11">
        <v>0</v>
      </c>
      <c r="X37" s="1">
        <v>9</v>
      </c>
      <c r="Y37" s="35">
        <f t="shared" si="3"/>
        <v>900</v>
      </c>
      <c r="Z37" s="35">
        <f t="shared" si="22"/>
        <v>0</v>
      </c>
      <c r="AA37" s="15">
        <f t="shared" si="80"/>
        <v>1.2179048823401597</v>
      </c>
      <c r="AB37" s="43">
        <f t="shared" si="81"/>
        <v>542.62694880366325</v>
      </c>
      <c r="AC37" s="43">
        <f t="shared" si="82"/>
        <v>445.54131991081715</v>
      </c>
      <c r="AD37" s="33"/>
      <c r="AH37" s="31"/>
      <c r="AO37" s="1">
        <v>5</v>
      </c>
      <c r="AP37" s="35">
        <f t="shared" si="4"/>
        <v>500</v>
      </c>
      <c r="AQ37" s="35">
        <f t="shared" si="23"/>
        <v>0</v>
      </c>
      <c r="AR37" s="15">
        <f t="shared" si="83"/>
        <v>0.96671331664747984</v>
      </c>
      <c r="AS37" s="28">
        <f t="shared" si="37"/>
        <v>416.40411376953125</v>
      </c>
      <c r="AT37" s="28">
        <f t="shared" si="38"/>
        <v>430.74208930275501</v>
      </c>
      <c r="AU37" s="33"/>
      <c r="AY37" s="31"/>
      <c r="BF37" s="1">
        <v>2</v>
      </c>
      <c r="BG37" s="35">
        <f t="shared" si="5"/>
        <v>200</v>
      </c>
      <c r="BH37" s="35">
        <f t="shared" si="24"/>
        <v>0</v>
      </c>
      <c r="BI37" s="15">
        <f t="shared" si="39"/>
        <v>0.65661969079425297</v>
      </c>
      <c r="BJ37" s="28">
        <f t="shared" si="40"/>
        <v>157.9442869109613</v>
      </c>
      <c r="BK37" s="28">
        <f t="shared" si="41"/>
        <v>240.54150237241666</v>
      </c>
      <c r="BL37" s="33"/>
      <c r="BP37" s="31"/>
      <c r="BW37" s="1">
        <v>9</v>
      </c>
      <c r="BX37" s="35">
        <f t="shared" si="6"/>
        <v>900</v>
      </c>
      <c r="BY37" s="35">
        <f t="shared" si="25"/>
        <v>0</v>
      </c>
      <c r="BZ37" s="15">
        <f t="shared" si="42"/>
        <v>1.2431834695112935</v>
      </c>
      <c r="CA37" s="28">
        <f t="shared" si="43"/>
        <v>521.14046793835644</v>
      </c>
      <c r="CB37" s="28">
        <f t="shared" si="44"/>
        <v>419.19835705603566</v>
      </c>
      <c r="CC37" s="33"/>
      <c r="CG37" s="31"/>
      <c r="CN37" s="1">
        <v>6</v>
      </c>
      <c r="CO37" s="35">
        <f t="shared" si="7"/>
        <v>600</v>
      </c>
      <c r="CP37" s="35">
        <f t="shared" si="26"/>
        <v>0</v>
      </c>
      <c r="CQ37" s="15">
        <f t="shared" si="45"/>
        <v>1.1171623829269388</v>
      </c>
      <c r="CR37" s="28">
        <f t="shared" si="46"/>
        <v>416.76753074117062</v>
      </c>
      <c r="CS37" s="28">
        <f t="shared" si="47"/>
        <v>373.05904415546968</v>
      </c>
      <c r="CT37" s="33"/>
      <c r="CX37" s="31"/>
      <c r="DE37" s="1">
        <v>8</v>
      </c>
      <c r="DF37" s="35">
        <f t="shared" si="8"/>
        <v>800</v>
      </c>
      <c r="DG37" s="35">
        <f t="shared" si="27"/>
        <v>0</v>
      </c>
      <c r="DH37" s="15">
        <f t="shared" si="48"/>
        <v>1.1968039423742343</v>
      </c>
      <c r="DI37" s="28">
        <f t="shared" si="49"/>
        <v>449.58275489518985</v>
      </c>
      <c r="DJ37" s="28">
        <f t="shared" si="50"/>
        <v>375.65280241582599</v>
      </c>
      <c r="DK37" s="33"/>
      <c r="DO37" s="31"/>
      <c r="DV37" s="1">
        <v>7</v>
      </c>
      <c r="DW37" s="35">
        <f t="shared" si="9"/>
        <v>700</v>
      </c>
      <c r="DX37" s="35">
        <f t="shared" si="28"/>
        <v>0</v>
      </c>
      <c r="DY37" s="15">
        <f t="shared" si="51"/>
        <v>1.175958219668038</v>
      </c>
      <c r="DZ37" s="28">
        <f t="shared" si="52"/>
        <v>447.27982480321646</v>
      </c>
      <c r="EA37" s="28">
        <f t="shared" si="53"/>
        <v>380.35350008393954</v>
      </c>
      <c r="EB37" s="33"/>
      <c r="EF37" s="31"/>
      <c r="EM37" s="1">
        <v>8</v>
      </c>
      <c r="EN37" s="35">
        <f t="shared" si="10"/>
        <v>800</v>
      </c>
      <c r="EO37" s="35">
        <f t="shared" si="29"/>
        <v>0</v>
      </c>
      <c r="EP37" s="15">
        <f t="shared" si="85"/>
        <v>1.1336363636363638</v>
      </c>
      <c r="EQ37" s="28">
        <f t="shared" si="54"/>
        <v>537.5</v>
      </c>
      <c r="ER37" s="28">
        <f t="shared" si="55"/>
        <v>474.13793103448273</v>
      </c>
      <c r="ES37" s="33"/>
      <c r="EW37" s="31"/>
      <c r="FD37" s="1">
        <v>9</v>
      </c>
      <c r="FE37" s="35">
        <f t="shared" si="11"/>
        <v>900</v>
      </c>
      <c r="FF37" s="35">
        <f t="shared" si="30"/>
        <v>0</v>
      </c>
      <c r="FG37" s="15">
        <f t="shared" si="56"/>
        <v>1.2067001792903265</v>
      </c>
      <c r="FH37" s="28">
        <f t="shared" si="57"/>
        <v>514.24956246918612</v>
      </c>
      <c r="FI37" s="28">
        <f t="shared" si="58"/>
        <v>426.16183480773316</v>
      </c>
      <c r="FJ37" s="33"/>
      <c r="FN37" s="31"/>
      <c r="FV37" s="35">
        <f t="shared" si="12"/>
        <v>0</v>
      </c>
      <c r="FW37" s="35">
        <f t="shared" si="31"/>
        <v>0</v>
      </c>
      <c r="FX37" s="52"/>
      <c r="FY37" s="28">
        <f t="shared" si="59"/>
        <v>0</v>
      </c>
      <c r="FZ37" s="28">
        <f t="shared" si="60"/>
        <v>0</v>
      </c>
      <c r="GA37" s="33"/>
      <c r="GE37" s="31"/>
      <c r="GL37" s="1">
        <v>7</v>
      </c>
      <c r="GM37" s="35">
        <f t="shared" si="13"/>
        <v>700</v>
      </c>
      <c r="GN37" s="35">
        <f t="shared" si="32"/>
        <v>0</v>
      </c>
      <c r="GO37" s="15">
        <f t="shared" si="77"/>
        <v>0.76208536638007418</v>
      </c>
      <c r="GP37" s="28">
        <f t="shared" si="61"/>
        <v>512.91995802521706</v>
      </c>
      <c r="GQ37" s="28">
        <f t="shared" si="62"/>
        <v>673.0479033623235</v>
      </c>
      <c r="GR37" s="33"/>
      <c r="GV37" s="31"/>
      <c r="HC37" s="1">
        <v>3</v>
      </c>
      <c r="HD37" s="35">
        <f t="shared" si="14"/>
        <v>300</v>
      </c>
      <c r="HE37" s="35">
        <f t="shared" si="33"/>
        <v>0</v>
      </c>
      <c r="HF37" s="15">
        <f t="shared" si="63"/>
        <v>1.0251354725732711</v>
      </c>
      <c r="HG37" s="28">
        <f t="shared" si="64"/>
        <v>361.51557942175407</v>
      </c>
      <c r="HH37" s="28">
        <f t="shared" si="65"/>
        <v>352.65151689101742</v>
      </c>
      <c r="HI37" s="33"/>
      <c r="HM37" s="31"/>
      <c r="HU37" s="35">
        <f t="shared" si="15"/>
        <v>0</v>
      </c>
      <c r="HV37" s="35">
        <f t="shared" si="34"/>
        <v>0</v>
      </c>
      <c r="HW37" s="15">
        <f t="shared" si="66"/>
        <v>0.77436653181145354</v>
      </c>
      <c r="HX37" s="28">
        <f t="shared" si="67"/>
        <v>202.09861772703616</v>
      </c>
      <c r="HY37" s="28">
        <f t="shared" si="68"/>
        <v>260.98573404802585</v>
      </c>
      <c r="HZ37" s="33"/>
      <c r="ID37" s="31"/>
      <c r="II37" s="12"/>
      <c r="IL37" s="35">
        <f t="shared" si="16"/>
        <v>0</v>
      </c>
      <c r="IM37" s="35">
        <f t="shared" si="17"/>
        <v>5084.2832074421376</v>
      </c>
      <c r="IN37" s="15">
        <f t="shared" si="69"/>
        <v>0.13986378836948227</v>
      </c>
      <c r="IO37" s="28">
        <f t="shared" si="70"/>
        <v>19.946148700666399</v>
      </c>
      <c r="IP37" s="28">
        <f t="shared" si="71"/>
        <v>142.61124293283171</v>
      </c>
      <c r="IQ37" s="33"/>
      <c r="IU37" s="31"/>
      <c r="JC37" s="35">
        <f t="shared" si="18"/>
        <v>0</v>
      </c>
      <c r="JD37" s="35">
        <f t="shared" si="19"/>
        <v>4135.7168308908113</v>
      </c>
      <c r="JE37" s="15" t="e">
        <f t="shared" si="72"/>
        <v>#DIV/0!</v>
      </c>
      <c r="JF37" s="28">
        <f t="shared" si="73"/>
        <v>0</v>
      </c>
      <c r="JG37" s="28">
        <f t="shared" si="74"/>
        <v>0</v>
      </c>
      <c r="JH37" s="33"/>
      <c r="JL37" s="31"/>
      <c r="JR37" s="99"/>
      <c r="JS37" s="99"/>
      <c r="JT37" s="99"/>
      <c r="JU37" s="99"/>
      <c r="JV37" s="99"/>
      <c r="JW37" s="99"/>
      <c r="JX37" s="99"/>
      <c r="JY37" s="99"/>
      <c r="JZ37" s="99"/>
      <c r="KA37" s="99"/>
      <c r="KB37" s="99"/>
      <c r="KC37" s="99"/>
      <c r="KD37" s="99"/>
      <c r="KE37" s="99"/>
      <c r="KF37" s="99"/>
      <c r="KG37" s="99"/>
      <c r="KH37" s="99"/>
      <c r="KI37" s="99"/>
      <c r="KJ37" s="99"/>
      <c r="KK37" s="99"/>
      <c r="KL37" s="99"/>
      <c r="KM37" s="99"/>
      <c r="KN37" s="99"/>
      <c r="KO37" s="99"/>
      <c r="KP37" s="99"/>
      <c r="KQ37" s="99"/>
      <c r="KR37" s="99"/>
      <c r="KS37" s="99"/>
      <c r="KT37" s="99"/>
      <c r="KU37" s="99"/>
      <c r="KV37" s="99"/>
      <c r="KW37" s="99"/>
      <c r="KX37" s="99"/>
      <c r="KY37" s="99"/>
      <c r="KZ37" s="99"/>
      <c r="LA37" s="99"/>
      <c r="LB37" s="99"/>
      <c r="LC37" s="99"/>
      <c r="LD37" s="99"/>
      <c r="LE37" s="99"/>
      <c r="LF37" s="99"/>
      <c r="LG37" s="99"/>
      <c r="LH37" s="99"/>
      <c r="LI37" s="99"/>
      <c r="LJ37" s="99"/>
      <c r="LK37" s="99"/>
      <c r="LL37" s="99"/>
      <c r="LM37" s="99"/>
      <c r="LN37" s="99"/>
      <c r="LO37" s="99"/>
      <c r="LP37" s="99"/>
      <c r="LQ37" s="99"/>
      <c r="LR37" s="99"/>
      <c r="LS37" s="99"/>
      <c r="LT37" s="99"/>
      <c r="LU37" s="99"/>
      <c r="LV37" s="99"/>
      <c r="LW37" s="99"/>
      <c r="LX37" s="99"/>
      <c r="LY37" s="99"/>
      <c r="LZ37" s="99"/>
      <c r="MA37" s="99"/>
      <c r="MB37" s="99"/>
      <c r="MC37" s="99"/>
      <c r="MD37" s="99"/>
      <c r="ME37" s="99"/>
      <c r="MF37" s="99"/>
    </row>
    <row r="38" spans="1:344" ht="17.25" customHeight="1" x14ac:dyDescent="0.25">
      <c r="A38" s="157"/>
      <c r="B38" s="92" t="s">
        <v>7</v>
      </c>
      <c r="C38" s="93">
        <v>45172</v>
      </c>
      <c r="D38" s="51"/>
      <c r="E38" s="48"/>
      <c r="F38" s="104"/>
      <c r="G38" s="37">
        <f t="shared" si="0"/>
        <v>0</v>
      </c>
      <c r="H38" s="26">
        <f t="shared" si="1"/>
        <v>0</v>
      </c>
      <c r="I38" s="48">
        <v>11</v>
      </c>
      <c r="J38" s="48"/>
      <c r="K38" s="104">
        <v>100</v>
      </c>
      <c r="L38" s="37">
        <f t="shared" si="2"/>
        <v>7.5</v>
      </c>
      <c r="M38" s="26">
        <f t="shared" si="20"/>
        <v>750</v>
      </c>
      <c r="N38" s="26">
        <f t="shared" si="21"/>
        <v>750</v>
      </c>
      <c r="O38" s="98"/>
      <c r="P38" s="151"/>
      <c r="Q38" s="125"/>
      <c r="R38" s="115"/>
      <c r="S38" s="130"/>
      <c r="T38" s="110"/>
      <c r="U38" s="120"/>
      <c r="V38" s="23"/>
      <c r="W38" s="13">
        <v>0</v>
      </c>
      <c r="X38" s="85"/>
      <c r="Y38" s="26">
        <f t="shared" si="3"/>
        <v>0</v>
      </c>
      <c r="Z38" s="26">
        <f t="shared" si="22"/>
        <v>0</v>
      </c>
      <c r="AA38" s="16">
        <f t="shared" si="80"/>
        <v>0.9810900441073509</v>
      </c>
      <c r="AB38" s="44">
        <f t="shared" si="81"/>
        <v>406.97021160274744</v>
      </c>
      <c r="AC38" s="44">
        <f t="shared" si="82"/>
        <v>414.81433233076081</v>
      </c>
      <c r="AD38" s="34"/>
      <c r="AE38" s="4"/>
      <c r="AF38" s="5"/>
      <c r="AG38" s="6"/>
      <c r="AH38" s="32"/>
      <c r="AI38" s="3"/>
      <c r="AJ38" s="4"/>
      <c r="AK38" s="5"/>
      <c r="AL38" s="6"/>
      <c r="AM38" s="14"/>
      <c r="AN38" s="13"/>
      <c r="AO38" s="2">
        <v>8</v>
      </c>
      <c r="AP38" s="26">
        <f t="shared" si="4"/>
        <v>800</v>
      </c>
      <c r="AQ38" s="26">
        <f t="shared" si="23"/>
        <v>0</v>
      </c>
      <c r="AR38" s="16">
        <f t="shared" si="83"/>
        <v>1.1229590768124362</v>
      </c>
      <c r="AS38" s="29">
        <f t="shared" si="37"/>
        <v>512.30308532714844</v>
      </c>
      <c r="AT38" s="29">
        <f t="shared" si="38"/>
        <v>456.20815210946154</v>
      </c>
      <c r="AU38" s="34"/>
      <c r="AV38" s="4"/>
      <c r="AW38" s="5"/>
      <c r="AX38" s="6"/>
      <c r="AY38" s="32"/>
      <c r="AZ38" s="3"/>
      <c r="BA38" s="4"/>
      <c r="BB38" s="5"/>
      <c r="BC38" s="6"/>
      <c r="BD38" s="14"/>
      <c r="BE38" s="13"/>
      <c r="BF38" s="2">
        <v>3.5</v>
      </c>
      <c r="BG38" s="26">
        <f t="shared" si="5"/>
        <v>350</v>
      </c>
      <c r="BH38" s="26">
        <f t="shared" si="24"/>
        <v>0</v>
      </c>
      <c r="BI38" s="16">
        <f t="shared" si="39"/>
        <v>0.83017418182604541</v>
      </c>
      <c r="BJ38" s="29">
        <f t="shared" si="40"/>
        <v>205.95821518322097</v>
      </c>
      <c r="BK38" s="29">
        <f t="shared" si="41"/>
        <v>248.09036427776724</v>
      </c>
      <c r="BL38" s="34"/>
      <c r="BM38" s="4"/>
      <c r="BN38" s="5"/>
      <c r="BO38" s="6"/>
      <c r="BP38" s="32"/>
      <c r="BQ38" s="3"/>
      <c r="BR38" s="4"/>
      <c r="BS38" s="5"/>
      <c r="BT38" s="6"/>
      <c r="BU38" s="14"/>
      <c r="BV38" s="13"/>
      <c r="BW38" s="2">
        <v>10</v>
      </c>
      <c r="BX38" s="26">
        <f t="shared" si="6"/>
        <v>1000</v>
      </c>
      <c r="BY38" s="26">
        <f t="shared" si="25"/>
        <v>0</v>
      </c>
      <c r="BZ38" s="16">
        <f t="shared" si="42"/>
        <v>1.3954279101187488</v>
      </c>
      <c r="CA38" s="29">
        <f t="shared" si="43"/>
        <v>640.85535095376736</v>
      </c>
      <c r="CB38" s="29">
        <f t="shared" si="44"/>
        <v>459.25364277630905</v>
      </c>
      <c r="CC38" s="34"/>
      <c r="CD38" s="4"/>
      <c r="CE38" s="5"/>
      <c r="CF38" s="6"/>
      <c r="CG38" s="32"/>
      <c r="CH38" s="3"/>
      <c r="CI38" s="4"/>
      <c r="CJ38" s="5"/>
      <c r="CK38" s="6"/>
      <c r="CL38" s="14"/>
      <c r="CM38" s="13"/>
      <c r="CN38" s="2">
        <v>6</v>
      </c>
      <c r="CO38" s="26">
        <f t="shared" si="7"/>
        <v>600</v>
      </c>
      <c r="CP38" s="26">
        <f t="shared" si="26"/>
        <v>0</v>
      </c>
      <c r="CQ38" s="16">
        <f t="shared" si="45"/>
        <v>1.1900272080144101</v>
      </c>
      <c r="CR38" s="29">
        <f t="shared" si="46"/>
        <v>462.57564805587799</v>
      </c>
      <c r="CS38" s="29">
        <f t="shared" si="47"/>
        <v>388.71014455854072</v>
      </c>
      <c r="CT38" s="34"/>
      <c r="CU38" s="4"/>
      <c r="CV38" s="5"/>
      <c r="CW38" s="6"/>
      <c r="CX38" s="32"/>
      <c r="CY38" s="3"/>
      <c r="CZ38" s="4"/>
      <c r="DA38" s="5"/>
      <c r="DB38" s="6"/>
      <c r="DC38" s="14"/>
      <c r="DD38" s="13"/>
      <c r="DE38" s="2">
        <v>8</v>
      </c>
      <c r="DF38" s="26">
        <f t="shared" si="8"/>
        <v>800</v>
      </c>
      <c r="DG38" s="26">
        <f t="shared" si="27"/>
        <v>0</v>
      </c>
      <c r="DH38" s="16">
        <f t="shared" si="48"/>
        <v>1.3266560105975096</v>
      </c>
      <c r="DI38" s="29">
        <f t="shared" si="49"/>
        <v>537.18706617139242</v>
      </c>
      <c r="DJ38" s="29">
        <f t="shared" si="50"/>
        <v>404.91812638714833</v>
      </c>
      <c r="DK38" s="34"/>
      <c r="DL38" s="4"/>
      <c r="DM38" s="5"/>
      <c r="DN38" s="6"/>
      <c r="DO38" s="32"/>
      <c r="DP38" s="3"/>
      <c r="DQ38" s="4"/>
      <c r="DR38" s="5"/>
      <c r="DS38" s="6"/>
      <c r="DT38" s="14"/>
      <c r="DU38" s="13"/>
      <c r="DV38" s="2">
        <v>7</v>
      </c>
      <c r="DW38" s="26">
        <f t="shared" si="9"/>
        <v>700</v>
      </c>
      <c r="DX38" s="26">
        <f t="shared" si="28"/>
        <v>0</v>
      </c>
      <c r="DY38" s="16">
        <f t="shared" si="51"/>
        <v>1.268544473744881</v>
      </c>
      <c r="DZ38" s="29">
        <f t="shared" si="52"/>
        <v>510.45986860241237</v>
      </c>
      <c r="EA38" s="29">
        <f t="shared" si="53"/>
        <v>402.39808628504716</v>
      </c>
      <c r="EB38" s="34"/>
      <c r="EC38" s="4"/>
      <c r="ED38" s="5"/>
      <c r="EE38" s="6"/>
      <c r="EF38" s="32"/>
      <c r="EG38" s="3"/>
      <c r="EH38" s="4"/>
      <c r="EI38" s="5"/>
      <c r="EJ38" s="6"/>
      <c r="EK38" s="14"/>
      <c r="EL38" s="13"/>
      <c r="EM38" s="2">
        <v>10</v>
      </c>
      <c r="EN38" s="26">
        <f t="shared" si="10"/>
        <v>1000</v>
      </c>
      <c r="EO38" s="26">
        <f t="shared" si="29"/>
        <v>0</v>
      </c>
      <c r="EP38" s="16">
        <f t="shared" si="85"/>
        <v>1.2796228887594643</v>
      </c>
      <c r="EQ38" s="29">
        <f t="shared" si="54"/>
        <v>653.125</v>
      </c>
      <c r="ER38" s="29">
        <f t="shared" si="55"/>
        <v>510.40428061831147</v>
      </c>
      <c r="ES38" s="34"/>
      <c r="ET38" s="4"/>
      <c r="EU38" s="5"/>
      <c r="EV38" s="6"/>
      <c r="EW38" s="32"/>
      <c r="EX38" s="3"/>
      <c r="EY38" s="4"/>
      <c r="EZ38" s="5"/>
      <c r="FA38" s="6"/>
      <c r="FB38" s="14"/>
      <c r="FC38" s="13"/>
      <c r="FD38" s="2">
        <v>6</v>
      </c>
      <c r="FE38" s="26">
        <f t="shared" si="11"/>
        <v>600</v>
      </c>
      <c r="FF38" s="26">
        <f t="shared" si="30"/>
        <v>0</v>
      </c>
      <c r="FG38" s="16">
        <f t="shared" si="56"/>
        <v>1.2226094900698572</v>
      </c>
      <c r="FH38" s="29">
        <f t="shared" si="57"/>
        <v>535.68717185188962</v>
      </c>
      <c r="FI38" s="29">
        <f t="shared" si="58"/>
        <v>438.1506737865102</v>
      </c>
      <c r="FJ38" s="34"/>
      <c r="FK38" s="4"/>
      <c r="FL38" s="5"/>
      <c r="FM38" s="6"/>
      <c r="FN38" s="32"/>
      <c r="FO38" s="3"/>
      <c r="FP38" s="4"/>
      <c r="FQ38" s="5"/>
      <c r="FR38" s="6"/>
      <c r="FS38" s="14"/>
      <c r="FT38" s="13"/>
      <c r="FU38" s="2"/>
      <c r="FV38" s="26">
        <f t="shared" si="12"/>
        <v>0</v>
      </c>
      <c r="FW38" s="26">
        <f t="shared" si="31"/>
        <v>0</v>
      </c>
      <c r="FX38" s="53"/>
      <c r="FY38" s="29">
        <f t="shared" si="59"/>
        <v>0</v>
      </c>
      <c r="FZ38" s="29">
        <f t="shared" si="60"/>
        <v>0</v>
      </c>
      <c r="GA38" s="34"/>
      <c r="GB38" s="4"/>
      <c r="GC38" s="5"/>
      <c r="GD38" s="6"/>
      <c r="GE38" s="32"/>
      <c r="GF38" s="3"/>
      <c r="GG38" s="4"/>
      <c r="GH38" s="5"/>
      <c r="GI38" s="6"/>
      <c r="GJ38" s="14"/>
      <c r="GK38" s="13"/>
      <c r="GL38" s="2">
        <v>9</v>
      </c>
      <c r="GM38" s="26">
        <f t="shared" si="13"/>
        <v>900</v>
      </c>
      <c r="GN38" s="26">
        <f t="shared" si="32"/>
        <v>0</v>
      </c>
      <c r="GO38" s="16">
        <f t="shared" si="77"/>
        <v>0.88527685534643219</v>
      </c>
      <c r="GP38" s="29">
        <f t="shared" si="61"/>
        <v>609.68996851891279</v>
      </c>
      <c r="GQ38" s="29">
        <f t="shared" si="62"/>
        <v>688.6997720959564</v>
      </c>
      <c r="GR38" s="34"/>
      <c r="GS38" s="4"/>
      <c r="GT38" s="5"/>
      <c r="GU38" s="6"/>
      <c r="GV38" s="32"/>
      <c r="GW38" s="3"/>
      <c r="GX38" s="4"/>
      <c r="GY38" s="5"/>
      <c r="GZ38" s="6"/>
      <c r="HA38" s="14"/>
      <c r="HB38" s="13"/>
      <c r="HC38" s="2"/>
      <c r="HD38" s="26">
        <f t="shared" si="14"/>
        <v>0</v>
      </c>
      <c r="HE38" s="26">
        <f t="shared" si="33"/>
        <v>0</v>
      </c>
      <c r="HF38" s="16">
        <f t="shared" si="63"/>
        <v>0.82580357512846858</v>
      </c>
      <c r="HG38" s="29">
        <f t="shared" si="64"/>
        <v>271.13668456631558</v>
      </c>
      <c r="HH38" s="29">
        <f t="shared" si="65"/>
        <v>328.33072262267137</v>
      </c>
      <c r="HI38" s="34"/>
      <c r="HJ38" s="4"/>
      <c r="HK38" s="5"/>
      <c r="HL38" s="6"/>
      <c r="HM38" s="32"/>
      <c r="HN38" s="3"/>
      <c r="HO38" s="4"/>
      <c r="HP38" s="5"/>
      <c r="HQ38" s="6"/>
      <c r="HR38" s="14"/>
      <c r="HS38" s="13"/>
      <c r="HT38" s="2"/>
      <c r="HU38" s="26">
        <f t="shared" si="15"/>
        <v>0</v>
      </c>
      <c r="HV38" s="26">
        <f t="shared" si="34"/>
        <v>0</v>
      </c>
      <c r="HW38" s="16">
        <f t="shared" si="66"/>
        <v>0.62379526173700428</v>
      </c>
      <c r="HX38" s="29">
        <f t="shared" si="67"/>
        <v>151.57396329527711</v>
      </c>
      <c r="HY38" s="29">
        <f t="shared" si="68"/>
        <v>242.98671790678267</v>
      </c>
      <c r="HZ38" s="34"/>
      <c r="IA38" s="4"/>
      <c r="IB38" s="5"/>
      <c r="IC38" s="6"/>
      <c r="ID38" s="32"/>
      <c r="IE38" s="3"/>
      <c r="IF38" s="4"/>
      <c r="IG38" s="5"/>
      <c r="IH38" s="6"/>
      <c r="II38" s="14"/>
      <c r="IJ38" s="13"/>
      <c r="IK38" s="2"/>
      <c r="IL38" s="26">
        <f t="shared" si="16"/>
        <v>0</v>
      </c>
      <c r="IM38" s="26">
        <f t="shared" si="17"/>
        <v>5863.8759014269708</v>
      </c>
      <c r="IN38" s="16">
        <f t="shared" si="69"/>
        <v>0.11266805174208294</v>
      </c>
      <c r="IO38" s="29">
        <f t="shared" si="70"/>
        <v>14.959611525499799</v>
      </c>
      <c r="IP38" s="29">
        <f t="shared" si="71"/>
        <v>132.77598479953298</v>
      </c>
      <c r="IQ38" s="34"/>
      <c r="IR38" s="4"/>
      <c r="IS38" s="5"/>
      <c r="IT38" s="6"/>
      <c r="IU38" s="32"/>
      <c r="IV38" s="3"/>
      <c r="IW38" s="4"/>
      <c r="IX38" s="5"/>
      <c r="IY38" s="6"/>
      <c r="IZ38" s="14"/>
      <c r="JA38" s="13"/>
      <c r="JB38" s="2"/>
      <c r="JC38" s="26">
        <f t="shared" si="18"/>
        <v>0</v>
      </c>
      <c r="JD38" s="26">
        <f t="shared" si="19"/>
        <v>4397.4233966402589</v>
      </c>
      <c r="JE38" s="16" t="e">
        <f t="shared" si="72"/>
        <v>#DIV/0!</v>
      </c>
      <c r="JF38" s="29">
        <f t="shared" si="73"/>
        <v>0</v>
      </c>
      <c r="JG38" s="29">
        <f t="shared" si="74"/>
        <v>0</v>
      </c>
      <c r="JH38" s="34"/>
      <c r="JI38" s="4"/>
      <c r="JJ38" s="5"/>
      <c r="JK38" s="6"/>
      <c r="JL38" s="32"/>
      <c r="JM38" s="3"/>
      <c r="JN38" s="4"/>
      <c r="JO38" s="5"/>
      <c r="JP38" s="6"/>
      <c r="JQ38" s="14"/>
      <c r="JR38" s="99"/>
      <c r="JS38" s="99"/>
      <c r="JT38" s="99"/>
      <c r="JU38" s="99"/>
      <c r="JV38" s="99"/>
      <c r="JW38" s="99"/>
      <c r="JX38" s="99"/>
      <c r="JY38" s="99"/>
      <c r="JZ38" s="99"/>
      <c r="KA38" s="99"/>
      <c r="KB38" s="99"/>
      <c r="KC38" s="99"/>
      <c r="KD38" s="99"/>
      <c r="KE38" s="99"/>
      <c r="KF38" s="99"/>
      <c r="KG38" s="99"/>
      <c r="KH38" s="99"/>
      <c r="KI38" s="99"/>
      <c r="KJ38" s="99"/>
      <c r="KK38" s="99"/>
      <c r="KL38" s="99"/>
      <c r="KM38" s="99"/>
      <c r="KN38" s="99"/>
      <c r="KO38" s="99"/>
      <c r="KP38" s="99"/>
      <c r="KQ38" s="99"/>
      <c r="KR38" s="99"/>
      <c r="KS38" s="99"/>
      <c r="KT38" s="99"/>
      <c r="KU38" s="99"/>
      <c r="KV38" s="99"/>
      <c r="KW38" s="99"/>
      <c r="KX38" s="99"/>
      <c r="KY38" s="99"/>
      <c r="KZ38" s="99"/>
      <c r="LA38" s="99"/>
      <c r="LB38" s="99"/>
      <c r="LC38" s="99"/>
      <c r="LD38" s="99"/>
      <c r="LE38" s="99"/>
      <c r="LF38" s="99"/>
      <c r="LG38" s="99"/>
      <c r="LH38" s="99"/>
      <c r="LI38" s="99"/>
      <c r="LJ38" s="99"/>
      <c r="LK38" s="99"/>
      <c r="LL38" s="99"/>
      <c r="LM38" s="99"/>
      <c r="LN38" s="99"/>
      <c r="LO38" s="99"/>
      <c r="LP38" s="99"/>
      <c r="LQ38" s="99"/>
      <c r="LR38" s="99"/>
      <c r="LS38" s="99"/>
      <c r="LT38" s="99"/>
      <c r="LU38" s="99"/>
      <c r="LV38" s="99"/>
      <c r="LW38" s="99"/>
      <c r="LX38" s="99"/>
      <c r="LY38" s="99"/>
      <c r="LZ38" s="99"/>
      <c r="MA38" s="99"/>
      <c r="MB38" s="99"/>
      <c r="MC38" s="99"/>
      <c r="MD38" s="99"/>
      <c r="ME38" s="99"/>
      <c r="MF38" s="99"/>
    </row>
    <row r="39" spans="1:344" ht="17.25" customHeight="1" x14ac:dyDescent="0.25">
      <c r="A39" s="155" t="s">
        <v>11</v>
      </c>
      <c r="B39" s="79" t="s">
        <v>1</v>
      </c>
      <c r="C39" s="80">
        <v>45173</v>
      </c>
      <c r="D39" s="50"/>
      <c r="G39" s="36">
        <f t="shared" si="0"/>
        <v>0</v>
      </c>
      <c r="H39" s="27">
        <f t="shared" si="1"/>
        <v>0</v>
      </c>
      <c r="I39" s="47"/>
      <c r="K39" s="105"/>
      <c r="L39" s="89">
        <f t="shared" si="2"/>
        <v>0</v>
      </c>
      <c r="M39" s="27">
        <f t="shared" si="20"/>
        <v>0</v>
      </c>
      <c r="N39" s="35">
        <f t="shared" si="21"/>
        <v>0</v>
      </c>
      <c r="O39" s="97"/>
      <c r="P39" s="149">
        <f t="shared" ref="P39" si="86">SUM(N39:N45)</f>
        <v>2953.3749242424242</v>
      </c>
      <c r="W39" s="86">
        <v>0</v>
      </c>
      <c r="X39" s="87">
        <v>0</v>
      </c>
      <c r="Y39" s="27">
        <f t="shared" si="3"/>
        <v>0</v>
      </c>
      <c r="Z39" s="27">
        <f t="shared" si="22"/>
        <v>0</v>
      </c>
      <c r="AA39" s="15">
        <f t="shared" si="80"/>
        <v>0.79032253553092158</v>
      </c>
      <c r="AB39" s="43">
        <f t="shared" si="81"/>
        <v>305.22765870206058</v>
      </c>
      <c r="AC39" s="43">
        <f t="shared" si="82"/>
        <v>386.20644734243245</v>
      </c>
      <c r="AD39" s="33"/>
      <c r="AH39" s="31"/>
      <c r="AP39" s="27">
        <f t="shared" si="4"/>
        <v>0</v>
      </c>
      <c r="AQ39" s="27">
        <f t="shared" si="23"/>
        <v>0</v>
      </c>
      <c r="AR39" s="15">
        <f t="shared" si="83"/>
        <v>0.90460592298779596</v>
      </c>
      <c r="AS39" s="28">
        <f t="shared" si="37"/>
        <v>384.22731399536133</v>
      </c>
      <c r="AT39" s="28">
        <f t="shared" si="38"/>
        <v>424.74552092949864</v>
      </c>
      <c r="AU39" s="33"/>
      <c r="AY39" s="31"/>
      <c r="BG39" s="27">
        <f t="shared" si="5"/>
        <v>0</v>
      </c>
      <c r="BH39" s="27">
        <f t="shared" si="24"/>
        <v>0</v>
      </c>
      <c r="BI39" s="15">
        <f t="shared" si="39"/>
        <v>0.66875142424875877</v>
      </c>
      <c r="BJ39" s="28">
        <f t="shared" si="40"/>
        <v>154.46866138741572</v>
      </c>
      <c r="BK39" s="28">
        <f t="shared" si="41"/>
        <v>230.98068398274879</v>
      </c>
      <c r="BL39" s="33"/>
      <c r="BP39" s="31"/>
      <c r="BX39" s="27">
        <f t="shared" si="6"/>
        <v>0</v>
      </c>
      <c r="BY39" s="27">
        <f t="shared" si="25"/>
        <v>0</v>
      </c>
      <c r="BZ39" s="15">
        <f t="shared" si="42"/>
        <v>1.1240947053734365</v>
      </c>
      <c r="CA39" s="28">
        <f t="shared" si="43"/>
        <v>480.64151321532552</v>
      </c>
      <c r="CB39" s="28">
        <f t="shared" si="44"/>
        <v>427.58097775725327</v>
      </c>
      <c r="CC39" s="33"/>
      <c r="CG39" s="31"/>
      <c r="CO39" s="27">
        <f t="shared" si="7"/>
        <v>0</v>
      </c>
      <c r="CP39" s="27">
        <f t="shared" si="26"/>
        <v>0</v>
      </c>
      <c r="CQ39" s="15">
        <f t="shared" si="45"/>
        <v>0.95863302867827493</v>
      </c>
      <c r="CR39" s="28">
        <f t="shared" si="46"/>
        <v>346.93173604190849</v>
      </c>
      <c r="CS39" s="28">
        <f t="shared" si="47"/>
        <v>361.90254838208961</v>
      </c>
      <c r="CT39" s="33"/>
      <c r="CX39" s="31"/>
      <c r="DF39" s="27">
        <f t="shared" si="8"/>
        <v>0</v>
      </c>
      <c r="DG39" s="27">
        <f t="shared" si="27"/>
        <v>0</v>
      </c>
      <c r="DH39" s="15">
        <f t="shared" si="48"/>
        <v>1.0686951196479939</v>
      </c>
      <c r="DI39" s="28">
        <f t="shared" si="49"/>
        <v>402.89029962854431</v>
      </c>
      <c r="DJ39" s="28">
        <f t="shared" si="50"/>
        <v>376.99273836044841</v>
      </c>
      <c r="DK39" s="33"/>
      <c r="DO39" s="31"/>
      <c r="DW39" s="27">
        <f t="shared" si="9"/>
        <v>0</v>
      </c>
      <c r="DX39" s="27">
        <f t="shared" si="28"/>
        <v>0</v>
      </c>
      <c r="DY39" s="15">
        <f t="shared" si="51"/>
        <v>1.0218830482944876</v>
      </c>
      <c r="DZ39" s="28">
        <f t="shared" si="52"/>
        <v>382.84490145180928</v>
      </c>
      <c r="EA39" s="28">
        <f t="shared" si="53"/>
        <v>374.64649412745769</v>
      </c>
      <c r="EB39" s="33"/>
      <c r="EF39" s="31"/>
      <c r="EN39" s="27">
        <f t="shared" si="10"/>
        <v>0</v>
      </c>
      <c r="EO39" s="27">
        <f t="shared" si="29"/>
        <v>0</v>
      </c>
      <c r="EP39" s="15">
        <f t="shared" si="85"/>
        <v>1.0308073270562352</v>
      </c>
      <c r="EQ39" s="28">
        <f t="shared" si="54"/>
        <v>489.84375</v>
      </c>
      <c r="ER39" s="28">
        <f t="shared" si="55"/>
        <v>475.2039854032555</v>
      </c>
      <c r="ES39" s="33"/>
      <c r="EW39" s="31"/>
      <c r="FE39" s="27">
        <f t="shared" si="11"/>
        <v>0</v>
      </c>
      <c r="FF39" s="27">
        <f t="shared" si="30"/>
        <v>0</v>
      </c>
      <c r="FG39" s="15">
        <f t="shared" si="56"/>
        <v>0.98487986700071828</v>
      </c>
      <c r="FH39" s="28">
        <f t="shared" si="57"/>
        <v>401.76537888891721</v>
      </c>
      <c r="FI39" s="28">
        <f t="shared" si="58"/>
        <v>407.93338593916468</v>
      </c>
      <c r="FJ39" s="33"/>
      <c r="FN39" s="31"/>
      <c r="FV39" s="27">
        <f t="shared" si="12"/>
        <v>0</v>
      </c>
      <c r="FW39" s="27">
        <f t="shared" si="31"/>
        <v>0</v>
      </c>
      <c r="FX39" s="15" t="e">
        <f t="shared" ref="FX39:FX76" si="87">FY39/FZ39</f>
        <v>#DIV/0!</v>
      </c>
      <c r="FY39" s="28">
        <f t="shared" si="59"/>
        <v>0</v>
      </c>
      <c r="FZ39" s="28">
        <f t="shared" si="60"/>
        <v>0</v>
      </c>
      <c r="GA39" s="33"/>
      <c r="GE39" s="31"/>
      <c r="GM39" s="27">
        <f t="shared" si="13"/>
        <v>0</v>
      </c>
      <c r="GN39" s="27">
        <f t="shared" si="32"/>
        <v>0</v>
      </c>
      <c r="GO39" s="15">
        <f t="shared" si="77"/>
        <v>0.71313968902907032</v>
      </c>
      <c r="GP39" s="28">
        <f t="shared" si="61"/>
        <v>457.26747638918459</v>
      </c>
      <c r="GQ39" s="28">
        <f t="shared" si="62"/>
        <v>641.2032360893387</v>
      </c>
      <c r="GR39" s="33"/>
      <c r="GV39" s="31"/>
      <c r="HD39" s="27">
        <f t="shared" si="14"/>
        <v>0</v>
      </c>
      <c r="HE39" s="27">
        <f t="shared" si="33"/>
        <v>0</v>
      </c>
      <c r="HF39" s="15">
        <f t="shared" si="63"/>
        <v>0.66523065774237755</v>
      </c>
      <c r="HG39" s="28">
        <f t="shared" si="64"/>
        <v>203.35251342473669</v>
      </c>
      <c r="HH39" s="28">
        <f t="shared" si="65"/>
        <v>305.68722451076297</v>
      </c>
      <c r="HI39" s="33"/>
      <c r="HM39" s="31"/>
      <c r="HU39" s="27">
        <f t="shared" si="15"/>
        <v>0</v>
      </c>
      <c r="HV39" s="27">
        <f t="shared" si="34"/>
        <v>0</v>
      </c>
      <c r="HW39" s="15">
        <f t="shared" si="66"/>
        <v>0.50250173862147562</v>
      </c>
      <c r="HX39" s="28">
        <f t="shared" si="67"/>
        <v>113.68047247145783</v>
      </c>
      <c r="HY39" s="28">
        <f t="shared" si="68"/>
        <v>226.22901322355628</v>
      </c>
      <c r="HZ39" s="33"/>
      <c r="ID39" s="31"/>
      <c r="II39" s="12"/>
      <c r="IL39" s="27">
        <f t="shared" si="16"/>
        <v>0</v>
      </c>
      <c r="IM39" s="27">
        <f t="shared" si="17"/>
        <v>4063.8432257636887</v>
      </c>
      <c r="IN39" s="15">
        <f t="shared" si="69"/>
        <v>9.0760375014455705E-2</v>
      </c>
      <c r="IO39" s="28">
        <f t="shared" si="70"/>
        <v>11.21970864412485</v>
      </c>
      <c r="IP39" s="28">
        <f t="shared" si="71"/>
        <v>123.61902033059967</v>
      </c>
      <c r="IQ39" s="33"/>
      <c r="IU39" s="31"/>
      <c r="JC39" s="27">
        <f t="shared" si="18"/>
        <v>0</v>
      </c>
      <c r="JD39" s="27">
        <f t="shared" si="19"/>
        <v>3200.115585164117</v>
      </c>
      <c r="JE39" s="15" t="e">
        <f t="shared" si="72"/>
        <v>#DIV/0!</v>
      </c>
      <c r="JF39" s="28">
        <f t="shared" si="73"/>
        <v>0</v>
      </c>
      <c r="JG39" s="28">
        <f t="shared" si="74"/>
        <v>0</v>
      </c>
      <c r="JH39" s="33"/>
      <c r="JL39" s="31"/>
      <c r="JR39" s="99"/>
      <c r="JS39" s="99"/>
      <c r="JT39" s="99"/>
      <c r="JU39" s="99"/>
      <c r="JV39" s="99"/>
      <c r="JW39" s="99"/>
      <c r="JX39" s="99"/>
      <c r="JY39" s="99"/>
      <c r="JZ39" s="99"/>
      <c r="KA39" s="99"/>
      <c r="KB39" s="99"/>
      <c r="KC39" s="99"/>
      <c r="KD39" s="99"/>
      <c r="KE39" s="99"/>
      <c r="KF39" s="99"/>
      <c r="KG39" s="99"/>
      <c r="KH39" s="99"/>
      <c r="KI39" s="99"/>
      <c r="KJ39" s="99"/>
      <c r="KK39" s="99"/>
      <c r="KL39" s="99"/>
      <c r="KM39" s="99"/>
      <c r="KN39" s="99"/>
      <c r="KO39" s="99"/>
      <c r="KP39" s="99"/>
      <c r="KQ39" s="99"/>
      <c r="KR39" s="99"/>
      <c r="KS39" s="99"/>
      <c r="KT39" s="99"/>
      <c r="KU39" s="99"/>
      <c r="KV39" s="99"/>
      <c r="KW39" s="99"/>
      <c r="KX39" s="99"/>
      <c r="KY39" s="99"/>
      <c r="KZ39" s="99"/>
      <c r="LA39" s="99"/>
      <c r="LB39" s="99"/>
      <c r="LC39" s="99"/>
      <c r="LD39" s="99"/>
      <c r="LE39" s="99"/>
      <c r="LF39" s="99"/>
      <c r="LG39" s="99"/>
      <c r="LH39" s="99"/>
      <c r="LI39" s="99"/>
      <c r="LJ39" s="99"/>
      <c r="LK39" s="99"/>
      <c r="LL39" s="99"/>
      <c r="LM39" s="99"/>
      <c r="LN39" s="99"/>
      <c r="LO39" s="99"/>
      <c r="LP39" s="99"/>
      <c r="LQ39" s="99"/>
      <c r="LR39" s="99"/>
      <c r="LS39" s="99"/>
      <c r="LT39" s="99"/>
      <c r="LU39" s="99"/>
      <c r="LV39" s="99"/>
      <c r="LW39" s="99"/>
      <c r="LX39" s="99"/>
      <c r="LY39" s="99"/>
      <c r="LZ39" s="99"/>
      <c r="MA39" s="99"/>
      <c r="MB39" s="99"/>
      <c r="MC39" s="99"/>
      <c r="MD39" s="99"/>
      <c r="ME39" s="99"/>
      <c r="MF39" s="99"/>
    </row>
    <row r="40" spans="1:344" ht="17.25" customHeight="1" x14ac:dyDescent="0.25">
      <c r="A40" s="156"/>
      <c r="B40" s="81" t="s">
        <v>2</v>
      </c>
      <c r="C40" s="82">
        <v>45174</v>
      </c>
      <c r="D40" s="49">
        <v>11</v>
      </c>
      <c r="F40" s="103">
        <v>40</v>
      </c>
      <c r="G40" s="89">
        <f t="shared" si="0"/>
        <v>3.6875</v>
      </c>
      <c r="H40" s="35">
        <f t="shared" si="1"/>
        <v>147.5</v>
      </c>
      <c r="I40" s="39">
        <v>11</v>
      </c>
      <c r="K40" s="103">
        <v>50</v>
      </c>
      <c r="L40" s="89">
        <f t="shared" si="2"/>
        <v>6.15625</v>
      </c>
      <c r="M40" s="35">
        <f t="shared" si="20"/>
        <v>307.8125</v>
      </c>
      <c r="N40" s="35">
        <f t="shared" si="21"/>
        <v>455.3125</v>
      </c>
      <c r="O40" s="97"/>
      <c r="P40" s="150"/>
      <c r="W40" s="86"/>
      <c r="X40" s="87"/>
      <c r="Y40" s="35">
        <f t="shared" si="3"/>
        <v>0</v>
      </c>
      <c r="Z40" s="35">
        <f t="shared" si="22"/>
        <v>0</v>
      </c>
      <c r="AA40" s="15">
        <f t="shared" si="80"/>
        <v>0.6366487091776869</v>
      </c>
      <c r="AB40" s="43">
        <f t="shared" si="81"/>
        <v>228.92074402654544</v>
      </c>
      <c r="AC40" s="43">
        <f t="shared" si="82"/>
        <v>359.57151993950606</v>
      </c>
      <c r="AD40" s="33"/>
      <c r="AH40" s="31"/>
      <c r="AN40" s="11">
        <v>5</v>
      </c>
      <c r="AO40" s="1">
        <v>6</v>
      </c>
      <c r="AP40" s="35">
        <f t="shared" si="4"/>
        <v>500</v>
      </c>
      <c r="AQ40" s="35">
        <f t="shared" si="23"/>
        <v>0</v>
      </c>
      <c r="AR40" s="15">
        <f t="shared" si="83"/>
        <v>0.96100577856076341</v>
      </c>
      <c r="AS40" s="28">
        <f t="shared" si="37"/>
        <v>413.170485496521</v>
      </c>
      <c r="AT40" s="28">
        <f t="shared" si="38"/>
        <v>429.93548500332628</v>
      </c>
      <c r="AU40" s="33"/>
      <c r="AY40" s="31"/>
      <c r="BE40" s="11">
        <v>4</v>
      </c>
      <c r="BF40" s="1">
        <v>7</v>
      </c>
      <c r="BG40" s="35">
        <f t="shared" si="5"/>
        <v>510</v>
      </c>
      <c r="BH40" s="35">
        <f t="shared" si="24"/>
        <v>0</v>
      </c>
      <c r="BI40" s="15">
        <f t="shared" si="39"/>
        <v>0.97253694291941539</v>
      </c>
      <c r="BJ40" s="28">
        <f t="shared" si="40"/>
        <v>243.35149604056178</v>
      </c>
      <c r="BK40" s="28">
        <f t="shared" si="41"/>
        <v>250.22339543221437</v>
      </c>
      <c r="BL40" s="33"/>
      <c r="BP40" s="31"/>
      <c r="BV40" s="11">
        <v>4</v>
      </c>
      <c r="BW40" s="1">
        <v>6</v>
      </c>
      <c r="BX40" s="35">
        <f t="shared" si="6"/>
        <v>460</v>
      </c>
      <c r="BY40" s="35">
        <f t="shared" si="25"/>
        <v>0</v>
      </c>
      <c r="BZ40" s="15">
        <f t="shared" si="42"/>
        <v>1.10624146252459</v>
      </c>
      <c r="CA40" s="28">
        <f t="shared" si="43"/>
        <v>475.48113491149411</v>
      </c>
      <c r="CB40" s="28">
        <f t="shared" si="44"/>
        <v>429.81677239468405</v>
      </c>
      <c r="CC40" s="33"/>
      <c r="CG40" s="31"/>
      <c r="CM40" s="11">
        <v>4</v>
      </c>
      <c r="CN40" s="1">
        <v>6</v>
      </c>
      <c r="CO40" s="35">
        <f t="shared" si="7"/>
        <v>460</v>
      </c>
      <c r="CP40" s="35">
        <f t="shared" si="26"/>
        <v>0</v>
      </c>
      <c r="CQ40" s="15">
        <f t="shared" si="45"/>
        <v>1.0177148928286146</v>
      </c>
      <c r="CR40" s="28">
        <f t="shared" si="46"/>
        <v>375.19880203143134</v>
      </c>
      <c r="CS40" s="28">
        <f t="shared" si="47"/>
        <v>368.66788987297997</v>
      </c>
      <c r="CT40" s="33"/>
      <c r="CX40" s="31"/>
      <c r="DD40" s="11">
        <v>2</v>
      </c>
      <c r="DE40" s="1">
        <v>5.5</v>
      </c>
      <c r="DF40" s="35">
        <f t="shared" si="8"/>
        <v>355</v>
      </c>
      <c r="DG40" s="35">
        <f t="shared" si="27"/>
        <v>0</v>
      </c>
      <c r="DH40" s="15">
        <f t="shared" si="48"/>
        <v>1.0411257364749882</v>
      </c>
      <c r="DI40" s="28">
        <f t="shared" si="49"/>
        <v>390.91772472140826</v>
      </c>
      <c r="DJ40" s="28">
        <f t="shared" si="50"/>
        <v>375.47599778386575</v>
      </c>
      <c r="DK40" s="33"/>
      <c r="DO40" s="31"/>
      <c r="DU40" s="11">
        <v>2.5</v>
      </c>
      <c r="DV40" s="1">
        <v>6</v>
      </c>
      <c r="DW40" s="35">
        <f t="shared" si="9"/>
        <v>400</v>
      </c>
      <c r="DX40" s="35">
        <f t="shared" si="28"/>
        <v>0</v>
      </c>
      <c r="DY40" s="15">
        <f t="shared" si="51"/>
        <v>1.0285303045447092</v>
      </c>
      <c r="DZ40" s="28">
        <f t="shared" si="52"/>
        <v>387.13367608885699</v>
      </c>
      <c r="EA40" s="28">
        <f t="shared" si="53"/>
        <v>376.39501177383994</v>
      </c>
      <c r="EB40" s="33"/>
      <c r="EF40" s="31"/>
      <c r="EN40" s="35">
        <f t="shared" si="10"/>
        <v>0</v>
      </c>
      <c r="EO40" s="35">
        <f t="shared" si="29"/>
        <v>0</v>
      </c>
      <c r="EP40" s="15">
        <f t="shared" si="85"/>
        <v>0.83037256901752277</v>
      </c>
      <c r="EQ40" s="28">
        <f t="shared" si="54"/>
        <v>367.3828125</v>
      </c>
      <c r="ER40" s="28">
        <f t="shared" si="55"/>
        <v>442.43129675475512</v>
      </c>
      <c r="ES40" s="33"/>
      <c r="EW40" s="31"/>
      <c r="FC40" s="11">
        <v>4</v>
      </c>
      <c r="FD40" s="1">
        <v>6</v>
      </c>
      <c r="FE40" s="35">
        <f t="shared" si="11"/>
        <v>460</v>
      </c>
      <c r="FF40" s="35">
        <f t="shared" si="30"/>
        <v>0</v>
      </c>
      <c r="FG40" s="15">
        <f t="shared" si="56"/>
        <v>1.011663584815911</v>
      </c>
      <c r="FH40" s="28">
        <f t="shared" si="57"/>
        <v>416.32403416668791</v>
      </c>
      <c r="FI40" s="28">
        <f t="shared" si="58"/>
        <v>411.52418690887743</v>
      </c>
      <c r="FJ40" s="33"/>
      <c r="FN40" s="31"/>
      <c r="FV40" s="35">
        <f t="shared" si="12"/>
        <v>0</v>
      </c>
      <c r="FW40" s="35">
        <f t="shared" si="31"/>
        <v>0</v>
      </c>
      <c r="FX40" s="15" t="e">
        <f t="shared" si="87"/>
        <v>#DIV/0!</v>
      </c>
      <c r="FY40" s="28">
        <f t="shared" si="59"/>
        <v>0</v>
      </c>
      <c r="FZ40" s="28">
        <f t="shared" si="60"/>
        <v>0</v>
      </c>
      <c r="GA40" s="33"/>
      <c r="GE40" s="31"/>
      <c r="GK40" s="11">
        <v>4</v>
      </c>
      <c r="GL40" s="1">
        <v>6.75</v>
      </c>
      <c r="GM40" s="35">
        <f t="shared" si="13"/>
        <v>497.5</v>
      </c>
      <c r="GN40" s="35">
        <f t="shared" si="32"/>
        <v>0</v>
      </c>
      <c r="GO40" s="15">
        <f t="shared" si="77"/>
        <v>0.74026775680897816</v>
      </c>
      <c r="GP40" s="28">
        <f t="shared" si="61"/>
        <v>467.32560729188845</v>
      </c>
      <c r="GQ40" s="28">
        <f t="shared" si="62"/>
        <v>631.29266808317732</v>
      </c>
      <c r="GR40" s="33"/>
      <c r="GV40" s="31"/>
      <c r="HB40" s="11">
        <v>4</v>
      </c>
      <c r="HC40" s="1">
        <v>6</v>
      </c>
      <c r="HD40" s="35">
        <f t="shared" si="14"/>
        <v>460</v>
      </c>
      <c r="HE40" s="35">
        <f t="shared" si="33"/>
        <v>0</v>
      </c>
      <c r="HF40" s="15">
        <f t="shared" si="63"/>
        <v>0.84568273856021803</v>
      </c>
      <c r="HG40" s="28">
        <f t="shared" si="64"/>
        <v>267.51438506855254</v>
      </c>
      <c r="HH40" s="28">
        <f t="shared" si="65"/>
        <v>316.32948488933101</v>
      </c>
      <c r="HI40" s="33"/>
      <c r="HM40" s="31"/>
      <c r="HS40" s="11">
        <v>4</v>
      </c>
      <c r="HT40" s="1">
        <v>6</v>
      </c>
      <c r="HU40" s="35">
        <f t="shared" si="15"/>
        <v>460</v>
      </c>
      <c r="HV40" s="35">
        <f t="shared" si="34"/>
        <v>0</v>
      </c>
      <c r="HW40" s="15">
        <f t="shared" si="66"/>
        <v>0.82632310246148921</v>
      </c>
      <c r="HX40" s="28">
        <f t="shared" si="67"/>
        <v>200.26035435359336</v>
      </c>
      <c r="HY40" s="28">
        <f t="shared" si="68"/>
        <v>242.35115024262134</v>
      </c>
      <c r="HZ40" s="33"/>
      <c r="ID40" s="31"/>
      <c r="II40" s="12"/>
      <c r="IL40" s="35">
        <f t="shared" si="16"/>
        <v>0</v>
      </c>
      <c r="IM40" s="35">
        <f t="shared" si="17"/>
        <v>4514.3271260069705</v>
      </c>
      <c r="IN40" s="15">
        <f t="shared" si="69"/>
        <v>7.3112524317200431E-2</v>
      </c>
      <c r="IO40" s="28">
        <f t="shared" si="70"/>
        <v>8.4147814830936376</v>
      </c>
      <c r="IP40" s="28">
        <f t="shared" si="71"/>
        <v>115.09357065262728</v>
      </c>
      <c r="IQ40" s="33"/>
      <c r="IU40" s="31"/>
      <c r="JC40" s="35">
        <f t="shared" si="18"/>
        <v>0</v>
      </c>
      <c r="JD40" s="35">
        <f t="shared" si="19"/>
        <v>3807.1878021691109</v>
      </c>
      <c r="JE40" s="15" t="e">
        <f t="shared" si="72"/>
        <v>#DIV/0!</v>
      </c>
      <c r="JF40" s="28">
        <f t="shared" si="73"/>
        <v>0</v>
      </c>
      <c r="JG40" s="28">
        <f t="shared" si="74"/>
        <v>0</v>
      </c>
      <c r="JH40" s="33"/>
      <c r="JL40" s="31"/>
      <c r="JR40" s="99"/>
      <c r="JS40" s="99"/>
      <c r="JT40" s="99"/>
      <c r="JU40" s="99"/>
      <c r="JV40" s="99"/>
      <c r="JW40" s="99"/>
      <c r="JX40" s="99"/>
      <c r="JY40" s="99"/>
      <c r="JZ40" s="99"/>
      <c r="KA40" s="99"/>
      <c r="KB40" s="99"/>
      <c r="KC40" s="99"/>
      <c r="KD40" s="99"/>
      <c r="KE40" s="99"/>
      <c r="KF40" s="99"/>
      <c r="KG40" s="99"/>
      <c r="KH40" s="99"/>
      <c r="KI40" s="99"/>
      <c r="KJ40" s="99"/>
      <c r="KK40" s="99"/>
      <c r="KL40" s="99"/>
      <c r="KM40" s="99"/>
      <c r="KN40" s="99"/>
      <c r="KO40" s="99"/>
      <c r="KP40" s="99"/>
      <c r="KQ40" s="99"/>
      <c r="KR40" s="99"/>
      <c r="KS40" s="99"/>
      <c r="KT40" s="99"/>
      <c r="KU40" s="99"/>
      <c r="KV40" s="99"/>
      <c r="KW40" s="99"/>
      <c r="KX40" s="99"/>
      <c r="KY40" s="99"/>
      <c r="KZ40" s="99"/>
      <c r="LA40" s="99"/>
      <c r="LB40" s="99"/>
      <c r="LC40" s="99"/>
      <c r="LD40" s="99"/>
      <c r="LE40" s="99"/>
      <c r="LF40" s="99"/>
      <c r="LG40" s="99"/>
      <c r="LH40" s="99"/>
      <c r="LI40" s="99"/>
      <c r="LJ40" s="99"/>
      <c r="LK40" s="99"/>
      <c r="LL40" s="99"/>
      <c r="LM40" s="99"/>
      <c r="LN40" s="99"/>
      <c r="LO40" s="99"/>
      <c r="LP40" s="99"/>
      <c r="LQ40" s="99"/>
      <c r="LR40" s="99"/>
      <c r="LS40" s="99"/>
      <c r="LT40" s="99"/>
      <c r="LU40" s="99"/>
      <c r="LV40" s="99"/>
      <c r="LW40" s="99"/>
      <c r="LX40" s="99"/>
      <c r="LY40" s="99"/>
      <c r="LZ40" s="99"/>
      <c r="MA40" s="99"/>
      <c r="MB40" s="99"/>
      <c r="MC40" s="99"/>
      <c r="MD40" s="99"/>
      <c r="ME40" s="99"/>
      <c r="MF40" s="99"/>
    </row>
    <row r="41" spans="1:344" ht="17.25" customHeight="1" x14ac:dyDescent="0.25">
      <c r="A41" s="156"/>
      <c r="B41" s="81" t="s">
        <v>3</v>
      </c>
      <c r="C41" s="82">
        <v>45175</v>
      </c>
      <c r="D41" s="49">
        <v>12</v>
      </c>
      <c r="F41" s="103">
        <v>65</v>
      </c>
      <c r="G41" s="89">
        <f t="shared" si="0"/>
        <v>6.666666666666667</v>
      </c>
      <c r="H41" s="35">
        <f t="shared" si="1"/>
        <v>433.33333333333337</v>
      </c>
      <c r="I41" s="39"/>
      <c r="L41" s="89">
        <f t="shared" si="2"/>
        <v>0</v>
      </c>
      <c r="M41" s="35">
        <f t="shared" si="20"/>
        <v>0</v>
      </c>
      <c r="N41" s="35">
        <f t="shared" si="21"/>
        <v>433.33333333333337</v>
      </c>
      <c r="O41" s="97"/>
      <c r="P41" s="150"/>
      <c r="W41" s="86"/>
      <c r="X41" s="87">
        <v>0</v>
      </c>
      <c r="Y41" s="35">
        <f t="shared" si="3"/>
        <v>0</v>
      </c>
      <c r="Z41" s="35">
        <f t="shared" si="22"/>
        <v>0</v>
      </c>
      <c r="AA41" s="15">
        <f t="shared" si="80"/>
        <v>0.5128559046153589</v>
      </c>
      <c r="AB41" s="43">
        <f t="shared" si="81"/>
        <v>171.69055801990908</v>
      </c>
      <c r="AC41" s="43">
        <f t="shared" si="82"/>
        <v>334.77348408160907</v>
      </c>
      <c r="AD41" s="33"/>
      <c r="AH41" s="31"/>
      <c r="AN41" s="11">
        <v>7</v>
      </c>
      <c r="AP41" s="35">
        <f t="shared" si="4"/>
        <v>455</v>
      </c>
      <c r="AQ41" s="35">
        <f t="shared" si="23"/>
        <v>0</v>
      </c>
      <c r="AR41" s="15">
        <f t="shared" si="83"/>
        <v>0.98138318975609795</v>
      </c>
      <c r="AS41" s="28">
        <f t="shared" si="37"/>
        <v>423.62786412239075</v>
      </c>
      <c r="AT41" s="28">
        <f t="shared" si="38"/>
        <v>431.66407224447619</v>
      </c>
      <c r="AU41" s="33"/>
      <c r="AY41" s="31"/>
      <c r="BE41" s="11">
        <v>7.5</v>
      </c>
      <c r="BG41" s="35">
        <f t="shared" si="5"/>
        <v>487.5</v>
      </c>
      <c r="BH41" s="35">
        <f t="shared" si="24"/>
        <v>0</v>
      </c>
      <c r="BI41" s="15">
        <f t="shared" si="39"/>
        <v>1.1417971634394657</v>
      </c>
      <c r="BJ41" s="28">
        <f t="shared" si="40"/>
        <v>304.38862203042135</v>
      </c>
      <c r="BK41" s="28">
        <f t="shared" si="41"/>
        <v>266.5872991955099</v>
      </c>
      <c r="BL41" s="33"/>
      <c r="BP41" s="31"/>
      <c r="BV41" s="11">
        <v>7</v>
      </c>
      <c r="BX41" s="35">
        <f t="shared" si="6"/>
        <v>455</v>
      </c>
      <c r="BY41" s="35">
        <f t="shared" si="25"/>
        <v>0</v>
      </c>
      <c r="BZ41" s="15">
        <f t="shared" si="42"/>
        <v>1.0899246565506751</v>
      </c>
      <c r="CA41" s="28">
        <f t="shared" si="43"/>
        <v>470.36085118362058</v>
      </c>
      <c r="CB41" s="28">
        <f t="shared" si="44"/>
        <v>431.55354671229202</v>
      </c>
      <c r="CC41" s="33"/>
      <c r="CG41" s="31"/>
      <c r="CM41" s="11">
        <v>6</v>
      </c>
      <c r="CO41" s="35">
        <f t="shared" si="7"/>
        <v>390</v>
      </c>
      <c r="CP41" s="35">
        <f t="shared" si="26"/>
        <v>0</v>
      </c>
      <c r="CQ41" s="15">
        <f t="shared" si="45"/>
        <v>1.0236668656584467</v>
      </c>
      <c r="CR41" s="28">
        <f t="shared" si="46"/>
        <v>378.89910152357351</v>
      </c>
      <c r="CS41" s="28">
        <f t="shared" si="47"/>
        <v>370.13906988173994</v>
      </c>
      <c r="CT41" s="33"/>
      <c r="CX41" s="31"/>
      <c r="DD41" s="11">
        <v>6</v>
      </c>
      <c r="DF41" s="35">
        <f t="shared" si="8"/>
        <v>390</v>
      </c>
      <c r="DG41" s="35">
        <f t="shared" si="27"/>
        <v>0</v>
      </c>
      <c r="DH41" s="15">
        <f t="shared" si="48"/>
        <v>1.0377463052974916</v>
      </c>
      <c r="DI41" s="28">
        <f t="shared" si="49"/>
        <v>390.68829354105617</v>
      </c>
      <c r="DJ41" s="28">
        <f t="shared" si="50"/>
        <v>376.47765310911637</v>
      </c>
      <c r="DK41" s="33"/>
      <c r="DO41" s="31"/>
      <c r="DU41" s="11">
        <v>5.5</v>
      </c>
      <c r="DW41" s="35">
        <f t="shared" si="9"/>
        <v>357.5</v>
      </c>
      <c r="DX41" s="35">
        <f t="shared" si="28"/>
        <v>0</v>
      </c>
      <c r="DY41" s="15">
        <f t="shared" si="51"/>
        <v>1.0123525713571944</v>
      </c>
      <c r="DZ41" s="28">
        <f t="shared" si="52"/>
        <v>379.72525706664271</v>
      </c>
      <c r="EA41" s="28">
        <f t="shared" si="53"/>
        <v>375.09190751357511</v>
      </c>
      <c r="EB41" s="33"/>
      <c r="EF41" s="31"/>
      <c r="EL41" s="11">
        <v>7</v>
      </c>
      <c r="EN41" s="35">
        <f t="shared" si="10"/>
        <v>455</v>
      </c>
      <c r="EO41" s="35">
        <f t="shared" si="29"/>
        <v>0</v>
      </c>
      <c r="EP41" s="15">
        <f t="shared" si="85"/>
        <v>0.87816100716881829</v>
      </c>
      <c r="EQ41" s="28">
        <f t="shared" si="54"/>
        <v>389.287109375</v>
      </c>
      <c r="ER41" s="28">
        <f t="shared" si="55"/>
        <v>443.29810387511679</v>
      </c>
      <c r="ES41" s="33"/>
      <c r="EW41" s="31"/>
      <c r="FC41" s="11">
        <v>7</v>
      </c>
      <c r="FE41" s="35">
        <f t="shared" si="11"/>
        <v>455</v>
      </c>
      <c r="FF41" s="35">
        <f t="shared" si="30"/>
        <v>0</v>
      </c>
      <c r="FG41" s="15">
        <f t="shared" si="56"/>
        <v>1.0276716131387682</v>
      </c>
      <c r="FH41" s="28">
        <f t="shared" si="57"/>
        <v>425.99302562501595</v>
      </c>
      <c r="FI41" s="28">
        <f t="shared" si="58"/>
        <v>414.52251884619625</v>
      </c>
      <c r="FJ41" s="33"/>
      <c r="FN41" s="31"/>
      <c r="FV41" s="35">
        <f t="shared" si="12"/>
        <v>0</v>
      </c>
      <c r="FW41" s="35">
        <f t="shared" si="31"/>
        <v>0</v>
      </c>
      <c r="FX41" s="15" t="e">
        <f t="shared" si="87"/>
        <v>#DIV/0!</v>
      </c>
      <c r="FY41" s="28">
        <f t="shared" si="59"/>
        <v>0</v>
      </c>
      <c r="FZ41" s="28">
        <f t="shared" si="60"/>
        <v>0</v>
      </c>
      <c r="GA41" s="33"/>
      <c r="GE41" s="31"/>
      <c r="GK41" s="11">
        <v>7</v>
      </c>
      <c r="GM41" s="35">
        <f t="shared" si="13"/>
        <v>455</v>
      </c>
      <c r="GN41" s="35">
        <f t="shared" si="32"/>
        <v>0</v>
      </c>
      <c r="GO41" s="15">
        <f t="shared" si="77"/>
        <v>0.74982764762073473</v>
      </c>
      <c r="GP41" s="28">
        <f t="shared" si="61"/>
        <v>464.24420546891633</v>
      </c>
      <c r="GQ41" s="28">
        <f t="shared" si="62"/>
        <v>619.13455304295815</v>
      </c>
      <c r="GR41" s="33"/>
      <c r="GV41" s="31"/>
      <c r="HB41" s="11">
        <v>7</v>
      </c>
      <c r="HD41" s="35">
        <f t="shared" si="14"/>
        <v>455</v>
      </c>
      <c r="HE41" s="35">
        <f t="shared" si="33"/>
        <v>0</v>
      </c>
      <c r="HF41" s="15">
        <f t="shared" si="63"/>
        <v>0.96469030941383671</v>
      </c>
      <c r="HG41" s="28">
        <f t="shared" si="64"/>
        <v>314.38578880141438</v>
      </c>
      <c r="HH41" s="28">
        <f t="shared" si="65"/>
        <v>325.89296869006682</v>
      </c>
      <c r="HI41" s="33"/>
      <c r="HM41" s="31"/>
      <c r="HS41" s="11">
        <v>7</v>
      </c>
      <c r="HU41" s="35">
        <f t="shared" si="15"/>
        <v>455</v>
      </c>
      <c r="HV41" s="35">
        <f t="shared" si="34"/>
        <v>0</v>
      </c>
      <c r="HW41" s="15">
        <f t="shared" si="66"/>
        <v>1.0269580950317547</v>
      </c>
      <c r="HX41" s="28">
        <f t="shared" si="67"/>
        <v>263.94526576519502</v>
      </c>
      <c r="HY41" s="28">
        <f t="shared" si="68"/>
        <v>257.01658815692332</v>
      </c>
      <c r="HZ41" s="33"/>
      <c r="ID41" s="31"/>
      <c r="II41" s="12"/>
      <c r="IL41" s="35">
        <f t="shared" si="16"/>
        <v>0</v>
      </c>
      <c r="IM41" s="35">
        <f t="shared" si="17"/>
        <v>4497.4809122655943</v>
      </c>
      <c r="IN41" s="15">
        <f t="shared" si="69"/>
        <v>5.8896200144411458E-2</v>
      </c>
      <c r="IO41" s="28">
        <f t="shared" si="70"/>
        <v>6.3110861123202282</v>
      </c>
      <c r="IP41" s="28">
        <f t="shared" si="71"/>
        <v>107.1560830214116</v>
      </c>
      <c r="IQ41" s="33"/>
      <c r="IU41" s="31"/>
      <c r="JC41" s="35">
        <f t="shared" si="18"/>
        <v>0</v>
      </c>
      <c r="JD41" s="35">
        <f t="shared" si="19"/>
        <v>3759.3627560999694</v>
      </c>
      <c r="JE41" s="15" t="e">
        <f t="shared" si="72"/>
        <v>#DIV/0!</v>
      </c>
      <c r="JF41" s="28">
        <f t="shared" si="73"/>
        <v>0</v>
      </c>
      <c r="JG41" s="28">
        <f t="shared" si="74"/>
        <v>0</v>
      </c>
      <c r="JH41" s="33"/>
      <c r="JL41" s="31"/>
      <c r="JR41" s="99"/>
      <c r="JS41" s="99"/>
      <c r="JT41" s="99"/>
      <c r="JU41" s="99"/>
      <c r="JV41" s="99"/>
      <c r="JW41" s="99"/>
      <c r="JX41" s="99"/>
      <c r="JY41" s="99"/>
      <c r="JZ41" s="99"/>
      <c r="KA41" s="99"/>
      <c r="KB41" s="99"/>
      <c r="KC41" s="99"/>
      <c r="KD41" s="99"/>
      <c r="KE41" s="99"/>
      <c r="KF41" s="99"/>
      <c r="KG41" s="99"/>
      <c r="KH41" s="99"/>
      <c r="KI41" s="99"/>
      <c r="KJ41" s="99"/>
      <c r="KK41" s="99"/>
      <c r="KL41" s="99"/>
      <c r="KM41" s="99"/>
      <c r="KN41" s="99"/>
      <c r="KO41" s="99"/>
      <c r="KP41" s="99"/>
      <c r="KQ41" s="99"/>
      <c r="KR41" s="99"/>
      <c r="KS41" s="99"/>
      <c r="KT41" s="99"/>
      <c r="KU41" s="99"/>
      <c r="KV41" s="99"/>
      <c r="KW41" s="99"/>
      <c r="KX41" s="99"/>
      <c r="KY41" s="99"/>
      <c r="KZ41" s="99"/>
      <c r="LA41" s="99"/>
      <c r="LB41" s="99"/>
      <c r="LC41" s="99"/>
      <c r="LD41" s="99"/>
      <c r="LE41" s="99"/>
      <c r="LF41" s="99"/>
      <c r="LG41" s="99"/>
      <c r="LH41" s="99"/>
      <c r="LI41" s="99"/>
      <c r="LJ41" s="99"/>
      <c r="LK41" s="99"/>
      <c r="LL41" s="99"/>
      <c r="LM41" s="99"/>
      <c r="LN41" s="99"/>
      <c r="LO41" s="99"/>
      <c r="LP41" s="99"/>
      <c r="LQ41" s="99"/>
      <c r="LR41" s="99"/>
      <c r="LS41" s="99"/>
      <c r="LT41" s="99"/>
      <c r="LU41" s="99"/>
      <c r="LV41" s="99"/>
      <c r="LW41" s="99"/>
      <c r="LX41" s="99"/>
      <c r="LY41" s="99"/>
      <c r="LZ41" s="99"/>
      <c r="MA41" s="99"/>
      <c r="MB41" s="99"/>
      <c r="MC41" s="99"/>
      <c r="MD41" s="99"/>
      <c r="ME41" s="99"/>
      <c r="MF41" s="99"/>
    </row>
    <row r="42" spans="1:344" ht="17.25" customHeight="1" x14ac:dyDescent="0.25">
      <c r="A42" s="156"/>
      <c r="B42" s="81" t="s">
        <v>4</v>
      </c>
      <c r="C42" s="82">
        <v>45176</v>
      </c>
      <c r="D42" s="49">
        <v>10</v>
      </c>
      <c r="F42" s="103">
        <v>76</v>
      </c>
      <c r="G42" s="89">
        <f t="shared" si="0"/>
        <v>7.4450000000000003</v>
      </c>
      <c r="H42" s="35">
        <f t="shared" si="1"/>
        <v>565.82000000000005</v>
      </c>
      <c r="I42" s="39"/>
      <c r="L42" s="89">
        <f t="shared" si="2"/>
        <v>0</v>
      </c>
      <c r="M42" s="35">
        <f t="shared" si="20"/>
        <v>0</v>
      </c>
      <c r="N42" s="35">
        <f t="shared" si="21"/>
        <v>565.82000000000005</v>
      </c>
      <c r="O42" s="97"/>
      <c r="P42" s="150"/>
      <c r="W42" s="11">
        <v>5</v>
      </c>
      <c r="X42" s="1">
        <v>0</v>
      </c>
      <c r="Y42" s="35">
        <f t="shared" si="3"/>
        <v>380</v>
      </c>
      <c r="Z42" s="35">
        <f t="shared" si="22"/>
        <v>0</v>
      </c>
      <c r="AA42" s="15">
        <f t="shared" si="80"/>
        <v>0.66224578129928746</v>
      </c>
      <c r="AB42" s="43">
        <f t="shared" si="81"/>
        <v>223.76791851493181</v>
      </c>
      <c r="AC42" s="43">
        <f t="shared" si="82"/>
        <v>337.89255414494636</v>
      </c>
      <c r="AD42" s="33"/>
      <c r="AH42" s="31"/>
      <c r="AN42" s="11">
        <v>9.5</v>
      </c>
      <c r="AP42" s="35">
        <f t="shared" si="4"/>
        <v>722</v>
      </c>
      <c r="AQ42" s="35">
        <f t="shared" si="23"/>
        <v>0</v>
      </c>
      <c r="AR42" s="15">
        <f t="shared" si="83"/>
        <v>1.1030218574456336</v>
      </c>
      <c r="AS42" s="28">
        <f t="shared" si="37"/>
        <v>498.22089809179306</v>
      </c>
      <c r="AT42" s="28">
        <f t="shared" si="38"/>
        <v>451.68723967589165</v>
      </c>
      <c r="AU42" s="33"/>
      <c r="AY42" s="31"/>
      <c r="BE42" s="11">
        <v>8.75</v>
      </c>
      <c r="BG42" s="35">
        <f t="shared" si="5"/>
        <v>665</v>
      </c>
      <c r="BH42" s="35">
        <f t="shared" si="24"/>
        <v>0</v>
      </c>
      <c r="BI42" s="15">
        <f t="shared" si="39"/>
        <v>1.3416855400056746</v>
      </c>
      <c r="BJ42" s="28">
        <f t="shared" si="40"/>
        <v>394.54146652281599</v>
      </c>
      <c r="BK42" s="28">
        <f t="shared" si="41"/>
        <v>294.06403718202648</v>
      </c>
      <c r="BL42" s="33"/>
      <c r="BP42" s="31"/>
      <c r="BV42" s="11">
        <v>8</v>
      </c>
      <c r="BX42" s="35">
        <f t="shared" si="6"/>
        <v>608</v>
      </c>
      <c r="BY42" s="35">
        <f t="shared" si="25"/>
        <v>0</v>
      </c>
      <c r="BZ42" s="15">
        <f t="shared" si="42"/>
        <v>1.1375823915380243</v>
      </c>
      <c r="CA42" s="28">
        <f t="shared" si="43"/>
        <v>504.77063838771545</v>
      </c>
      <c r="CB42" s="28">
        <f t="shared" si="44"/>
        <v>443.72226762868564</v>
      </c>
      <c r="CC42" s="33"/>
      <c r="CG42" s="31"/>
      <c r="CM42" s="11">
        <v>8.5</v>
      </c>
      <c r="CO42" s="35">
        <f t="shared" si="7"/>
        <v>646</v>
      </c>
      <c r="CP42" s="35">
        <f t="shared" si="26"/>
        <v>0</v>
      </c>
      <c r="CQ42" s="15">
        <f t="shared" si="45"/>
        <v>1.1452096548053246</v>
      </c>
      <c r="CR42" s="28">
        <f t="shared" si="46"/>
        <v>445.67432614268012</v>
      </c>
      <c r="CS42" s="28">
        <f t="shared" si="47"/>
        <v>389.16396161403372</v>
      </c>
      <c r="CT42" s="33"/>
      <c r="CX42" s="31"/>
      <c r="DD42" s="11">
        <v>6.5</v>
      </c>
      <c r="DF42" s="35">
        <f t="shared" si="8"/>
        <v>494</v>
      </c>
      <c r="DG42" s="35">
        <f t="shared" si="27"/>
        <v>0</v>
      </c>
      <c r="DH42" s="15">
        <f t="shared" si="48"/>
        <v>1.0830343704390779</v>
      </c>
      <c r="DI42" s="28">
        <f t="shared" si="49"/>
        <v>416.5162201557921</v>
      </c>
      <c r="DJ42" s="28">
        <f t="shared" si="50"/>
        <v>384.58264254986699</v>
      </c>
      <c r="DK42" s="33"/>
      <c r="DO42" s="31"/>
      <c r="DU42" s="11">
        <v>5.7</v>
      </c>
      <c r="DW42" s="35">
        <f t="shared" si="9"/>
        <v>433.2</v>
      </c>
      <c r="DX42" s="35">
        <f t="shared" si="28"/>
        <v>0</v>
      </c>
      <c r="DY42" s="15">
        <f t="shared" si="51"/>
        <v>1.0369153367922996</v>
      </c>
      <c r="DZ42" s="28">
        <f t="shared" si="52"/>
        <v>393.09394279998202</v>
      </c>
      <c r="EA42" s="28">
        <f t="shared" si="53"/>
        <v>379.09936216781125</v>
      </c>
      <c r="EB42" s="33"/>
      <c r="EF42" s="31"/>
      <c r="EL42" s="11">
        <v>5</v>
      </c>
      <c r="EN42" s="35">
        <f t="shared" si="10"/>
        <v>380</v>
      </c>
      <c r="EO42" s="35">
        <f t="shared" si="29"/>
        <v>0</v>
      </c>
      <c r="EP42" s="15">
        <f t="shared" si="85"/>
        <v>0.88160512235808597</v>
      </c>
      <c r="EQ42" s="28">
        <f t="shared" si="54"/>
        <v>386.96533203125</v>
      </c>
      <c r="ER42" s="28">
        <f t="shared" si="55"/>
        <v>438.93271740097077</v>
      </c>
      <c r="ES42" s="33"/>
      <c r="EW42" s="31"/>
      <c r="FC42" s="11">
        <v>9</v>
      </c>
      <c r="FE42" s="35">
        <f t="shared" si="11"/>
        <v>684</v>
      </c>
      <c r="FF42" s="35">
        <f t="shared" si="30"/>
        <v>0</v>
      </c>
      <c r="FG42" s="15">
        <f t="shared" si="56"/>
        <v>1.1325020690367085</v>
      </c>
      <c r="FH42" s="28">
        <f t="shared" si="57"/>
        <v>490.49476921876197</v>
      </c>
      <c r="FI42" s="28">
        <f t="shared" si="58"/>
        <v>433.10717271887233</v>
      </c>
      <c r="FJ42" s="33"/>
      <c r="FN42" s="31"/>
      <c r="FV42" s="35">
        <f t="shared" si="12"/>
        <v>0</v>
      </c>
      <c r="FW42" s="35">
        <f t="shared" si="31"/>
        <v>0</v>
      </c>
      <c r="FX42" s="15" t="e">
        <f t="shared" si="87"/>
        <v>#DIV/0!</v>
      </c>
      <c r="FY42" s="28">
        <f t="shared" si="59"/>
        <v>0</v>
      </c>
      <c r="FZ42" s="28">
        <f t="shared" si="60"/>
        <v>0</v>
      </c>
      <c r="GA42" s="33"/>
      <c r="GE42" s="31"/>
      <c r="GK42" s="11">
        <v>8.5</v>
      </c>
      <c r="GM42" s="35">
        <f t="shared" si="13"/>
        <v>646</v>
      </c>
      <c r="GN42" s="35">
        <f t="shared" si="32"/>
        <v>0</v>
      </c>
      <c r="GO42" s="15">
        <f t="shared" si="77"/>
        <v>0.8207625489746817</v>
      </c>
      <c r="GP42" s="28">
        <f t="shared" si="61"/>
        <v>509.68315410168725</v>
      </c>
      <c r="GQ42" s="28">
        <f t="shared" si="62"/>
        <v>620.98734248827134</v>
      </c>
      <c r="GR42" s="33"/>
      <c r="GV42" s="31"/>
      <c r="HB42" s="11">
        <v>8</v>
      </c>
      <c r="HD42" s="35">
        <f t="shared" si="14"/>
        <v>608</v>
      </c>
      <c r="HE42" s="35">
        <f t="shared" si="33"/>
        <v>0</v>
      </c>
      <c r="HF42" s="15">
        <f t="shared" si="63"/>
        <v>1.1228923828890434</v>
      </c>
      <c r="HG42" s="28">
        <f t="shared" si="64"/>
        <v>387.78934160106076</v>
      </c>
      <c r="HH42" s="28">
        <f t="shared" si="65"/>
        <v>345.34862602178634</v>
      </c>
      <c r="HI42" s="33"/>
      <c r="HM42" s="31"/>
      <c r="HU42" s="35">
        <f t="shared" si="15"/>
        <v>0</v>
      </c>
      <c r="HV42" s="35">
        <f t="shared" si="34"/>
        <v>0</v>
      </c>
      <c r="HW42" s="15">
        <f t="shared" si="66"/>
        <v>0.82727179877558021</v>
      </c>
      <c r="HX42" s="28">
        <f t="shared" si="67"/>
        <v>197.95894932389626</v>
      </c>
      <c r="HY42" s="28">
        <f t="shared" si="68"/>
        <v>239.29130621506653</v>
      </c>
      <c r="HZ42" s="33"/>
      <c r="ID42" s="31"/>
      <c r="II42" s="12"/>
      <c r="IL42" s="35">
        <f t="shared" si="16"/>
        <v>0</v>
      </c>
      <c r="IM42" s="35">
        <f t="shared" si="17"/>
        <v>4849.1066388689042</v>
      </c>
      <c r="IN42" s="15">
        <f t="shared" si="69"/>
        <v>4.7444161227442563E-2</v>
      </c>
      <c r="IO42" s="28">
        <f t="shared" si="70"/>
        <v>4.7333145842401709</v>
      </c>
      <c r="IP42" s="28">
        <f t="shared" si="71"/>
        <v>99.76600833027976</v>
      </c>
      <c r="IQ42" s="33"/>
      <c r="IU42" s="31"/>
      <c r="JC42" s="35">
        <f t="shared" si="18"/>
        <v>0</v>
      </c>
      <c r="JD42" s="35">
        <f t="shared" si="19"/>
        <v>4377.9527416053052</v>
      </c>
      <c r="JE42" s="15" t="e">
        <f t="shared" si="72"/>
        <v>#DIV/0!</v>
      </c>
      <c r="JF42" s="28">
        <f t="shared" si="73"/>
        <v>0</v>
      </c>
      <c r="JG42" s="28">
        <f t="shared" si="74"/>
        <v>0</v>
      </c>
      <c r="JH42" s="33"/>
      <c r="JL42" s="31"/>
      <c r="JR42" s="99"/>
      <c r="JS42" s="99"/>
      <c r="JT42" s="99"/>
      <c r="JU42" s="99"/>
      <c r="JV42" s="99"/>
      <c r="JW42" s="99"/>
      <c r="JX42" s="99"/>
      <c r="JY42" s="99"/>
      <c r="JZ42" s="99"/>
      <c r="KA42" s="99"/>
      <c r="KB42" s="99"/>
      <c r="KC42" s="99"/>
      <c r="KD42" s="99"/>
      <c r="KE42" s="99"/>
      <c r="KF42" s="99"/>
      <c r="KG42" s="99"/>
      <c r="KH42" s="99"/>
      <c r="KI42" s="99"/>
      <c r="KJ42" s="99"/>
      <c r="KK42" s="99"/>
      <c r="KL42" s="99"/>
      <c r="KM42" s="99"/>
      <c r="KN42" s="99"/>
      <c r="KO42" s="99"/>
      <c r="KP42" s="99"/>
      <c r="KQ42" s="99"/>
      <c r="KR42" s="99"/>
      <c r="KS42" s="99"/>
      <c r="KT42" s="99"/>
      <c r="KU42" s="99"/>
      <c r="KV42" s="99"/>
      <c r="KW42" s="99"/>
      <c r="KX42" s="99"/>
      <c r="KY42" s="99"/>
      <c r="KZ42" s="99"/>
      <c r="LA42" s="99"/>
      <c r="LB42" s="99"/>
      <c r="LC42" s="99"/>
      <c r="LD42" s="99"/>
      <c r="LE42" s="99"/>
      <c r="LF42" s="99"/>
      <c r="LG42" s="99"/>
      <c r="LH42" s="99"/>
      <c r="LI42" s="99"/>
      <c r="LJ42" s="99"/>
      <c r="LK42" s="99"/>
      <c r="LL42" s="99"/>
      <c r="LM42" s="99"/>
      <c r="LN42" s="99"/>
      <c r="LO42" s="99"/>
      <c r="LP42" s="99"/>
      <c r="LQ42" s="99"/>
      <c r="LR42" s="99"/>
      <c r="LS42" s="99"/>
      <c r="LT42" s="99"/>
      <c r="LU42" s="99"/>
      <c r="LV42" s="99"/>
      <c r="LW42" s="99"/>
      <c r="LX42" s="99"/>
      <c r="LY42" s="99"/>
      <c r="LZ42" s="99"/>
      <c r="MA42" s="99"/>
      <c r="MB42" s="99"/>
      <c r="MC42" s="99"/>
      <c r="MD42" s="99"/>
      <c r="ME42" s="99"/>
      <c r="MF42" s="99"/>
    </row>
    <row r="43" spans="1:344" ht="17.25" customHeight="1" x14ac:dyDescent="0.25">
      <c r="A43" s="156"/>
      <c r="B43" s="81" t="s">
        <v>5</v>
      </c>
      <c r="C43" s="82">
        <v>45177</v>
      </c>
      <c r="D43" s="49">
        <v>12</v>
      </c>
      <c r="F43" s="103">
        <v>70</v>
      </c>
      <c r="G43" s="89">
        <f t="shared" si="0"/>
        <v>6.3545454545454554</v>
      </c>
      <c r="H43" s="35">
        <f t="shared" si="1"/>
        <v>444.81818181818187</v>
      </c>
      <c r="I43" s="39"/>
      <c r="L43" s="89">
        <f t="shared" si="2"/>
        <v>0</v>
      </c>
      <c r="M43" s="35">
        <f t="shared" si="20"/>
        <v>0</v>
      </c>
      <c r="N43" s="35">
        <f t="shared" si="21"/>
        <v>444.81818181818187</v>
      </c>
      <c r="O43" s="97"/>
      <c r="P43" s="150"/>
      <c r="W43" s="11">
        <v>6</v>
      </c>
      <c r="X43" s="1">
        <v>0</v>
      </c>
      <c r="Y43" s="35">
        <f t="shared" si="3"/>
        <v>420</v>
      </c>
      <c r="Z43" s="35">
        <f t="shared" si="22"/>
        <v>0</v>
      </c>
      <c r="AA43" s="15">
        <f t="shared" si="80"/>
        <v>0.79412562877727011</v>
      </c>
      <c r="AB43" s="43">
        <f t="shared" si="81"/>
        <v>272.82593888619886</v>
      </c>
      <c r="AC43" s="43">
        <f t="shared" si="82"/>
        <v>343.55513661770868</v>
      </c>
      <c r="AD43" s="33"/>
      <c r="AH43" s="31"/>
      <c r="AN43" s="11">
        <v>6</v>
      </c>
      <c r="AP43" s="35">
        <f t="shared" si="4"/>
        <v>420</v>
      </c>
      <c r="AQ43" s="35">
        <f t="shared" si="23"/>
        <v>0</v>
      </c>
      <c r="AR43" s="15">
        <f t="shared" si="83"/>
        <v>1.0648801705545108</v>
      </c>
      <c r="AS43" s="28">
        <f t="shared" si="37"/>
        <v>478.6656735688448</v>
      </c>
      <c r="AT43" s="28">
        <f t="shared" si="38"/>
        <v>449.50191280169219</v>
      </c>
      <c r="AU43" s="33"/>
      <c r="AY43" s="31"/>
      <c r="BE43" s="11">
        <v>6.5</v>
      </c>
      <c r="BG43" s="35">
        <f t="shared" si="5"/>
        <v>455</v>
      </c>
      <c r="BH43" s="35">
        <f t="shared" si="24"/>
        <v>0</v>
      </c>
      <c r="BI43" s="15">
        <f t="shared" si="39"/>
        <v>1.3424170267378888</v>
      </c>
      <c r="BJ43" s="28">
        <f t="shared" si="40"/>
        <v>409.65609989211202</v>
      </c>
      <c r="BK43" s="28">
        <f t="shared" si="41"/>
        <v>305.16306910050741</v>
      </c>
      <c r="BL43" s="33"/>
      <c r="BP43" s="31"/>
      <c r="BV43" s="11">
        <v>7</v>
      </c>
      <c r="BX43" s="35">
        <f t="shared" si="6"/>
        <v>490</v>
      </c>
      <c r="BY43" s="35">
        <f t="shared" si="25"/>
        <v>0</v>
      </c>
      <c r="BZ43" s="15">
        <f>CA43/CB43</f>
        <v>1.1211959423151237</v>
      </c>
      <c r="CA43" s="28">
        <f t="shared" si="43"/>
        <v>501.07797879078657</v>
      </c>
      <c r="CB43" s="28">
        <f t="shared" si="44"/>
        <v>446.91383537843149</v>
      </c>
      <c r="CC43" s="33"/>
      <c r="CG43" s="31"/>
      <c r="CM43" s="11">
        <v>6</v>
      </c>
      <c r="CO43" s="35">
        <f t="shared" si="7"/>
        <v>420</v>
      </c>
      <c r="CP43" s="35">
        <f t="shared" si="26"/>
        <v>0</v>
      </c>
      <c r="CQ43" s="15">
        <f t="shared" si="45"/>
        <v>1.1225819416585761</v>
      </c>
      <c r="CR43" s="28">
        <f t="shared" si="46"/>
        <v>439.25574460701012</v>
      </c>
      <c r="CS43" s="28">
        <f t="shared" si="47"/>
        <v>391.2905849509969</v>
      </c>
      <c r="CT43" s="33"/>
      <c r="CX43" s="31"/>
      <c r="DD43" s="11">
        <v>7</v>
      </c>
      <c r="DF43" s="35">
        <f t="shared" si="8"/>
        <v>490</v>
      </c>
      <c r="DG43" s="35">
        <f t="shared" si="27"/>
        <v>0</v>
      </c>
      <c r="DH43" s="15">
        <f t="shared" si="48"/>
        <v>1.1098227687042919</v>
      </c>
      <c r="DI43" s="28">
        <f t="shared" si="49"/>
        <v>434.88716511684407</v>
      </c>
      <c r="DJ43" s="28">
        <f t="shared" si="50"/>
        <v>391.85280513263478</v>
      </c>
      <c r="DK43" s="33"/>
      <c r="DO43" s="31"/>
      <c r="DU43" s="11">
        <v>6.4</v>
      </c>
      <c r="DW43" s="35">
        <f t="shared" si="9"/>
        <v>448</v>
      </c>
      <c r="DX43" s="35">
        <f t="shared" si="28"/>
        <v>0</v>
      </c>
      <c r="DY43" s="15">
        <f t="shared" si="51"/>
        <v>1.0598391537579024</v>
      </c>
      <c r="DZ43" s="28">
        <f t="shared" si="52"/>
        <v>406.82045709998653</v>
      </c>
      <c r="EA43" s="28">
        <f t="shared" si="53"/>
        <v>383.85113029416908</v>
      </c>
      <c r="EB43" s="33"/>
      <c r="EF43" s="31"/>
      <c r="EL43" s="11">
        <v>5</v>
      </c>
      <c r="EN43" s="35">
        <f t="shared" si="10"/>
        <v>350</v>
      </c>
      <c r="EO43" s="35">
        <f t="shared" si="29"/>
        <v>0</v>
      </c>
      <c r="EP43" s="15">
        <f t="shared" si="85"/>
        <v>0.87274607094130618</v>
      </c>
      <c r="EQ43" s="28">
        <f t="shared" si="54"/>
        <v>377.7239990234375</v>
      </c>
      <c r="ER43" s="28">
        <f t="shared" si="55"/>
        <v>432.79942654573136</v>
      </c>
      <c r="ES43" s="33"/>
      <c r="EW43" s="31"/>
      <c r="FC43" s="11">
        <v>6</v>
      </c>
      <c r="FE43" s="35">
        <f t="shared" si="11"/>
        <v>420</v>
      </c>
      <c r="FF43" s="35">
        <f t="shared" si="30"/>
        <v>0</v>
      </c>
      <c r="FG43" s="15">
        <f t="shared" si="56"/>
        <v>1.0940942694081943</v>
      </c>
      <c r="FH43" s="28">
        <f t="shared" si="57"/>
        <v>472.87107691407147</v>
      </c>
      <c r="FI43" s="28">
        <f t="shared" si="58"/>
        <v>432.20322977274321</v>
      </c>
      <c r="FJ43" s="33"/>
      <c r="FN43" s="31"/>
      <c r="FT43" s="11">
        <v>7</v>
      </c>
      <c r="FV43" s="35">
        <f t="shared" si="12"/>
        <v>490</v>
      </c>
      <c r="FW43" s="35">
        <f t="shared" si="31"/>
        <v>0</v>
      </c>
      <c r="FX43" s="15">
        <f t="shared" si="87"/>
        <v>1</v>
      </c>
      <c r="FY43" s="28">
        <f>FV43*(2/(7+1))+((1-(2/(7+1)))*FV43)</f>
        <v>490</v>
      </c>
      <c r="FZ43" s="28">
        <f>FV43*(2/(28+1))+((1-(2/(28+1)))*FV43)</f>
        <v>490</v>
      </c>
      <c r="GA43" s="33"/>
      <c r="GE43" s="31"/>
      <c r="GK43" s="11">
        <v>7</v>
      </c>
      <c r="GM43" s="35">
        <f t="shared" si="13"/>
        <v>490</v>
      </c>
      <c r="GN43" s="35">
        <f t="shared" si="32"/>
        <v>0</v>
      </c>
      <c r="GO43" s="15">
        <f t="shared" si="77"/>
        <v>0.82483746504979305</v>
      </c>
      <c r="GP43" s="28">
        <f t="shared" si="61"/>
        <v>504.76236557626544</v>
      </c>
      <c r="GQ43" s="28">
        <f t="shared" si="62"/>
        <v>611.95373266149397</v>
      </c>
      <c r="GR43" s="33"/>
      <c r="GV43" s="31"/>
      <c r="HB43" s="11">
        <v>7</v>
      </c>
      <c r="HD43" s="35">
        <f t="shared" si="14"/>
        <v>490</v>
      </c>
      <c r="HE43" s="35">
        <f t="shared" si="33"/>
        <v>0</v>
      </c>
      <c r="HF43" s="15">
        <f t="shared" si="63"/>
        <v>1.1632800716683465</v>
      </c>
      <c r="HG43" s="28">
        <f t="shared" si="64"/>
        <v>413.34200620079559</v>
      </c>
      <c r="HH43" s="28">
        <f t="shared" si="65"/>
        <v>355.32458284787003</v>
      </c>
      <c r="HI43" s="33"/>
      <c r="HM43" s="31"/>
      <c r="HU43" s="35">
        <f t="shared" si="15"/>
        <v>0</v>
      </c>
      <c r="HV43" s="35">
        <f t="shared" si="34"/>
        <v>0</v>
      </c>
      <c r="HW43" s="15">
        <f t="shared" si="66"/>
        <v>0.66641339345810624</v>
      </c>
      <c r="HX43" s="28">
        <f t="shared" si="67"/>
        <v>148.4692119929222</v>
      </c>
      <c r="HY43" s="28">
        <f t="shared" si="68"/>
        <v>222.78845751057918</v>
      </c>
      <c r="HZ43" s="33"/>
      <c r="ID43" s="31"/>
      <c r="II43" s="12"/>
      <c r="IL43" s="35">
        <f t="shared" si="16"/>
        <v>0</v>
      </c>
      <c r="IM43" s="35">
        <f t="shared" si="17"/>
        <v>4732.2446798822493</v>
      </c>
      <c r="IN43" s="15">
        <f t="shared" si="69"/>
        <v>3.8218907655439845E-2</v>
      </c>
      <c r="IO43" s="28">
        <f t="shared" si="70"/>
        <v>3.5499859381801282</v>
      </c>
      <c r="IP43" s="28">
        <f t="shared" si="71"/>
        <v>92.885593962674264</v>
      </c>
      <c r="IQ43" s="33"/>
      <c r="IU43" s="31"/>
      <c r="JC43" s="35">
        <f t="shared" si="18"/>
        <v>0</v>
      </c>
      <c r="JD43" s="35">
        <f t="shared" si="19"/>
        <v>4136.8436490080003</v>
      </c>
      <c r="JE43" s="15" t="e">
        <f t="shared" si="72"/>
        <v>#DIV/0!</v>
      </c>
      <c r="JF43" s="28">
        <f t="shared" si="73"/>
        <v>0</v>
      </c>
      <c r="JG43" s="28">
        <f t="shared" si="74"/>
        <v>0</v>
      </c>
      <c r="JH43" s="33"/>
      <c r="JL43" s="31"/>
      <c r="JR43" s="99"/>
      <c r="JS43" s="99"/>
      <c r="JT43" s="99"/>
      <c r="JU43" s="99"/>
      <c r="JV43" s="99"/>
      <c r="JW43" s="99"/>
      <c r="JX43" s="99"/>
      <c r="JY43" s="99"/>
      <c r="JZ43" s="99"/>
      <c r="KA43" s="99"/>
      <c r="KB43" s="99"/>
      <c r="KC43" s="99"/>
      <c r="KD43" s="99"/>
      <c r="KE43" s="99"/>
      <c r="KF43" s="99"/>
      <c r="KG43" s="99"/>
      <c r="KH43" s="99"/>
      <c r="KI43" s="99"/>
      <c r="KJ43" s="99"/>
      <c r="KK43" s="99"/>
      <c r="KL43" s="99"/>
      <c r="KM43" s="99"/>
      <c r="KN43" s="99"/>
      <c r="KO43" s="99"/>
      <c r="KP43" s="99"/>
      <c r="KQ43" s="99"/>
      <c r="KR43" s="99"/>
      <c r="KS43" s="99"/>
      <c r="KT43" s="99"/>
      <c r="KU43" s="99"/>
      <c r="KV43" s="99"/>
      <c r="KW43" s="99"/>
      <c r="KX43" s="99"/>
      <c r="KY43" s="99"/>
      <c r="KZ43" s="99"/>
      <c r="LA43" s="99"/>
      <c r="LB43" s="99"/>
      <c r="LC43" s="99"/>
      <c r="LD43" s="99"/>
      <c r="LE43" s="99"/>
      <c r="LF43" s="99"/>
      <c r="LG43" s="99"/>
      <c r="LH43" s="99"/>
      <c r="LI43" s="99"/>
      <c r="LJ43" s="99"/>
      <c r="LK43" s="99"/>
      <c r="LL43" s="99"/>
      <c r="LM43" s="99"/>
      <c r="LN43" s="99"/>
      <c r="LO43" s="99"/>
      <c r="LP43" s="99"/>
      <c r="LQ43" s="99"/>
      <c r="LR43" s="99"/>
      <c r="LS43" s="99"/>
      <c r="LT43" s="99"/>
      <c r="LU43" s="99"/>
      <c r="LV43" s="99"/>
      <c r="LW43" s="99"/>
      <c r="LX43" s="99"/>
      <c r="LY43" s="99"/>
      <c r="LZ43" s="99"/>
      <c r="MA43" s="99"/>
      <c r="MB43" s="99"/>
      <c r="MC43" s="99"/>
      <c r="MD43" s="99"/>
      <c r="ME43" s="99"/>
      <c r="MF43" s="99"/>
    </row>
    <row r="44" spans="1:344" ht="17.25" customHeight="1" x14ac:dyDescent="0.25">
      <c r="A44" s="156"/>
      <c r="B44" s="81" t="s">
        <v>6</v>
      </c>
      <c r="C44" s="82">
        <v>45178</v>
      </c>
      <c r="D44" s="49">
        <v>12</v>
      </c>
      <c r="F44" s="103">
        <v>52</v>
      </c>
      <c r="G44" s="89">
        <f t="shared" si="0"/>
        <v>5.8863636363636367</v>
      </c>
      <c r="H44" s="35">
        <f t="shared" si="1"/>
        <v>306.09090909090912</v>
      </c>
      <c r="I44" s="39"/>
      <c r="L44" s="89">
        <f t="shared" si="2"/>
        <v>0</v>
      </c>
      <c r="M44" s="35">
        <f t="shared" si="20"/>
        <v>0</v>
      </c>
      <c r="N44" s="35">
        <f t="shared" si="21"/>
        <v>306.09090909090912</v>
      </c>
      <c r="O44" s="97"/>
      <c r="P44" s="150"/>
      <c r="W44" s="11">
        <v>8</v>
      </c>
      <c r="X44" s="1">
        <v>0</v>
      </c>
      <c r="Y44" s="35">
        <f t="shared" si="3"/>
        <v>416</v>
      </c>
      <c r="Z44" s="35">
        <f t="shared" si="22"/>
        <v>0</v>
      </c>
      <c r="AA44" s="15">
        <f t="shared" si="80"/>
        <v>0.88543472360624997</v>
      </c>
      <c r="AB44" s="43">
        <f t="shared" si="81"/>
        <v>308.61945416464914</v>
      </c>
      <c r="AC44" s="43">
        <f t="shared" si="82"/>
        <v>348.55133409234946</v>
      </c>
      <c r="AD44" s="33"/>
      <c r="AH44" s="31"/>
      <c r="AN44" s="11">
        <v>6</v>
      </c>
      <c r="AP44" s="35">
        <f t="shared" si="4"/>
        <v>312</v>
      </c>
      <c r="AQ44" s="35">
        <f t="shared" si="23"/>
        <v>0</v>
      </c>
      <c r="AR44" s="15">
        <f t="shared" si="83"/>
        <v>0.99313718967994635</v>
      </c>
      <c r="AS44" s="28">
        <f t="shared" si="37"/>
        <v>436.9992551766336</v>
      </c>
      <c r="AT44" s="28">
        <f t="shared" si="38"/>
        <v>440.01902226364444</v>
      </c>
      <c r="AU44" s="33"/>
      <c r="AY44" s="31"/>
      <c r="BE44" s="11">
        <v>4.8499999999999996</v>
      </c>
      <c r="BG44" s="35">
        <f t="shared" si="5"/>
        <v>252.2</v>
      </c>
      <c r="BH44" s="35">
        <f t="shared" si="24"/>
        <v>0</v>
      </c>
      <c r="BI44" s="15">
        <f t="shared" si="39"/>
        <v>1.228123545049403</v>
      </c>
      <c r="BJ44" s="28">
        <f t="shared" si="40"/>
        <v>370.29207491908403</v>
      </c>
      <c r="BK44" s="28">
        <f t="shared" si="41"/>
        <v>301.51044364529997</v>
      </c>
      <c r="BL44" s="33"/>
      <c r="BP44" s="31"/>
      <c r="BV44" s="11">
        <v>5</v>
      </c>
      <c r="BX44" s="35">
        <f t="shared" si="6"/>
        <v>260</v>
      </c>
      <c r="BY44" s="35">
        <f t="shared" si="25"/>
        <v>0</v>
      </c>
      <c r="BZ44" s="15">
        <f t="shared" si="42"/>
        <v>1.0156333985003041</v>
      </c>
      <c r="CA44" s="28">
        <f t="shared" si="43"/>
        <v>440.80848409308993</v>
      </c>
      <c r="CB44" s="28">
        <f t="shared" si="44"/>
        <v>434.02322604198793</v>
      </c>
      <c r="CC44" s="33"/>
      <c r="CG44" s="31"/>
      <c r="CM44" s="11">
        <v>5</v>
      </c>
      <c r="CO44" s="35">
        <f t="shared" si="7"/>
        <v>260</v>
      </c>
      <c r="CP44" s="35">
        <f t="shared" si="26"/>
        <v>0</v>
      </c>
      <c r="CQ44" s="15">
        <f t="shared" si="45"/>
        <v>1.0319324831498753</v>
      </c>
      <c r="CR44" s="28">
        <f t="shared" si="46"/>
        <v>394.44180845525761</v>
      </c>
      <c r="CS44" s="28">
        <f t="shared" si="47"/>
        <v>382.23606185092814</v>
      </c>
      <c r="CT44" s="33"/>
      <c r="CX44" s="31"/>
      <c r="DD44" s="11">
        <v>5.5</v>
      </c>
      <c r="DF44" s="35">
        <f t="shared" si="8"/>
        <v>286</v>
      </c>
      <c r="DG44" s="35">
        <f t="shared" si="27"/>
        <v>0</v>
      </c>
      <c r="DH44" s="15">
        <f t="shared" si="48"/>
        <v>1.034098746866648</v>
      </c>
      <c r="DI44" s="28">
        <f t="shared" si="49"/>
        <v>397.66537383763307</v>
      </c>
      <c r="DJ44" s="28">
        <f t="shared" si="50"/>
        <v>384.55261167521166</v>
      </c>
      <c r="DK44" s="33"/>
      <c r="DO44" s="31"/>
      <c r="DU44" s="11">
        <v>5.9</v>
      </c>
      <c r="DW44" s="35">
        <f t="shared" si="9"/>
        <v>306.8</v>
      </c>
      <c r="DX44" s="35">
        <f t="shared" si="28"/>
        <v>0</v>
      </c>
      <c r="DY44" s="15">
        <f t="shared" si="51"/>
        <v>1.0086598703445411</v>
      </c>
      <c r="DZ44" s="28">
        <f t="shared" si="52"/>
        <v>381.8153428249899</v>
      </c>
      <c r="EA44" s="28">
        <f t="shared" si="53"/>
        <v>378.53725923939879</v>
      </c>
      <c r="EB44" s="33"/>
      <c r="EF44" s="31"/>
      <c r="EL44" s="11">
        <v>5</v>
      </c>
      <c r="EN44" s="35">
        <f t="shared" si="10"/>
        <v>260</v>
      </c>
      <c r="EO44" s="35">
        <f t="shared" si="29"/>
        <v>0</v>
      </c>
      <c r="EP44" s="15">
        <f t="shared" si="85"/>
        <v>0.82753078846090888</v>
      </c>
      <c r="EQ44" s="28">
        <f t="shared" si="54"/>
        <v>348.29299926757813</v>
      </c>
      <c r="ER44" s="28">
        <f t="shared" si="55"/>
        <v>420.88222471499125</v>
      </c>
      <c r="ES44" s="33"/>
      <c r="EW44" s="31"/>
      <c r="FC44" s="11">
        <v>6</v>
      </c>
      <c r="FE44" s="35">
        <f t="shared" si="11"/>
        <v>312</v>
      </c>
      <c r="FF44" s="35">
        <f t="shared" si="30"/>
        <v>0</v>
      </c>
      <c r="FG44" s="15">
        <f t="shared" si="56"/>
        <v>1.0206173166989854</v>
      </c>
      <c r="FH44" s="28">
        <f t="shared" si="57"/>
        <v>432.65330768555361</v>
      </c>
      <c r="FI44" s="28">
        <f t="shared" si="58"/>
        <v>423.9133518573816</v>
      </c>
      <c r="FJ44" s="33"/>
      <c r="FN44" s="31"/>
      <c r="FT44" s="11">
        <v>8</v>
      </c>
      <c r="FV44" s="35">
        <f t="shared" si="12"/>
        <v>416</v>
      </c>
      <c r="FW44" s="35">
        <f t="shared" si="31"/>
        <v>0</v>
      </c>
      <c r="FX44" s="15">
        <f t="shared" si="87"/>
        <v>0.9723723510169251</v>
      </c>
      <c r="FY44" s="28">
        <f t="shared" si="59"/>
        <v>471.5</v>
      </c>
      <c r="FZ44" s="28">
        <f t="shared" si="60"/>
        <v>484.89655172413791</v>
      </c>
      <c r="GA44" s="33"/>
      <c r="GE44" s="31"/>
      <c r="GK44" s="11">
        <v>5.5</v>
      </c>
      <c r="GM44" s="35">
        <f t="shared" si="13"/>
        <v>286</v>
      </c>
      <c r="GN44" s="35">
        <f t="shared" si="32"/>
        <v>0</v>
      </c>
      <c r="GO44" s="15">
        <f t="shared" si="77"/>
        <v>0.76351399431535794</v>
      </c>
      <c r="GP44" s="28">
        <f t="shared" si="61"/>
        <v>450.07177418219908</v>
      </c>
      <c r="GQ44" s="28">
        <f t="shared" si="62"/>
        <v>589.47416489173577</v>
      </c>
      <c r="GR44" s="33"/>
      <c r="GV44" s="31"/>
      <c r="HB44" s="11">
        <v>5.5</v>
      </c>
      <c r="HD44" s="35">
        <f t="shared" si="14"/>
        <v>286</v>
      </c>
      <c r="HE44" s="35">
        <f t="shared" si="33"/>
        <v>0</v>
      </c>
      <c r="HF44" s="15">
        <f t="shared" si="63"/>
        <v>1.0883283264508854</v>
      </c>
      <c r="HG44" s="28">
        <f t="shared" si="64"/>
        <v>381.5065046505967</v>
      </c>
      <c r="HH44" s="28">
        <f t="shared" si="65"/>
        <v>350.54357713422382</v>
      </c>
      <c r="HI44" s="33"/>
      <c r="HM44" s="31"/>
      <c r="HU44" s="35">
        <f t="shared" si="15"/>
        <v>0</v>
      </c>
      <c r="HV44" s="35">
        <f t="shared" si="34"/>
        <v>0</v>
      </c>
      <c r="HW44" s="15">
        <f t="shared" si="66"/>
        <v>0.53683301139680795</v>
      </c>
      <c r="HX44" s="28">
        <f t="shared" si="67"/>
        <v>111.35190899469166</v>
      </c>
      <c r="HY44" s="28">
        <f t="shared" si="68"/>
        <v>207.42373630295302</v>
      </c>
      <c r="HZ44" s="33"/>
      <c r="ID44" s="31"/>
      <c r="II44" s="12"/>
      <c r="IL44" s="35">
        <f t="shared" si="16"/>
        <v>0</v>
      </c>
      <c r="IM44" s="35">
        <f t="shared" si="17"/>
        <v>4196.3969667778001</v>
      </c>
      <c r="IN44" s="15">
        <f t="shared" si="69"/>
        <v>3.0787453389104318E-2</v>
      </c>
      <c r="IO44" s="28">
        <f t="shared" si="70"/>
        <v>2.662489453635096</v>
      </c>
      <c r="IP44" s="28">
        <f t="shared" si="71"/>
        <v>86.479690930765685</v>
      </c>
      <c r="IQ44" s="33"/>
      <c r="IU44" s="31"/>
      <c r="JC44" s="35">
        <f t="shared" si="18"/>
        <v>0</v>
      </c>
      <c r="JD44" s="35">
        <f t="shared" si="19"/>
        <v>3752.0433405251206</v>
      </c>
      <c r="JE44" s="15" t="e">
        <f t="shared" si="72"/>
        <v>#DIV/0!</v>
      </c>
      <c r="JF44" s="28">
        <f t="shared" si="73"/>
        <v>0</v>
      </c>
      <c r="JG44" s="28">
        <f t="shared" si="74"/>
        <v>0</v>
      </c>
      <c r="JH44" s="33"/>
      <c r="JL44" s="31"/>
      <c r="JR44" s="99"/>
      <c r="JS44" s="99"/>
      <c r="JT44" s="99"/>
      <c r="JU44" s="99"/>
      <c r="JV44" s="99"/>
      <c r="JW44" s="99"/>
      <c r="JX44" s="99"/>
      <c r="JY44" s="99"/>
      <c r="JZ44" s="99"/>
      <c r="KA44" s="99"/>
      <c r="KB44" s="99"/>
      <c r="KC44" s="99"/>
      <c r="KD44" s="99"/>
      <c r="KE44" s="99"/>
      <c r="KF44" s="99"/>
      <c r="KG44" s="99"/>
      <c r="KH44" s="99"/>
      <c r="KI44" s="99"/>
      <c r="KJ44" s="99"/>
      <c r="KK44" s="99"/>
      <c r="KL44" s="99"/>
      <c r="KM44" s="99"/>
      <c r="KN44" s="99"/>
      <c r="KO44" s="99"/>
      <c r="KP44" s="99"/>
      <c r="KQ44" s="99"/>
      <c r="KR44" s="99"/>
      <c r="KS44" s="99"/>
      <c r="KT44" s="99"/>
      <c r="KU44" s="99"/>
      <c r="KV44" s="99"/>
      <c r="KW44" s="99"/>
      <c r="KX44" s="99"/>
      <c r="KY44" s="99"/>
      <c r="KZ44" s="99"/>
      <c r="LA44" s="99"/>
      <c r="LB44" s="99"/>
      <c r="LC44" s="99"/>
      <c r="LD44" s="99"/>
      <c r="LE44" s="99"/>
      <c r="LF44" s="99"/>
      <c r="LG44" s="99"/>
      <c r="LH44" s="99"/>
      <c r="LI44" s="99"/>
      <c r="LJ44" s="99"/>
      <c r="LK44" s="99"/>
      <c r="LL44" s="99"/>
      <c r="LM44" s="99"/>
      <c r="LN44" s="99"/>
      <c r="LO44" s="99"/>
      <c r="LP44" s="99"/>
      <c r="LQ44" s="99"/>
      <c r="LR44" s="99"/>
      <c r="LS44" s="99"/>
      <c r="LT44" s="99"/>
      <c r="LU44" s="99"/>
      <c r="LV44" s="99"/>
      <c r="LW44" s="99"/>
      <c r="LX44" s="99"/>
      <c r="LY44" s="99"/>
      <c r="LZ44" s="99"/>
      <c r="MA44" s="99"/>
      <c r="MB44" s="99"/>
      <c r="MC44" s="99"/>
      <c r="MD44" s="99"/>
      <c r="ME44" s="99"/>
      <c r="MF44" s="99"/>
    </row>
    <row r="45" spans="1:344" ht="17.25" customHeight="1" x14ac:dyDescent="0.25">
      <c r="A45" s="157"/>
      <c r="B45" s="92" t="s">
        <v>7</v>
      </c>
      <c r="C45" s="93">
        <v>45179</v>
      </c>
      <c r="D45" s="51"/>
      <c r="E45" s="48"/>
      <c r="F45" s="104"/>
      <c r="G45" s="37">
        <f t="shared" si="0"/>
        <v>0</v>
      </c>
      <c r="H45" s="26">
        <f t="shared" si="1"/>
        <v>0</v>
      </c>
      <c r="I45" s="48">
        <v>12</v>
      </c>
      <c r="J45" s="48"/>
      <c r="K45" s="104">
        <v>100</v>
      </c>
      <c r="L45" s="37">
        <f t="shared" si="2"/>
        <v>7.4799999999999995</v>
      </c>
      <c r="M45" s="26">
        <f t="shared" si="20"/>
        <v>748</v>
      </c>
      <c r="N45" s="26">
        <f t="shared" si="21"/>
        <v>748</v>
      </c>
      <c r="O45" s="98"/>
      <c r="P45" s="151"/>
      <c r="Q45" s="125"/>
      <c r="R45" s="115"/>
      <c r="S45" s="130"/>
      <c r="T45" s="110"/>
      <c r="U45" s="120"/>
      <c r="V45" s="23"/>
      <c r="W45" s="13">
        <v>0</v>
      </c>
      <c r="X45" s="2">
        <v>8.5</v>
      </c>
      <c r="Y45" s="26">
        <f t="shared" si="3"/>
        <v>850</v>
      </c>
      <c r="Z45" s="26">
        <f t="shared" si="22"/>
        <v>0</v>
      </c>
      <c r="AA45" s="16">
        <f t="shared" si="80"/>
        <v>1.1587710560916489</v>
      </c>
      <c r="AB45" s="44">
        <f t="shared" si="81"/>
        <v>443.96459062348686</v>
      </c>
      <c r="AC45" s="44">
        <f t="shared" si="82"/>
        <v>383.13400070667024</v>
      </c>
      <c r="AD45" s="34"/>
      <c r="AE45" s="4"/>
      <c r="AF45" s="5"/>
      <c r="AG45" s="6"/>
      <c r="AH45" s="32"/>
      <c r="AI45" s="3"/>
      <c r="AJ45" s="4"/>
      <c r="AK45" s="5"/>
      <c r="AL45" s="6"/>
      <c r="AM45" s="14"/>
      <c r="AN45" s="13"/>
      <c r="AO45" s="2">
        <v>6</v>
      </c>
      <c r="AP45" s="26">
        <f t="shared" si="4"/>
        <v>600</v>
      </c>
      <c r="AQ45" s="26">
        <f t="shared" si="23"/>
        <v>0</v>
      </c>
      <c r="AR45" s="16">
        <f t="shared" si="83"/>
        <v>1.0591888225938759</v>
      </c>
      <c r="AS45" s="29">
        <f t="shared" si="37"/>
        <v>477.7494413824752</v>
      </c>
      <c r="AT45" s="29">
        <f t="shared" si="38"/>
        <v>451.05219314201383</v>
      </c>
      <c r="AU45" s="34"/>
      <c r="AV45" s="4"/>
      <c r="AW45" s="5"/>
      <c r="AX45" s="6"/>
      <c r="AY45" s="32"/>
      <c r="AZ45" s="3"/>
      <c r="BA45" s="4"/>
      <c r="BB45" s="5"/>
      <c r="BC45" s="6"/>
      <c r="BD45" s="14"/>
      <c r="BE45" s="13"/>
      <c r="BF45" s="2"/>
      <c r="BG45" s="26">
        <f t="shared" si="5"/>
        <v>0</v>
      </c>
      <c r="BH45" s="26">
        <f t="shared" si="24"/>
        <v>0</v>
      </c>
      <c r="BI45" s="16">
        <f t="shared" si="39"/>
        <v>0.98932174462313016</v>
      </c>
      <c r="BJ45" s="29">
        <f t="shared" si="40"/>
        <v>277.71905618931305</v>
      </c>
      <c r="BK45" s="29">
        <f t="shared" si="41"/>
        <v>280.71661994562413</v>
      </c>
      <c r="BL45" s="34"/>
      <c r="BM45" s="4"/>
      <c r="BN45" s="5"/>
      <c r="BO45" s="6"/>
      <c r="BP45" s="32"/>
      <c r="BQ45" s="3"/>
      <c r="BR45" s="4"/>
      <c r="BS45" s="5"/>
      <c r="BT45" s="6"/>
      <c r="BU45" s="14"/>
      <c r="BV45" s="13"/>
      <c r="BW45" s="2">
        <v>9</v>
      </c>
      <c r="BX45" s="26">
        <f t="shared" si="6"/>
        <v>900</v>
      </c>
      <c r="BY45" s="26">
        <f t="shared" si="25"/>
        <v>0</v>
      </c>
      <c r="BZ45" s="16">
        <f t="shared" si="42"/>
        <v>1.1918802409521114</v>
      </c>
      <c r="CA45" s="29">
        <f t="shared" si="43"/>
        <v>555.60636306981746</v>
      </c>
      <c r="CB45" s="29">
        <f t="shared" si="44"/>
        <v>466.15955528047152</v>
      </c>
      <c r="CC45" s="34"/>
      <c r="CD45" s="4"/>
      <c r="CE45" s="5"/>
      <c r="CF45" s="6"/>
      <c r="CG45" s="32"/>
      <c r="CH45" s="3"/>
      <c r="CI45" s="4"/>
      <c r="CJ45" s="5"/>
      <c r="CK45" s="6"/>
      <c r="CL45" s="14"/>
      <c r="CM45" s="13"/>
      <c r="CN45" s="2">
        <v>6.5</v>
      </c>
      <c r="CO45" s="26">
        <f t="shared" si="7"/>
        <v>650</v>
      </c>
      <c r="CP45" s="26">
        <f t="shared" si="26"/>
        <v>0</v>
      </c>
      <c r="CQ45" s="16">
        <f t="shared" si="45"/>
        <v>1.1438194425920194</v>
      </c>
      <c r="CR45" s="29">
        <f t="shared" si="46"/>
        <v>458.33135634144321</v>
      </c>
      <c r="CS45" s="29">
        <f t="shared" si="47"/>
        <v>400.7025403439676</v>
      </c>
      <c r="CT45" s="34"/>
      <c r="CU45" s="4"/>
      <c r="CV45" s="5"/>
      <c r="CW45" s="6"/>
      <c r="CX45" s="32"/>
      <c r="CY45" s="3"/>
      <c r="CZ45" s="4"/>
      <c r="DA45" s="5"/>
      <c r="DB45" s="6"/>
      <c r="DC45" s="14"/>
      <c r="DD45" s="13"/>
      <c r="DE45" s="2">
        <v>7</v>
      </c>
      <c r="DF45" s="26">
        <f t="shared" si="8"/>
        <v>700</v>
      </c>
      <c r="DG45" s="26">
        <f t="shared" si="27"/>
        <v>0</v>
      </c>
      <c r="DH45" s="16">
        <f t="shared" si="48"/>
        <v>1.1647555343540221</v>
      </c>
      <c r="DI45" s="29">
        <f t="shared" si="49"/>
        <v>473.2490303782248</v>
      </c>
      <c r="DJ45" s="29">
        <f t="shared" si="50"/>
        <v>406.30760397347291</v>
      </c>
      <c r="DK45" s="34"/>
      <c r="DL45" s="4"/>
      <c r="DM45" s="5"/>
      <c r="DN45" s="6"/>
      <c r="DO45" s="32"/>
      <c r="DP45" s="3"/>
      <c r="DQ45" s="4"/>
      <c r="DR45" s="5"/>
      <c r="DS45" s="6"/>
      <c r="DT45" s="14"/>
      <c r="DU45" s="13"/>
      <c r="DV45" s="2">
        <v>7.8</v>
      </c>
      <c r="DW45" s="26">
        <f t="shared" si="9"/>
        <v>780</v>
      </c>
      <c r="DX45" s="26">
        <f t="shared" si="28"/>
        <v>0</v>
      </c>
      <c r="DY45" s="16">
        <f t="shared" si="51"/>
        <v>1.1849646956657844</v>
      </c>
      <c r="DZ45" s="29">
        <f t="shared" si="52"/>
        <v>481.36150711874245</v>
      </c>
      <c r="EA45" s="29">
        <f t="shared" si="53"/>
        <v>406.22434480909544</v>
      </c>
      <c r="EB45" s="34"/>
      <c r="EC45" s="4"/>
      <c r="ED45" s="5"/>
      <c r="EE45" s="6"/>
      <c r="EF45" s="32"/>
      <c r="EG45" s="3"/>
      <c r="EH45" s="4"/>
      <c r="EI45" s="5"/>
      <c r="EJ45" s="6"/>
      <c r="EK45" s="14"/>
      <c r="EL45" s="13"/>
      <c r="EM45" s="2">
        <v>8</v>
      </c>
      <c r="EN45" s="26">
        <f t="shared" si="10"/>
        <v>800</v>
      </c>
      <c r="EO45" s="26">
        <f t="shared" si="29"/>
        <v>0</v>
      </c>
      <c r="EP45" s="16">
        <f t="shared" si="85"/>
        <v>1.0317462495335779</v>
      </c>
      <c r="EQ45" s="29">
        <f t="shared" si="54"/>
        <v>461.21974945068359</v>
      </c>
      <c r="ER45" s="29">
        <f t="shared" si="55"/>
        <v>447.02827818292286</v>
      </c>
      <c r="ES45" s="34"/>
      <c r="ET45" s="4"/>
      <c r="EU45" s="5"/>
      <c r="EV45" s="6"/>
      <c r="EW45" s="32"/>
      <c r="EX45" s="3"/>
      <c r="EY45" s="4"/>
      <c r="EZ45" s="5"/>
      <c r="FA45" s="6"/>
      <c r="FB45" s="14"/>
      <c r="FC45" s="13"/>
      <c r="FD45" s="2">
        <v>6</v>
      </c>
      <c r="FE45" s="26">
        <f t="shared" si="11"/>
        <v>600</v>
      </c>
      <c r="FF45" s="26">
        <f t="shared" si="30"/>
        <v>0</v>
      </c>
      <c r="FG45" s="16">
        <f t="shared" si="56"/>
        <v>1.0881368705097161</v>
      </c>
      <c r="FH45" s="29">
        <f t="shared" si="57"/>
        <v>474.48998076416524</v>
      </c>
      <c r="FI45" s="29">
        <f t="shared" si="58"/>
        <v>436.05725862583802</v>
      </c>
      <c r="FJ45" s="34"/>
      <c r="FK45" s="4"/>
      <c r="FL45" s="5"/>
      <c r="FM45" s="6"/>
      <c r="FN45" s="32"/>
      <c r="FO45" s="3"/>
      <c r="FP45" s="4"/>
      <c r="FQ45" s="5"/>
      <c r="FR45" s="6"/>
      <c r="FS45" s="14"/>
      <c r="FT45" s="13"/>
      <c r="FU45" s="2">
        <v>8</v>
      </c>
      <c r="FV45" s="26">
        <f t="shared" si="12"/>
        <v>800</v>
      </c>
      <c r="FW45" s="26">
        <f t="shared" si="31"/>
        <v>0</v>
      </c>
      <c r="FX45" s="16">
        <f t="shared" si="87"/>
        <v>1.0927646958040154</v>
      </c>
      <c r="FY45" s="29">
        <f t="shared" si="59"/>
        <v>553.625</v>
      </c>
      <c r="FZ45" s="29">
        <f t="shared" si="60"/>
        <v>506.6278240190249</v>
      </c>
      <c r="GA45" s="34"/>
      <c r="GB45" s="4"/>
      <c r="GC45" s="5"/>
      <c r="GD45" s="6"/>
      <c r="GE45" s="32"/>
      <c r="GF45" s="3"/>
      <c r="GG45" s="4"/>
      <c r="GH45" s="5"/>
      <c r="GI45" s="6"/>
      <c r="GJ45" s="14"/>
      <c r="GK45" s="13"/>
      <c r="GL45" s="2">
        <v>8</v>
      </c>
      <c r="GM45" s="26">
        <f t="shared" si="13"/>
        <v>800</v>
      </c>
      <c r="GN45" s="26">
        <f t="shared" si="32"/>
        <v>0</v>
      </c>
      <c r="GO45" s="16">
        <f t="shared" si="77"/>
        <v>0.88999982336603822</v>
      </c>
      <c r="GP45" s="29">
        <f t="shared" si="61"/>
        <v>537.55383063664931</v>
      </c>
      <c r="GQ45" s="29">
        <f t="shared" si="62"/>
        <v>603.99318800265053</v>
      </c>
      <c r="GR45" s="34"/>
      <c r="GS45" s="4"/>
      <c r="GT45" s="5"/>
      <c r="GU45" s="6"/>
      <c r="GV45" s="32"/>
      <c r="GW45" s="3"/>
      <c r="GX45" s="4"/>
      <c r="GY45" s="5"/>
      <c r="GZ45" s="6"/>
      <c r="HA45" s="14"/>
      <c r="HB45" s="13"/>
      <c r="HC45" s="2">
        <v>4</v>
      </c>
      <c r="HD45" s="26">
        <f t="shared" si="14"/>
        <v>400</v>
      </c>
      <c r="HE45" s="26">
        <f t="shared" si="33"/>
        <v>0</v>
      </c>
      <c r="HF45" s="16">
        <f t="shared" si="63"/>
        <v>1.0909029998184221</v>
      </c>
      <c r="HG45" s="29">
        <f t="shared" si="64"/>
        <v>386.12987848794751</v>
      </c>
      <c r="HH45" s="29">
        <f t="shared" si="65"/>
        <v>353.95436491807044</v>
      </c>
      <c r="HI45" s="34"/>
      <c r="HJ45" s="4"/>
      <c r="HK45" s="5"/>
      <c r="HL45" s="6"/>
      <c r="HM45" s="32"/>
      <c r="HN45" s="3"/>
      <c r="HO45" s="4"/>
      <c r="HP45" s="5"/>
      <c r="HQ45" s="6"/>
      <c r="HR45" s="14"/>
      <c r="HS45" s="13"/>
      <c r="HT45" s="2"/>
      <c r="HU45" s="26">
        <f t="shared" si="15"/>
        <v>0</v>
      </c>
      <c r="HV45" s="26">
        <f t="shared" si="34"/>
        <v>0</v>
      </c>
      <c r="HW45" s="16">
        <f t="shared" si="66"/>
        <v>0.43244881473631747</v>
      </c>
      <c r="HX45" s="29">
        <f t="shared" si="67"/>
        <v>83.513931746018741</v>
      </c>
      <c r="HY45" s="29">
        <f t="shared" si="68"/>
        <v>193.11865104068039</v>
      </c>
      <c r="HZ45" s="34"/>
      <c r="IA45" s="4"/>
      <c r="IB45" s="5"/>
      <c r="IC45" s="6"/>
      <c r="ID45" s="32"/>
      <c r="IE45" s="3"/>
      <c r="IF45" s="4"/>
      <c r="IG45" s="5"/>
      <c r="IH45" s="6"/>
      <c r="II45" s="14"/>
      <c r="IJ45" s="13"/>
      <c r="IK45" s="2"/>
      <c r="IL45" s="26">
        <f t="shared" si="16"/>
        <v>0</v>
      </c>
      <c r="IM45" s="26">
        <f t="shared" si="17"/>
        <v>5456.7988694044834</v>
      </c>
      <c r="IN45" s="16">
        <f t="shared" si="69"/>
        <v>2.48010041190007E-2</v>
      </c>
      <c r="IO45" s="29">
        <f t="shared" si="70"/>
        <v>1.9968670902263219</v>
      </c>
      <c r="IP45" s="29">
        <f t="shared" si="71"/>
        <v>80.515574314850809</v>
      </c>
      <c r="IQ45" s="34"/>
      <c r="IR45" s="4"/>
      <c r="IS45" s="5"/>
      <c r="IT45" s="6"/>
      <c r="IU45" s="32"/>
      <c r="IV45" s="3"/>
      <c r="IW45" s="4"/>
      <c r="IX45" s="5"/>
      <c r="IY45" s="6"/>
      <c r="IZ45" s="14"/>
      <c r="JA45" s="13"/>
      <c r="JB45" s="2"/>
      <c r="JC45" s="26">
        <f t="shared" si="18"/>
        <v>0</v>
      </c>
      <c r="JD45" s="26">
        <f t="shared" si="19"/>
        <v>4490.2695854133872</v>
      </c>
      <c r="JE45" s="16" t="e">
        <f t="shared" si="72"/>
        <v>#DIV/0!</v>
      </c>
      <c r="JF45" s="29">
        <f t="shared" si="73"/>
        <v>0</v>
      </c>
      <c r="JG45" s="29">
        <f t="shared" si="74"/>
        <v>0</v>
      </c>
      <c r="JH45" s="34"/>
      <c r="JI45" s="4"/>
      <c r="JJ45" s="5"/>
      <c r="JK45" s="6"/>
      <c r="JL45" s="32"/>
      <c r="JM45" s="3"/>
      <c r="JN45" s="4"/>
      <c r="JO45" s="5"/>
      <c r="JP45" s="6"/>
      <c r="JQ45" s="14"/>
      <c r="JR45" s="99"/>
      <c r="JS45" s="99"/>
      <c r="JT45" s="99"/>
      <c r="JU45" s="99"/>
      <c r="JV45" s="99"/>
      <c r="JW45" s="99"/>
      <c r="JX45" s="99"/>
      <c r="JY45" s="99"/>
      <c r="JZ45" s="99"/>
      <c r="KA45" s="99"/>
      <c r="KB45" s="99"/>
      <c r="KC45" s="99"/>
      <c r="KD45" s="99"/>
      <c r="KE45" s="99"/>
      <c r="KF45" s="99"/>
      <c r="KG45" s="99"/>
      <c r="KH45" s="99"/>
      <c r="KI45" s="99"/>
      <c r="KJ45" s="99"/>
      <c r="KK45" s="99"/>
      <c r="KL45" s="99"/>
      <c r="KM45" s="99"/>
      <c r="KN45" s="99"/>
      <c r="KO45" s="99"/>
      <c r="KP45" s="99"/>
      <c r="KQ45" s="99"/>
      <c r="KR45" s="99"/>
      <c r="KS45" s="99"/>
      <c r="KT45" s="99"/>
      <c r="KU45" s="99"/>
      <c r="KV45" s="99"/>
      <c r="KW45" s="99"/>
      <c r="KX45" s="99"/>
      <c r="KY45" s="99"/>
      <c r="KZ45" s="99"/>
      <c r="LA45" s="99"/>
      <c r="LB45" s="99"/>
      <c r="LC45" s="99"/>
      <c r="LD45" s="99"/>
      <c r="LE45" s="99"/>
      <c r="LF45" s="99"/>
      <c r="LG45" s="99"/>
      <c r="LH45" s="99"/>
      <c r="LI45" s="99"/>
      <c r="LJ45" s="99"/>
      <c r="LK45" s="99"/>
      <c r="LL45" s="99"/>
      <c r="LM45" s="99"/>
      <c r="LN45" s="99"/>
      <c r="LO45" s="99"/>
      <c r="LP45" s="99"/>
      <c r="LQ45" s="99"/>
      <c r="LR45" s="99"/>
      <c r="LS45" s="99"/>
      <c r="LT45" s="99"/>
      <c r="LU45" s="99"/>
      <c r="LV45" s="99"/>
      <c r="LW45" s="99"/>
      <c r="LX45" s="99"/>
      <c r="LY45" s="99"/>
      <c r="LZ45" s="99"/>
      <c r="MA45" s="99"/>
      <c r="MB45" s="99"/>
      <c r="MC45" s="99"/>
      <c r="MD45" s="99"/>
      <c r="ME45" s="99"/>
      <c r="MF45" s="99"/>
    </row>
    <row r="46" spans="1:344" ht="17.25" customHeight="1" x14ac:dyDescent="0.25">
      <c r="A46" s="155" t="s">
        <v>12</v>
      </c>
      <c r="B46" s="79" t="s">
        <v>1</v>
      </c>
      <c r="C46" s="80">
        <v>45180</v>
      </c>
      <c r="D46" s="50"/>
      <c r="G46" s="36">
        <f t="shared" si="0"/>
        <v>0</v>
      </c>
      <c r="H46" s="27">
        <f t="shared" si="1"/>
        <v>0</v>
      </c>
      <c r="I46" s="47"/>
      <c r="K46" s="105"/>
      <c r="L46" s="89">
        <f t="shared" si="2"/>
        <v>0</v>
      </c>
      <c r="M46" s="27">
        <f t="shared" si="20"/>
        <v>0</v>
      </c>
      <c r="N46" s="35">
        <f t="shared" si="21"/>
        <v>0</v>
      </c>
      <c r="O46" s="97"/>
      <c r="P46" s="149">
        <f t="shared" ref="P46" si="88">SUM(N46:N52)</f>
        <v>2449.7636363636366</v>
      </c>
      <c r="W46" s="11">
        <v>0</v>
      </c>
      <c r="X46" s="1">
        <v>0</v>
      </c>
      <c r="Y46" s="27">
        <f t="shared" si="3"/>
        <v>0</v>
      </c>
      <c r="Z46" s="27">
        <f t="shared" si="22"/>
        <v>0</v>
      </c>
      <c r="AA46" s="15">
        <f t="shared" si="80"/>
        <v>0.93345446185160619</v>
      </c>
      <c r="AB46" s="43">
        <f t="shared" si="81"/>
        <v>332.97344296761514</v>
      </c>
      <c r="AC46" s="43">
        <f t="shared" si="82"/>
        <v>356.71096617517571</v>
      </c>
      <c r="AD46" s="33"/>
      <c r="AH46" s="31"/>
      <c r="AP46" s="27">
        <f t="shared" si="4"/>
        <v>0</v>
      </c>
      <c r="AQ46" s="27">
        <f t="shared" si="23"/>
        <v>0</v>
      </c>
      <c r="AR46" s="15">
        <f t="shared" si="83"/>
        <v>0.8532354404228446</v>
      </c>
      <c r="AS46" s="28">
        <f t="shared" si="37"/>
        <v>358.3120810368564</v>
      </c>
      <c r="AT46" s="28">
        <f t="shared" si="38"/>
        <v>419.94514533911632</v>
      </c>
      <c r="AU46" s="33"/>
      <c r="AY46" s="31"/>
      <c r="BG46" s="27">
        <f t="shared" si="5"/>
        <v>0</v>
      </c>
      <c r="BH46" s="27">
        <f t="shared" si="24"/>
        <v>0</v>
      </c>
      <c r="BI46" s="15">
        <f t="shared" si="39"/>
        <v>0.79695362761307709</v>
      </c>
      <c r="BJ46" s="28">
        <f t="shared" si="40"/>
        <v>208.28929214198479</v>
      </c>
      <c r="BK46" s="28">
        <f t="shared" si="41"/>
        <v>261.35685305282249</v>
      </c>
      <c r="BL46" s="33"/>
      <c r="BP46" s="31"/>
      <c r="BX46" s="27">
        <f t="shared" si="6"/>
        <v>0</v>
      </c>
      <c r="BY46" s="27">
        <f t="shared" si="25"/>
        <v>0</v>
      </c>
      <c r="BZ46" s="15">
        <f t="shared" si="42"/>
        <v>0.9601257496558675</v>
      </c>
      <c r="CA46" s="28">
        <f t="shared" si="43"/>
        <v>416.7047723023631</v>
      </c>
      <c r="CB46" s="28">
        <f t="shared" si="44"/>
        <v>434.01062043354244</v>
      </c>
      <c r="CC46" s="33"/>
      <c r="CG46" s="31"/>
      <c r="CO46" s="27">
        <f t="shared" si="7"/>
        <v>0</v>
      </c>
      <c r="CP46" s="27">
        <f t="shared" si="26"/>
        <v>0</v>
      </c>
      <c r="CQ46" s="15">
        <f t="shared" si="45"/>
        <v>0.92141010653246025</v>
      </c>
      <c r="CR46" s="28">
        <f t="shared" si="46"/>
        <v>343.74851725608244</v>
      </c>
      <c r="CS46" s="28">
        <f t="shared" si="47"/>
        <v>373.06788238921121</v>
      </c>
      <c r="CT46" s="33"/>
      <c r="CX46" s="31"/>
      <c r="DF46" s="27">
        <f t="shared" si="8"/>
        <v>0</v>
      </c>
      <c r="DG46" s="27">
        <f t="shared" si="27"/>
        <v>0</v>
      </c>
      <c r="DH46" s="15">
        <f t="shared" si="48"/>
        <v>0.93827529156296241</v>
      </c>
      <c r="DI46" s="28">
        <f t="shared" si="49"/>
        <v>354.93677278366863</v>
      </c>
      <c r="DJ46" s="28">
        <f t="shared" si="50"/>
        <v>378.28638990633681</v>
      </c>
      <c r="DK46" s="33"/>
      <c r="DO46" s="31"/>
      <c r="DW46" s="27">
        <f t="shared" si="9"/>
        <v>0</v>
      </c>
      <c r="DX46" s="27">
        <f t="shared" si="28"/>
        <v>0</v>
      </c>
      <c r="DY46" s="15">
        <f t="shared" si="51"/>
        <v>0.95455489373077096</v>
      </c>
      <c r="DZ46" s="28">
        <f t="shared" si="52"/>
        <v>361.02113033905687</v>
      </c>
      <c r="EA46" s="28">
        <f t="shared" si="53"/>
        <v>378.20887275329574</v>
      </c>
      <c r="EB46" s="33"/>
      <c r="EF46" s="31"/>
      <c r="EN46" s="27">
        <f t="shared" si="10"/>
        <v>0</v>
      </c>
      <c r="EO46" s="27">
        <f t="shared" si="29"/>
        <v>0</v>
      </c>
      <c r="EP46" s="15">
        <f t="shared" si="85"/>
        <v>0.83112892323538223</v>
      </c>
      <c r="EQ46" s="28">
        <f t="shared" si="54"/>
        <v>345.9148120880127</v>
      </c>
      <c r="ER46" s="28">
        <f t="shared" si="55"/>
        <v>416.19874175651438</v>
      </c>
      <c r="ES46" s="33"/>
      <c r="EW46" s="31"/>
      <c r="FE46" s="27">
        <f t="shared" si="11"/>
        <v>0</v>
      </c>
      <c r="FF46" s="27">
        <f t="shared" si="30"/>
        <v>0</v>
      </c>
      <c r="FG46" s="15">
        <f t="shared" si="56"/>
        <v>0.87655470124393786</v>
      </c>
      <c r="FH46" s="28">
        <f t="shared" si="57"/>
        <v>355.86748557312393</v>
      </c>
      <c r="FI46" s="28">
        <f t="shared" si="58"/>
        <v>405.9843442378492</v>
      </c>
      <c r="FJ46" s="33"/>
      <c r="FN46" s="31"/>
      <c r="FV46" s="27">
        <f t="shared" si="12"/>
        <v>0</v>
      </c>
      <c r="FW46" s="27">
        <f t="shared" si="31"/>
        <v>0</v>
      </c>
      <c r="FX46" s="15">
        <f t="shared" si="87"/>
        <v>0.88028267161990126</v>
      </c>
      <c r="FY46" s="28">
        <f t="shared" si="59"/>
        <v>415.21875</v>
      </c>
      <c r="FZ46" s="28">
        <f t="shared" si="60"/>
        <v>471.68797408667837</v>
      </c>
      <c r="GA46" s="33"/>
      <c r="GE46" s="31"/>
      <c r="GM46" s="27">
        <f t="shared" si="13"/>
        <v>0</v>
      </c>
      <c r="GN46" s="27">
        <f t="shared" si="32"/>
        <v>0</v>
      </c>
      <c r="GO46" s="15">
        <f t="shared" si="77"/>
        <v>0.71694430215597538</v>
      </c>
      <c r="GP46" s="28">
        <f t="shared" si="61"/>
        <v>403.16537297748698</v>
      </c>
      <c r="GQ46" s="28">
        <f t="shared" si="62"/>
        <v>562.33848538177801</v>
      </c>
      <c r="GR46" s="33"/>
      <c r="GV46" s="31"/>
      <c r="HD46" s="27">
        <f t="shared" si="14"/>
        <v>0</v>
      </c>
      <c r="HE46" s="27">
        <f t="shared" si="33"/>
        <v>0</v>
      </c>
      <c r="HF46" s="15">
        <f t="shared" si="63"/>
        <v>0.87878297207595124</v>
      </c>
      <c r="HG46" s="28">
        <f t="shared" si="64"/>
        <v>289.59740886596063</v>
      </c>
      <c r="HH46" s="28">
        <f t="shared" si="65"/>
        <v>329.54371906165176</v>
      </c>
      <c r="HI46" s="33"/>
      <c r="HM46" s="31"/>
      <c r="HU46" s="27">
        <f t="shared" si="15"/>
        <v>0</v>
      </c>
      <c r="HV46" s="27">
        <f t="shared" si="34"/>
        <v>0</v>
      </c>
      <c r="HW46" s="15">
        <f t="shared" si="66"/>
        <v>0.34836154520425577</v>
      </c>
      <c r="HX46" s="28">
        <f t="shared" si="67"/>
        <v>62.63544880951406</v>
      </c>
      <c r="HY46" s="28">
        <f t="shared" si="68"/>
        <v>179.80012338270242</v>
      </c>
      <c r="HZ46" s="33"/>
      <c r="ID46" s="31"/>
      <c r="II46" s="12"/>
      <c r="IL46" s="27">
        <f t="shared" si="16"/>
        <v>0</v>
      </c>
      <c r="IM46" s="27">
        <f t="shared" si="17"/>
        <v>3839.752568626132</v>
      </c>
      <c r="IN46" s="15">
        <f t="shared" si="69"/>
        <v>1.9978586651417229E-2</v>
      </c>
      <c r="IO46" s="28">
        <f t="shared" si="70"/>
        <v>1.4976503176697413</v>
      </c>
      <c r="IP46" s="28">
        <f t="shared" si="71"/>
        <v>74.96277608624041</v>
      </c>
      <c r="IQ46" s="33"/>
      <c r="IU46" s="31"/>
      <c r="JC46" s="27">
        <f t="shared" si="18"/>
        <v>0</v>
      </c>
      <c r="JD46" s="27">
        <f t="shared" si="19"/>
        <v>3243.0977112899832</v>
      </c>
      <c r="JE46" s="15" t="e">
        <f t="shared" si="72"/>
        <v>#DIV/0!</v>
      </c>
      <c r="JF46" s="28">
        <f t="shared" si="73"/>
        <v>0</v>
      </c>
      <c r="JG46" s="28">
        <f t="shared" si="74"/>
        <v>0</v>
      </c>
      <c r="JH46" s="33"/>
      <c r="JL46" s="31"/>
      <c r="JR46" s="99"/>
      <c r="JS46" s="99"/>
      <c r="JT46" s="99"/>
      <c r="JU46" s="99"/>
      <c r="JV46" s="99"/>
      <c r="JW46" s="99"/>
      <c r="JX46" s="99"/>
      <c r="JY46" s="99"/>
      <c r="JZ46" s="99"/>
      <c r="KA46" s="99"/>
      <c r="KB46" s="99"/>
      <c r="KC46" s="99"/>
      <c r="KD46" s="99"/>
      <c r="KE46" s="99"/>
      <c r="KF46" s="99"/>
      <c r="KG46" s="99"/>
      <c r="KH46" s="99"/>
      <c r="KI46" s="99"/>
      <c r="KJ46" s="99"/>
      <c r="KK46" s="99"/>
      <c r="KL46" s="99"/>
      <c r="KM46" s="99"/>
      <c r="KN46" s="99"/>
      <c r="KO46" s="99"/>
      <c r="KP46" s="99"/>
      <c r="KQ46" s="99"/>
      <c r="KR46" s="99"/>
      <c r="KS46" s="99"/>
      <c r="KT46" s="99"/>
      <c r="KU46" s="99"/>
      <c r="KV46" s="99"/>
      <c r="KW46" s="99"/>
      <c r="KX46" s="99"/>
      <c r="KY46" s="99"/>
      <c r="KZ46" s="99"/>
      <c r="LA46" s="99"/>
      <c r="LB46" s="99"/>
      <c r="LC46" s="99"/>
      <c r="LD46" s="99"/>
      <c r="LE46" s="99"/>
      <c r="LF46" s="99"/>
      <c r="LG46" s="99"/>
      <c r="LH46" s="99"/>
      <c r="LI46" s="99"/>
      <c r="LJ46" s="99"/>
      <c r="LK46" s="99"/>
      <c r="LL46" s="99"/>
      <c r="LM46" s="99"/>
      <c r="LN46" s="99"/>
      <c r="LO46" s="99"/>
      <c r="LP46" s="99"/>
      <c r="LQ46" s="99"/>
      <c r="LR46" s="99"/>
      <c r="LS46" s="99"/>
      <c r="LT46" s="99"/>
      <c r="LU46" s="99"/>
      <c r="LV46" s="99"/>
      <c r="LW46" s="99"/>
      <c r="LX46" s="99"/>
      <c r="LY46" s="99"/>
      <c r="LZ46" s="99"/>
      <c r="MA46" s="99"/>
      <c r="MB46" s="99"/>
      <c r="MC46" s="99"/>
      <c r="MD46" s="99"/>
      <c r="ME46" s="99"/>
      <c r="MF46" s="99"/>
    </row>
    <row r="47" spans="1:344" ht="17.25" customHeight="1" x14ac:dyDescent="0.25">
      <c r="A47" s="156"/>
      <c r="B47" s="81" t="s">
        <v>2</v>
      </c>
      <c r="C47" s="82">
        <v>45181</v>
      </c>
      <c r="D47" s="49"/>
      <c r="G47" s="89">
        <f t="shared" si="0"/>
        <v>0</v>
      </c>
      <c r="H47" s="35">
        <f t="shared" si="1"/>
        <v>0</v>
      </c>
      <c r="I47" s="39">
        <v>12</v>
      </c>
      <c r="K47" s="103">
        <v>62</v>
      </c>
      <c r="L47" s="89">
        <f t="shared" si="2"/>
        <v>6.5636363636363635</v>
      </c>
      <c r="M47" s="35">
        <f t="shared" si="20"/>
        <v>406.94545454545454</v>
      </c>
      <c r="N47" s="35">
        <f t="shared" si="21"/>
        <v>406.94545454545454</v>
      </c>
      <c r="O47" s="97"/>
      <c r="P47" s="150"/>
      <c r="W47" s="11">
        <v>0</v>
      </c>
      <c r="X47" s="1">
        <v>6.5</v>
      </c>
      <c r="Y47" s="35">
        <f t="shared" si="3"/>
        <v>403</v>
      </c>
      <c r="Z47" s="35">
        <f t="shared" si="22"/>
        <v>0</v>
      </c>
      <c r="AA47" s="15">
        <f t="shared" si="80"/>
        <v>0.97381732604108451</v>
      </c>
      <c r="AB47" s="43">
        <f t="shared" si="81"/>
        <v>350.48008222571139</v>
      </c>
      <c r="AC47" s="43">
        <f t="shared" si="82"/>
        <v>359.90331333550841</v>
      </c>
      <c r="AD47" s="33"/>
      <c r="AH47" s="31"/>
      <c r="AO47" s="1">
        <v>5.5</v>
      </c>
      <c r="AP47" s="35">
        <f t="shared" si="4"/>
        <v>341</v>
      </c>
      <c r="AQ47" s="35">
        <f t="shared" si="23"/>
        <v>0</v>
      </c>
      <c r="AR47" s="15">
        <f t="shared" si="83"/>
        <v>0.85400121469982904</v>
      </c>
      <c r="AS47" s="28">
        <f t="shared" si="37"/>
        <v>353.9840607776423</v>
      </c>
      <c r="AT47" s="28">
        <f t="shared" si="38"/>
        <v>414.50065255710831</v>
      </c>
      <c r="AU47" s="33"/>
      <c r="AY47" s="31"/>
      <c r="BF47" s="1">
        <v>6.5</v>
      </c>
      <c r="BG47" s="35">
        <f t="shared" si="5"/>
        <v>403</v>
      </c>
      <c r="BH47" s="35">
        <f t="shared" si="24"/>
        <v>0</v>
      </c>
      <c r="BI47" s="15">
        <f t="shared" si="39"/>
        <v>0.9477792207517306</v>
      </c>
      <c r="BJ47" s="28">
        <f t="shared" si="40"/>
        <v>256.96696910648859</v>
      </c>
      <c r="BK47" s="28">
        <f t="shared" si="41"/>
        <v>271.12534594573128</v>
      </c>
      <c r="BL47" s="33"/>
      <c r="BP47" s="31"/>
      <c r="BW47" s="1">
        <v>6</v>
      </c>
      <c r="BX47" s="35">
        <f t="shared" si="6"/>
        <v>372</v>
      </c>
      <c r="BY47" s="35">
        <f t="shared" si="25"/>
        <v>0</v>
      </c>
      <c r="BZ47" s="15">
        <f t="shared" si="42"/>
        <v>0.94367342301498758</v>
      </c>
      <c r="CA47" s="28">
        <f t="shared" si="43"/>
        <v>405.52857922677231</v>
      </c>
      <c r="CB47" s="28">
        <f t="shared" si="44"/>
        <v>429.73402592088433</v>
      </c>
      <c r="CC47" s="33"/>
      <c r="CG47" s="31"/>
      <c r="CN47" s="1">
        <v>6.5</v>
      </c>
      <c r="CO47" s="35">
        <f t="shared" si="7"/>
        <v>403</v>
      </c>
      <c r="CP47" s="35">
        <f t="shared" si="26"/>
        <v>0</v>
      </c>
      <c r="CQ47" s="15">
        <f t="shared" si="45"/>
        <v>0.95582682609973735</v>
      </c>
      <c r="CR47" s="28">
        <f t="shared" si="46"/>
        <v>358.56138794206186</v>
      </c>
      <c r="CS47" s="28">
        <f t="shared" si="47"/>
        <v>375.13216636236905</v>
      </c>
      <c r="CT47" s="33"/>
      <c r="CX47" s="31"/>
      <c r="DE47" s="1">
        <v>5.5</v>
      </c>
      <c r="DF47" s="35">
        <f t="shared" si="8"/>
        <v>341</v>
      </c>
      <c r="DG47" s="35">
        <f t="shared" si="27"/>
        <v>0</v>
      </c>
      <c r="DH47" s="15">
        <f t="shared" si="48"/>
        <v>0.93542355067432914</v>
      </c>
      <c r="DI47" s="28">
        <f t="shared" si="49"/>
        <v>351.45257958775147</v>
      </c>
      <c r="DJ47" s="28">
        <f t="shared" si="50"/>
        <v>375.71491474038254</v>
      </c>
      <c r="DK47" s="33"/>
      <c r="DO47" s="31"/>
      <c r="DV47" s="1">
        <v>5.7</v>
      </c>
      <c r="DW47" s="35">
        <f t="shared" si="9"/>
        <v>353.40000000000003</v>
      </c>
      <c r="DX47" s="35">
        <f t="shared" si="28"/>
        <v>0</v>
      </c>
      <c r="DY47" s="15">
        <f t="shared" si="51"/>
        <v>0.95383223248211335</v>
      </c>
      <c r="DZ47" s="28">
        <f t="shared" si="52"/>
        <v>359.11584775429264</v>
      </c>
      <c r="EA47" s="28">
        <f t="shared" si="53"/>
        <v>376.49791601168914</v>
      </c>
      <c r="EB47" s="33"/>
      <c r="EF47" s="31"/>
      <c r="EM47" s="1">
        <v>8</v>
      </c>
      <c r="EN47" s="35">
        <f t="shared" si="10"/>
        <v>496</v>
      </c>
      <c r="EO47" s="35">
        <f t="shared" si="29"/>
        <v>0</v>
      </c>
      <c r="EP47" s="15">
        <f t="shared" si="85"/>
        <v>0.90925785833681583</v>
      </c>
      <c r="EQ47" s="28">
        <f t="shared" si="54"/>
        <v>383.43610906600952</v>
      </c>
      <c r="ER47" s="28">
        <f t="shared" si="55"/>
        <v>421.70227680778925</v>
      </c>
      <c r="ES47" s="33"/>
      <c r="EW47" s="31"/>
      <c r="FD47" s="1">
        <v>7</v>
      </c>
      <c r="FE47" s="35">
        <f t="shared" si="11"/>
        <v>434</v>
      </c>
      <c r="FF47" s="35">
        <f t="shared" si="30"/>
        <v>0</v>
      </c>
      <c r="FG47" s="15">
        <f t="shared" si="56"/>
        <v>0.92028798157892577</v>
      </c>
      <c r="FH47" s="28">
        <f t="shared" si="57"/>
        <v>375.40061417984293</v>
      </c>
      <c r="FI47" s="28">
        <f t="shared" si="58"/>
        <v>407.91645842834231</v>
      </c>
      <c r="FJ47" s="33"/>
      <c r="FN47" s="31"/>
      <c r="FU47" s="1">
        <v>8</v>
      </c>
      <c r="FV47" s="35">
        <f t="shared" si="12"/>
        <v>496</v>
      </c>
      <c r="FW47" s="35">
        <f t="shared" si="31"/>
        <v>0</v>
      </c>
      <c r="FX47" s="15">
        <f t="shared" si="87"/>
        <v>0.91982797662650362</v>
      </c>
      <c r="FY47" s="28">
        <f t="shared" si="59"/>
        <v>435.4140625</v>
      </c>
      <c r="FZ47" s="28">
        <f t="shared" si="60"/>
        <v>473.36466552897639</v>
      </c>
      <c r="GA47" s="33"/>
      <c r="GE47" s="31"/>
      <c r="GL47" s="1">
        <v>7</v>
      </c>
      <c r="GM47" s="35">
        <f t="shared" si="13"/>
        <v>434</v>
      </c>
      <c r="GN47" s="35">
        <f t="shared" si="32"/>
        <v>0</v>
      </c>
      <c r="GO47" s="15">
        <f t="shared" si="77"/>
        <v>0.74233652727612431</v>
      </c>
      <c r="GP47" s="28">
        <f t="shared" si="61"/>
        <v>410.87402973311521</v>
      </c>
      <c r="GQ47" s="28">
        <f t="shared" si="62"/>
        <v>553.48755535544842</v>
      </c>
      <c r="GR47" s="33"/>
      <c r="GV47" s="31"/>
      <c r="HC47" s="1">
        <v>5</v>
      </c>
      <c r="HD47" s="35">
        <f t="shared" si="14"/>
        <v>310</v>
      </c>
      <c r="HE47" s="35">
        <f t="shared" si="33"/>
        <v>0</v>
      </c>
      <c r="HF47" s="15">
        <f t="shared" si="63"/>
        <v>0.89793345337240049</v>
      </c>
      <c r="HG47" s="28">
        <f t="shared" si="64"/>
        <v>294.69805664947046</v>
      </c>
      <c r="HH47" s="28">
        <f t="shared" si="65"/>
        <v>328.19587636774475</v>
      </c>
      <c r="HI47" s="33"/>
      <c r="HM47" s="31"/>
      <c r="HU47" s="35">
        <f t="shared" si="15"/>
        <v>0</v>
      </c>
      <c r="HV47" s="35">
        <f t="shared" si="34"/>
        <v>0</v>
      </c>
      <c r="HW47" s="15">
        <f t="shared" si="66"/>
        <v>0.28062457808120606</v>
      </c>
      <c r="HX47" s="28">
        <f t="shared" si="67"/>
        <v>46.976586607135545</v>
      </c>
      <c r="HY47" s="28">
        <f t="shared" si="68"/>
        <v>167.40011487355054</v>
      </c>
      <c r="HZ47" s="33"/>
      <c r="ID47" s="31"/>
      <c r="II47" s="12"/>
      <c r="IL47" s="35">
        <f t="shared" si="16"/>
        <v>0</v>
      </c>
      <c r="IM47" s="35">
        <f t="shared" si="17"/>
        <v>4145.6154667805558</v>
      </c>
      <c r="IN47" s="15">
        <f t="shared" si="69"/>
        <v>1.609386146919721E-2</v>
      </c>
      <c r="IO47" s="28">
        <f t="shared" si="70"/>
        <v>1.123237738252306</v>
      </c>
      <c r="IP47" s="28">
        <f t="shared" si="71"/>
        <v>69.792929459603144</v>
      </c>
      <c r="IQ47" s="33"/>
      <c r="IU47" s="31"/>
      <c r="JC47" s="35">
        <f t="shared" si="18"/>
        <v>0</v>
      </c>
      <c r="JD47" s="35">
        <f t="shared" si="19"/>
        <v>3715.7738640583921</v>
      </c>
      <c r="JE47" s="15" t="e">
        <f t="shared" si="72"/>
        <v>#DIV/0!</v>
      </c>
      <c r="JF47" s="28">
        <f t="shared" si="73"/>
        <v>0</v>
      </c>
      <c r="JG47" s="28">
        <f t="shared" si="74"/>
        <v>0</v>
      </c>
      <c r="JH47" s="33"/>
      <c r="JL47" s="31"/>
      <c r="JR47" s="99"/>
      <c r="JS47" s="99"/>
      <c r="JT47" s="99"/>
      <c r="JU47" s="99"/>
      <c r="JV47" s="99"/>
      <c r="JW47" s="99"/>
      <c r="JX47" s="99"/>
      <c r="JY47" s="99"/>
      <c r="JZ47" s="99"/>
      <c r="KA47" s="99"/>
      <c r="KB47" s="99"/>
      <c r="KC47" s="99"/>
      <c r="KD47" s="99"/>
      <c r="KE47" s="99"/>
      <c r="KF47" s="99"/>
      <c r="KG47" s="99"/>
      <c r="KH47" s="99"/>
      <c r="KI47" s="99"/>
      <c r="KJ47" s="99"/>
      <c r="KK47" s="99"/>
      <c r="KL47" s="99"/>
      <c r="KM47" s="99"/>
      <c r="KN47" s="99"/>
      <c r="KO47" s="99"/>
      <c r="KP47" s="99"/>
      <c r="KQ47" s="99"/>
      <c r="KR47" s="99"/>
      <c r="KS47" s="99"/>
      <c r="KT47" s="99"/>
      <c r="KU47" s="99"/>
      <c r="KV47" s="99"/>
      <c r="KW47" s="99"/>
      <c r="KX47" s="99"/>
      <c r="KY47" s="99"/>
      <c r="KZ47" s="99"/>
      <c r="LA47" s="99"/>
      <c r="LB47" s="99"/>
      <c r="LC47" s="99"/>
      <c r="LD47" s="99"/>
      <c r="LE47" s="99"/>
      <c r="LF47" s="99"/>
      <c r="LG47" s="99"/>
      <c r="LH47" s="99"/>
      <c r="LI47" s="99"/>
      <c r="LJ47" s="99"/>
      <c r="LK47" s="99"/>
      <c r="LL47" s="99"/>
      <c r="LM47" s="99"/>
      <c r="LN47" s="99"/>
      <c r="LO47" s="99"/>
      <c r="LP47" s="99"/>
      <c r="LQ47" s="99"/>
      <c r="LR47" s="99"/>
      <c r="LS47" s="99"/>
      <c r="LT47" s="99"/>
      <c r="LU47" s="99"/>
      <c r="LV47" s="99"/>
      <c r="LW47" s="99"/>
      <c r="LX47" s="99"/>
      <c r="LY47" s="99"/>
      <c r="LZ47" s="99"/>
      <c r="MA47" s="99"/>
      <c r="MB47" s="99"/>
      <c r="MC47" s="99"/>
      <c r="MD47" s="99"/>
      <c r="ME47" s="99"/>
      <c r="MF47" s="99"/>
    </row>
    <row r="48" spans="1:344" ht="17.25" customHeight="1" x14ac:dyDescent="0.25">
      <c r="A48" s="156"/>
      <c r="B48" s="90" t="s">
        <v>3</v>
      </c>
      <c r="C48" s="91">
        <v>45182</v>
      </c>
      <c r="D48" s="49"/>
      <c r="G48" s="89">
        <f t="shared" si="0"/>
        <v>0</v>
      </c>
      <c r="H48" s="35">
        <f t="shared" si="1"/>
        <v>0</v>
      </c>
      <c r="I48" s="39">
        <v>12</v>
      </c>
      <c r="K48" s="103">
        <v>100</v>
      </c>
      <c r="L48" s="89">
        <f t="shared" si="2"/>
        <v>6.6272727272727279</v>
      </c>
      <c r="M48" s="35">
        <f t="shared" si="20"/>
        <v>662.72727272727275</v>
      </c>
      <c r="N48" s="35">
        <f t="shared" si="21"/>
        <v>662.72727272727275</v>
      </c>
      <c r="O48" s="97"/>
      <c r="P48" s="150"/>
      <c r="W48" s="11">
        <v>0</v>
      </c>
      <c r="X48" s="1">
        <v>8</v>
      </c>
      <c r="Y48" s="35">
        <f t="shared" si="3"/>
        <v>800</v>
      </c>
      <c r="Z48" s="35">
        <f t="shared" si="22"/>
        <v>0</v>
      </c>
      <c r="AA48" s="15">
        <f t="shared" si="80"/>
        <v>1.1860457604451451</v>
      </c>
      <c r="AB48" s="43">
        <f t="shared" si="81"/>
        <v>462.86006166928354</v>
      </c>
      <c r="AC48" s="43">
        <f t="shared" si="82"/>
        <v>390.25480896754232</v>
      </c>
      <c r="AD48" s="33"/>
      <c r="AH48" s="31"/>
      <c r="AO48" s="1">
        <v>4</v>
      </c>
      <c r="AP48" s="35">
        <f t="shared" si="4"/>
        <v>400</v>
      </c>
      <c r="AQ48" s="35">
        <f t="shared" si="23"/>
        <v>0</v>
      </c>
      <c r="AR48" s="15">
        <f t="shared" si="83"/>
        <v>0.88388756608111052</v>
      </c>
      <c r="AS48" s="28">
        <f t="shared" si="37"/>
        <v>365.48804558323172</v>
      </c>
      <c r="AT48" s="28">
        <f t="shared" si="38"/>
        <v>413.5006075531698</v>
      </c>
      <c r="AU48" s="33"/>
      <c r="AY48" s="31"/>
      <c r="BF48" s="1">
        <v>4</v>
      </c>
      <c r="BG48" s="35">
        <f t="shared" si="5"/>
        <v>400</v>
      </c>
      <c r="BH48" s="35">
        <f t="shared" si="24"/>
        <v>0</v>
      </c>
      <c r="BI48" s="15">
        <f t="shared" si="39"/>
        <v>1.0453977573070272</v>
      </c>
      <c r="BJ48" s="28">
        <f t="shared" si="40"/>
        <v>292.72522682986641</v>
      </c>
      <c r="BK48" s="28">
        <f t="shared" si="41"/>
        <v>280.01325312188777</v>
      </c>
      <c r="BL48" s="33"/>
      <c r="BP48" s="31"/>
      <c r="BW48" s="1">
        <v>9</v>
      </c>
      <c r="BX48" s="35">
        <f t="shared" si="6"/>
        <v>900</v>
      </c>
      <c r="BY48" s="35">
        <f t="shared" si="25"/>
        <v>0</v>
      </c>
      <c r="BZ48" s="15">
        <f t="shared" si="42"/>
        <v>1.1449268203813088</v>
      </c>
      <c r="CA48" s="28">
        <f t="shared" si="43"/>
        <v>529.14643442007923</v>
      </c>
      <c r="CB48" s="28">
        <f t="shared" si="44"/>
        <v>462.16616206427165</v>
      </c>
      <c r="CC48" s="33"/>
      <c r="CG48" s="31"/>
      <c r="CN48" s="1">
        <v>4</v>
      </c>
      <c r="CO48" s="35">
        <f t="shared" si="7"/>
        <v>400</v>
      </c>
      <c r="CP48" s="35">
        <f t="shared" si="26"/>
        <v>0</v>
      </c>
      <c r="CQ48" s="15">
        <f t="shared" si="45"/>
        <v>0.97896720835698425</v>
      </c>
      <c r="CR48" s="28">
        <f t="shared" si="46"/>
        <v>368.92104095654639</v>
      </c>
      <c r="CS48" s="28">
        <f t="shared" si="47"/>
        <v>376.84718937186085</v>
      </c>
      <c r="CT48" s="33"/>
      <c r="CX48" s="31"/>
      <c r="DE48" s="1">
        <v>8</v>
      </c>
      <c r="DF48" s="35">
        <f t="shared" si="8"/>
        <v>800</v>
      </c>
      <c r="DG48" s="35">
        <f t="shared" si="27"/>
        <v>0</v>
      </c>
      <c r="DH48" s="15">
        <f t="shared" si="48"/>
        <v>1.1447332337861262</v>
      </c>
      <c r="DI48" s="28">
        <f t="shared" si="49"/>
        <v>463.58943469081362</v>
      </c>
      <c r="DJ48" s="28">
        <f t="shared" si="50"/>
        <v>404.97595510311476</v>
      </c>
      <c r="DK48" s="33"/>
      <c r="DO48" s="31"/>
      <c r="DV48" s="1">
        <v>7.4</v>
      </c>
      <c r="DW48" s="35">
        <f t="shared" si="9"/>
        <v>740</v>
      </c>
      <c r="DX48" s="35">
        <f t="shared" si="28"/>
        <v>0</v>
      </c>
      <c r="DY48" s="15">
        <f t="shared" si="51"/>
        <v>1.1314098450446908</v>
      </c>
      <c r="DZ48" s="28">
        <f t="shared" si="52"/>
        <v>454.33688581571948</v>
      </c>
      <c r="EA48" s="28">
        <f t="shared" si="53"/>
        <v>401.56702525226228</v>
      </c>
      <c r="EB48" s="33"/>
      <c r="EF48" s="31"/>
      <c r="EM48" s="1">
        <v>6</v>
      </c>
      <c r="EN48" s="35">
        <f t="shared" si="10"/>
        <v>600</v>
      </c>
      <c r="EO48" s="35">
        <f t="shared" si="29"/>
        <v>0</v>
      </c>
      <c r="EP48" s="15">
        <f t="shared" si="85"/>
        <v>1.0082452102361299</v>
      </c>
      <c r="EQ48" s="28">
        <f t="shared" si="54"/>
        <v>437.57708179950714</v>
      </c>
      <c r="ER48" s="28">
        <f t="shared" si="55"/>
        <v>433.99867151070032</v>
      </c>
      <c r="ES48" s="33"/>
      <c r="EW48" s="31"/>
      <c r="FD48" s="1">
        <v>7</v>
      </c>
      <c r="FE48" s="35">
        <f t="shared" si="11"/>
        <v>700</v>
      </c>
      <c r="FF48" s="35">
        <f t="shared" si="30"/>
        <v>0</v>
      </c>
      <c r="FG48" s="15">
        <f t="shared" si="56"/>
        <v>1.06655679025738</v>
      </c>
      <c r="FH48" s="28">
        <f t="shared" si="57"/>
        <v>456.5504606348822</v>
      </c>
      <c r="FI48" s="28">
        <f t="shared" si="58"/>
        <v>428.06015095052561</v>
      </c>
      <c r="FJ48" s="33"/>
      <c r="FN48" s="31"/>
      <c r="FU48" s="1">
        <v>8</v>
      </c>
      <c r="FV48" s="35">
        <f t="shared" si="12"/>
        <v>800</v>
      </c>
      <c r="FW48" s="35">
        <f t="shared" si="31"/>
        <v>0</v>
      </c>
      <c r="FX48" s="15">
        <f t="shared" si="87"/>
        <v>1.0618468407208053</v>
      </c>
      <c r="FY48" s="28">
        <f t="shared" si="59"/>
        <v>526.560546875</v>
      </c>
      <c r="FZ48" s="28">
        <f t="shared" si="60"/>
        <v>495.89124032008141</v>
      </c>
      <c r="GA48" s="33"/>
      <c r="GE48" s="31"/>
      <c r="GL48" s="1">
        <v>7.5</v>
      </c>
      <c r="GM48" s="35">
        <f t="shared" si="13"/>
        <v>750</v>
      </c>
      <c r="GN48" s="35">
        <f t="shared" si="32"/>
        <v>0</v>
      </c>
      <c r="GO48" s="15">
        <f t="shared" si="77"/>
        <v>0.87411011903177194</v>
      </c>
      <c r="GP48" s="28">
        <f t="shared" si="61"/>
        <v>495.65552229983643</v>
      </c>
      <c r="GQ48" s="28">
        <f t="shared" si="62"/>
        <v>567.04013774472787</v>
      </c>
      <c r="GR48" s="33"/>
      <c r="GV48" s="31"/>
      <c r="HD48" s="35">
        <f t="shared" si="14"/>
        <v>0</v>
      </c>
      <c r="HE48" s="35">
        <f t="shared" si="33"/>
        <v>0</v>
      </c>
      <c r="HF48" s="15">
        <f t="shared" si="63"/>
        <v>0.72333528188332274</v>
      </c>
      <c r="HG48" s="28">
        <f t="shared" si="64"/>
        <v>221.02354248710284</v>
      </c>
      <c r="HH48" s="28">
        <f t="shared" si="65"/>
        <v>305.56167799755542</v>
      </c>
      <c r="HI48" s="33"/>
      <c r="HM48" s="31"/>
      <c r="HU48" s="35">
        <f t="shared" si="15"/>
        <v>0</v>
      </c>
      <c r="HV48" s="35">
        <f t="shared" si="34"/>
        <v>0</v>
      </c>
      <c r="HW48" s="15">
        <f t="shared" si="66"/>
        <v>0.22605868789874931</v>
      </c>
      <c r="HX48" s="28">
        <f t="shared" si="67"/>
        <v>35.232439955351659</v>
      </c>
      <c r="HY48" s="28">
        <f t="shared" si="68"/>
        <v>155.85527936502982</v>
      </c>
      <c r="HZ48" s="33"/>
      <c r="ID48" s="31"/>
      <c r="II48" s="12"/>
      <c r="IL48" s="35">
        <f t="shared" si="16"/>
        <v>0</v>
      </c>
      <c r="IM48" s="35">
        <f t="shared" si="17"/>
        <v>5330.8513284628189</v>
      </c>
      <c r="IN48" s="15">
        <f t="shared" si="69"/>
        <v>1.2964499516853309E-2</v>
      </c>
      <c r="IO48" s="28">
        <f t="shared" si="70"/>
        <v>0.8424283036892295</v>
      </c>
      <c r="IP48" s="28">
        <f t="shared" si="71"/>
        <v>64.979623979630517</v>
      </c>
      <c r="IQ48" s="33"/>
      <c r="IU48" s="31"/>
      <c r="JC48" s="35">
        <f t="shared" si="18"/>
        <v>0</v>
      </c>
      <c r="JD48" s="35">
        <f t="shared" si="19"/>
        <v>3762.857012310561</v>
      </c>
      <c r="JE48" s="15" t="e">
        <f t="shared" si="72"/>
        <v>#DIV/0!</v>
      </c>
      <c r="JF48" s="28">
        <f t="shared" si="73"/>
        <v>0</v>
      </c>
      <c r="JG48" s="28">
        <f t="shared" si="74"/>
        <v>0</v>
      </c>
      <c r="JH48" s="33"/>
      <c r="JL48" s="31"/>
      <c r="JR48" s="99"/>
      <c r="JS48" s="99"/>
      <c r="JT48" s="99"/>
      <c r="JU48" s="99"/>
      <c r="JV48" s="99"/>
      <c r="JW48" s="99"/>
      <c r="JX48" s="99"/>
      <c r="JY48" s="99"/>
      <c r="JZ48" s="99"/>
      <c r="KA48" s="99"/>
      <c r="KB48" s="99"/>
      <c r="KC48" s="99"/>
      <c r="KD48" s="99"/>
      <c r="KE48" s="99"/>
      <c r="KF48" s="99"/>
      <c r="KG48" s="99"/>
      <c r="KH48" s="99"/>
      <c r="KI48" s="99"/>
      <c r="KJ48" s="99"/>
      <c r="KK48" s="99"/>
      <c r="KL48" s="99"/>
      <c r="KM48" s="99"/>
      <c r="KN48" s="99"/>
      <c r="KO48" s="99"/>
      <c r="KP48" s="99"/>
      <c r="KQ48" s="99"/>
      <c r="KR48" s="99"/>
      <c r="KS48" s="99"/>
      <c r="KT48" s="99"/>
      <c r="KU48" s="99"/>
      <c r="KV48" s="99"/>
      <c r="KW48" s="99"/>
      <c r="KX48" s="99"/>
      <c r="KY48" s="99"/>
      <c r="KZ48" s="99"/>
      <c r="LA48" s="99"/>
      <c r="LB48" s="99"/>
      <c r="LC48" s="99"/>
      <c r="LD48" s="99"/>
      <c r="LE48" s="99"/>
      <c r="LF48" s="99"/>
      <c r="LG48" s="99"/>
      <c r="LH48" s="99"/>
      <c r="LI48" s="99"/>
      <c r="LJ48" s="99"/>
      <c r="LK48" s="99"/>
      <c r="LL48" s="99"/>
      <c r="LM48" s="99"/>
      <c r="LN48" s="99"/>
      <c r="LO48" s="99"/>
      <c r="LP48" s="99"/>
      <c r="LQ48" s="99"/>
      <c r="LR48" s="99"/>
      <c r="LS48" s="99"/>
      <c r="LT48" s="99"/>
      <c r="LU48" s="99"/>
      <c r="LV48" s="99"/>
      <c r="LW48" s="99"/>
      <c r="LX48" s="99"/>
      <c r="LY48" s="99"/>
      <c r="LZ48" s="99"/>
      <c r="MA48" s="99"/>
      <c r="MB48" s="99"/>
      <c r="MC48" s="99"/>
      <c r="MD48" s="99"/>
      <c r="ME48" s="99"/>
      <c r="MF48" s="99"/>
    </row>
    <row r="49" spans="1:344" ht="17.25" customHeight="1" x14ac:dyDescent="0.25">
      <c r="A49" s="156"/>
      <c r="B49" s="81" t="s">
        <v>4</v>
      </c>
      <c r="C49" s="82">
        <v>45183</v>
      </c>
      <c r="D49" s="49"/>
      <c r="G49" s="89">
        <f t="shared" si="0"/>
        <v>0</v>
      </c>
      <c r="H49" s="35">
        <f t="shared" si="1"/>
        <v>0</v>
      </c>
      <c r="I49" s="39">
        <v>12</v>
      </c>
      <c r="K49" s="103">
        <v>60</v>
      </c>
      <c r="L49" s="89">
        <f t="shared" si="2"/>
        <v>5.7272727272727275</v>
      </c>
      <c r="M49" s="35">
        <f t="shared" si="20"/>
        <v>343.63636363636363</v>
      </c>
      <c r="N49" s="35">
        <f t="shared" si="21"/>
        <v>343.63636363636363</v>
      </c>
      <c r="O49" s="97"/>
      <c r="P49" s="150"/>
      <c r="W49" s="11">
        <v>0</v>
      </c>
      <c r="X49" s="1">
        <v>5.5</v>
      </c>
      <c r="Y49" s="35">
        <f t="shared" si="3"/>
        <v>330</v>
      </c>
      <c r="Z49" s="35">
        <f t="shared" si="22"/>
        <v>0</v>
      </c>
      <c r="AA49" s="15">
        <f t="shared" si="80"/>
        <v>1.1127837859286844</v>
      </c>
      <c r="AB49" s="43">
        <f t="shared" si="81"/>
        <v>429.64504625196264</v>
      </c>
      <c r="AC49" s="43">
        <f t="shared" si="82"/>
        <v>386.09930490081524</v>
      </c>
      <c r="AD49" s="33"/>
      <c r="AH49" s="31"/>
      <c r="AO49" s="1">
        <v>5</v>
      </c>
      <c r="AP49" s="35">
        <f t="shared" si="4"/>
        <v>300</v>
      </c>
      <c r="AQ49" s="35">
        <f t="shared" si="23"/>
        <v>0</v>
      </c>
      <c r="AR49" s="15">
        <f t="shared" si="83"/>
        <v>0.86058488456426363</v>
      </c>
      <c r="AS49" s="28">
        <f t="shared" si="37"/>
        <v>349.11603418742379</v>
      </c>
      <c r="AT49" s="28">
        <f t="shared" si="38"/>
        <v>405.67297944605463</v>
      </c>
      <c r="AU49" s="33"/>
      <c r="AY49" s="31"/>
      <c r="BF49" s="1">
        <v>6</v>
      </c>
      <c r="BG49" s="35">
        <f t="shared" si="5"/>
        <v>360</v>
      </c>
      <c r="BH49" s="35">
        <f t="shared" si="24"/>
        <v>0</v>
      </c>
      <c r="BI49" s="15">
        <f t="shared" si="39"/>
        <v>1.0841045596332319</v>
      </c>
      <c r="BJ49" s="28">
        <f t="shared" si="40"/>
        <v>309.54392012239981</v>
      </c>
      <c r="BK49" s="28">
        <f t="shared" si="41"/>
        <v>285.52958049279209</v>
      </c>
      <c r="BL49" s="33"/>
      <c r="BP49" s="31"/>
      <c r="BW49" s="1">
        <v>6</v>
      </c>
      <c r="BX49" s="35">
        <f t="shared" si="6"/>
        <v>360</v>
      </c>
      <c r="BY49" s="35">
        <f t="shared" si="25"/>
        <v>0</v>
      </c>
      <c r="BZ49" s="15">
        <f t="shared" si="42"/>
        <v>1.0697389493535852</v>
      </c>
      <c r="CA49" s="28">
        <f t="shared" si="43"/>
        <v>486.85982581505942</v>
      </c>
      <c r="CB49" s="28">
        <f t="shared" si="44"/>
        <v>455.12021985294257</v>
      </c>
      <c r="CC49" s="33"/>
      <c r="CG49" s="31"/>
      <c r="CN49" s="1">
        <v>7.5</v>
      </c>
      <c r="CO49" s="35">
        <f t="shared" si="7"/>
        <v>450</v>
      </c>
      <c r="CP49" s="35">
        <f t="shared" si="26"/>
        <v>0</v>
      </c>
      <c r="CQ49" s="15">
        <f t="shared" si="45"/>
        <v>1.0191115967192279</v>
      </c>
      <c r="CR49" s="28">
        <f t="shared" si="46"/>
        <v>389.19078071740978</v>
      </c>
      <c r="CS49" s="28">
        <f t="shared" si="47"/>
        <v>381.89221079449112</v>
      </c>
      <c r="CT49" s="33"/>
      <c r="CX49" s="31"/>
      <c r="DE49" s="1">
        <v>3</v>
      </c>
      <c r="DF49" s="35">
        <f t="shared" si="8"/>
        <v>180</v>
      </c>
      <c r="DG49" s="35">
        <f t="shared" si="27"/>
        <v>0</v>
      </c>
      <c r="DH49" s="15">
        <f t="shared" si="48"/>
        <v>1.0082979020664442</v>
      </c>
      <c r="DI49" s="28">
        <f t="shared" si="49"/>
        <v>392.69207601811024</v>
      </c>
      <c r="DJ49" s="28">
        <f t="shared" si="50"/>
        <v>389.46037199255511</v>
      </c>
      <c r="DK49" s="33"/>
      <c r="DO49" s="31"/>
      <c r="DV49" s="1">
        <v>5</v>
      </c>
      <c r="DW49" s="35">
        <f t="shared" si="9"/>
        <v>300</v>
      </c>
      <c r="DX49" s="35">
        <f t="shared" si="28"/>
        <v>0</v>
      </c>
      <c r="DY49" s="15">
        <f t="shared" si="51"/>
        <v>1.0537057291551606</v>
      </c>
      <c r="DZ49" s="28">
        <f t="shared" si="52"/>
        <v>415.75266436178958</v>
      </c>
      <c r="EA49" s="28">
        <f t="shared" si="53"/>
        <v>394.56240282107177</v>
      </c>
      <c r="EB49" s="33"/>
      <c r="EF49" s="31"/>
      <c r="EM49" s="1">
        <v>5</v>
      </c>
      <c r="EN49" s="35">
        <f t="shared" si="10"/>
        <v>300</v>
      </c>
      <c r="EO49" s="35">
        <f t="shared" si="29"/>
        <v>0</v>
      </c>
      <c r="EP49" s="15">
        <f t="shared" si="85"/>
        <v>0.94920730446959367</v>
      </c>
      <c r="EQ49" s="28">
        <f t="shared" si="54"/>
        <v>403.18281134963036</v>
      </c>
      <c r="ER49" s="28">
        <f t="shared" si="55"/>
        <v>424.75738382030715</v>
      </c>
      <c r="ES49" s="33"/>
      <c r="EW49" s="31"/>
      <c r="FD49" s="1">
        <v>7</v>
      </c>
      <c r="FE49" s="35">
        <f t="shared" si="11"/>
        <v>420</v>
      </c>
      <c r="FF49" s="35">
        <f t="shared" si="30"/>
        <v>0</v>
      </c>
      <c r="FG49" s="15">
        <f t="shared" si="56"/>
        <v>1.0465692813091338</v>
      </c>
      <c r="FH49" s="28">
        <f t="shared" si="57"/>
        <v>447.41284547616164</v>
      </c>
      <c r="FI49" s="28">
        <f t="shared" si="58"/>
        <v>427.50427847117902</v>
      </c>
      <c r="FJ49" s="33"/>
      <c r="FN49" s="31"/>
      <c r="FU49" s="1">
        <v>7</v>
      </c>
      <c r="FV49" s="35">
        <f t="shared" si="12"/>
        <v>420</v>
      </c>
      <c r="FW49" s="35">
        <f t="shared" si="31"/>
        <v>0</v>
      </c>
      <c r="FX49" s="15">
        <f t="shared" si="87"/>
        <v>1.0188788535593698</v>
      </c>
      <c r="FY49" s="28">
        <f t="shared" si="59"/>
        <v>499.92041015625</v>
      </c>
      <c r="FZ49" s="28">
        <f t="shared" si="60"/>
        <v>490.65736167731717</v>
      </c>
      <c r="GA49" s="33"/>
      <c r="GE49" s="31"/>
      <c r="GL49" s="1">
        <v>6</v>
      </c>
      <c r="GM49" s="35">
        <f t="shared" si="13"/>
        <v>360</v>
      </c>
      <c r="GN49" s="35">
        <f t="shared" si="32"/>
        <v>0</v>
      </c>
      <c r="GO49" s="15">
        <f t="shared" si="77"/>
        <v>0.83533609959005606</v>
      </c>
      <c r="GP49" s="28">
        <f t="shared" si="61"/>
        <v>461.74164172487735</v>
      </c>
      <c r="GQ49" s="28">
        <f t="shared" si="62"/>
        <v>552.7615075554362</v>
      </c>
      <c r="GR49" s="33"/>
      <c r="GV49" s="31"/>
      <c r="HD49" s="35">
        <f t="shared" si="14"/>
        <v>0</v>
      </c>
      <c r="HE49" s="35">
        <f t="shared" si="33"/>
        <v>0</v>
      </c>
      <c r="HF49" s="15">
        <f t="shared" si="63"/>
        <v>0.5826867548504544</v>
      </c>
      <c r="HG49" s="28">
        <f t="shared" si="64"/>
        <v>165.76765686532713</v>
      </c>
      <c r="HH49" s="28">
        <f t="shared" si="65"/>
        <v>284.4884588253102</v>
      </c>
      <c r="HI49" s="33"/>
      <c r="HM49" s="31"/>
      <c r="HT49" s="1">
        <v>7.5</v>
      </c>
      <c r="HU49" s="35">
        <f t="shared" si="15"/>
        <v>450</v>
      </c>
      <c r="HV49" s="35">
        <f t="shared" si="34"/>
        <v>0</v>
      </c>
      <c r="HW49" s="15">
        <f t="shared" si="66"/>
        <v>0.7887103718713161</v>
      </c>
      <c r="HX49" s="28">
        <f t="shared" si="67"/>
        <v>138.92432996651374</v>
      </c>
      <c r="HY49" s="28">
        <f t="shared" si="68"/>
        <v>176.14112216744155</v>
      </c>
      <c r="HZ49" s="33"/>
      <c r="ID49" s="31"/>
      <c r="II49" s="12"/>
      <c r="IL49" s="35">
        <f t="shared" si="16"/>
        <v>0</v>
      </c>
      <c r="IM49" s="35">
        <f t="shared" si="17"/>
        <v>4586.2496193730112</v>
      </c>
      <c r="IN49" s="15">
        <f t="shared" si="69"/>
        <v>1.0443624610798501E-2</v>
      </c>
      <c r="IO49" s="28">
        <f t="shared" si="70"/>
        <v>0.63182122776692218</v>
      </c>
      <c r="IP49" s="28">
        <f t="shared" si="71"/>
        <v>60.498270601724961</v>
      </c>
      <c r="IQ49" s="33"/>
      <c r="IU49" s="31"/>
      <c r="JC49" s="35">
        <f t="shared" si="18"/>
        <v>0</v>
      </c>
      <c r="JD49" s="35">
        <f t="shared" si="19"/>
        <v>3919.2815116322527</v>
      </c>
      <c r="JE49" s="15" t="e">
        <f t="shared" si="72"/>
        <v>#DIV/0!</v>
      </c>
      <c r="JF49" s="28">
        <f t="shared" si="73"/>
        <v>0</v>
      </c>
      <c r="JG49" s="28">
        <f t="shared" si="74"/>
        <v>0</v>
      </c>
      <c r="JH49" s="33"/>
      <c r="JL49" s="31"/>
      <c r="JR49" s="99"/>
      <c r="JS49" s="99"/>
      <c r="JT49" s="99"/>
      <c r="JU49" s="99"/>
      <c r="JV49" s="99"/>
      <c r="JW49" s="99"/>
      <c r="JX49" s="99"/>
      <c r="JY49" s="99"/>
      <c r="JZ49" s="99"/>
      <c r="KA49" s="99"/>
      <c r="KB49" s="99"/>
      <c r="KC49" s="99"/>
      <c r="KD49" s="99"/>
      <c r="KE49" s="99"/>
      <c r="KF49" s="99"/>
      <c r="KG49" s="99"/>
      <c r="KH49" s="99"/>
      <c r="KI49" s="99"/>
      <c r="KJ49" s="99"/>
      <c r="KK49" s="99"/>
      <c r="KL49" s="99"/>
      <c r="KM49" s="99"/>
      <c r="KN49" s="99"/>
      <c r="KO49" s="99"/>
      <c r="KP49" s="99"/>
      <c r="KQ49" s="99"/>
      <c r="KR49" s="99"/>
      <c r="KS49" s="99"/>
      <c r="KT49" s="99"/>
      <c r="KU49" s="99"/>
      <c r="KV49" s="99"/>
      <c r="KW49" s="99"/>
      <c r="KX49" s="99"/>
      <c r="KY49" s="99"/>
      <c r="KZ49" s="99"/>
      <c r="LA49" s="99"/>
      <c r="LB49" s="99"/>
      <c r="LC49" s="99"/>
      <c r="LD49" s="99"/>
      <c r="LE49" s="99"/>
      <c r="LF49" s="99"/>
      <c r="LG49" s="99"/>
      <c r="LH49" s="99"/>
      <c r="LI49" s="99"/>
      <c r="LJ49" s="99"/>
      <c r="LK49" s="99"/>
      <c r="LL49" s="99"/>
      <c r="LM49" s="99"/>
      <c r="LN49" s="99"/>
      <c r="LO49" s="99"/>
      <c r="LP49" s="99"/>
      <c r="LQ49" s="99"/>
      <c r="LR49" s="99"/>
      <c r="LS49" s="99"/>
      <c r="LT49" s="99"/>
      <c r="LU49" s="99"/>
      <c r="LV49" s="99"/>
      <c r="LW49" s="99"/>
      <c r="LX49" s="99"/>
      <c r="LY49" s="99"/>
      <c r="LZ49" s="99"/>
      <c r="MA49" s="99"/>
      <c r="MB49" s="99"/>
      <c r="MC49" s="99"/>
      <c r="MD49" s="99"/>
      <c r="ME49" s="99"/>
      <c r="MF49" s="99"/>
    </row>
    <row r="50" spans="1:344" ht="17.25" customHeight="1" x14ac:dyDescent="0.25">
      <c r="A50" s="156"/>
      <c r="B50" s="81" t="s">
        <v>5</v>
      </c>
      <c r="C50" s="82">
        <v>45184</v>
      </c>
      <c r="D50" s="49"/>
      <c r="G50" s="89">
        <f t="shared" si="0"/>
        <v>0</v>
      </c>
      <c r="H50" s="35">
        <f t="shared" si="1"/>
        <v>0</v>
      </c>
      <c r="I50" s="39">
        <v>12</v>
      </c>
      <c r="K50" s="103">
        <v>60</v>
      </c>
      <c r="L50" s="89">
        <f t="shared" si="2"/>
        <v>5.6909090909090914</v>
      </c>
      <c r="M50" s="35">
        <f t="shared" si="20"/>
        <v>341.4545454545455</v>
      </c>
      <c r="N50" s="35">
        <f t="shared" si="21"/>
        <v>341.4545454545455</v>
      </c>
      <c r="O50" s="97"/>
      <c r="P50" s="150"/>
      <c r="W50" s="11">
        <v>0</v>
      </c>
      <c r="X50" s="1">
        <v>5.3</v>
      </c>
      <c r="Y50" s="35">
        <f t="shared" si="3"/>
        <v>318</v>
      </c>
      <c r="Z50" s="35">
        <f t="shared" si="22"/>
        <v>0</v>
      </c>
      <c r="AA50" s="15">
        <f t="shared" si="80"/>
        <v>1.0533058056076352</v>
      </c>
      <c r="AB50" s="43">
        <f t="shared" si="81"/>
        <v>401.73378468897198</v>
      </c>
      <c r="AC50" s="43">
        <f t="shared" si="82"/>
        <v>381.40280111455212</v>
      </c>
      <c r="AD50" s="33"/>
      <c r="AH50" s="31"/>
      <c r="AO50" s="1">
        <v>5</v>
      </c>
      <c r="AP50" s="35">
        <f t="shared" si="4"/>
        <v>300</v>
      </c>
      <c r="AQ50" s="35">
        <f t="shared" si="23"/>
        <v>0</v>
      </c>
      <c r="AR50" s="15">
        <f t="shared" si="83"/>
        <v>0.84550589728097014</v>
      </c>
      <c r="AS50" s="28">
        <f t="shared" si="37"/>
        <v>336.83702564056784</v>
      </c>
      <c r="AT50" s="28">
        <f t="shared" si="38"/>
        <v>398.38518776011978</v>
      </c>
      <c r="AU50" s="33"/>
      <c r="AY50" s="31"/>
      <c r="BF50" s="1">
        <v>6</v>
      </c>
      <c r="BG50" s="35">
        <f t="shared" si="5"/>
        <v>360</v>
      </c>
      <c r="BH50" s="35">
        <f t="shared" si="24"/>
        <v>0</v>
      </c>
      <c r="BI50" s="15">
        <f t="shared" si="39"/>
        <v>1.1083460943493515</v>
      </c>
      <c r="BJ50" s="28">
        <f t="shared" si="40"/>
        <v>322.15794009179984</v>
      </c>
      <c r="BK50" s="28">
        <f t="shared" si="41"/>
        <v>290.6654714932892</v>
      </c>
      <c r="BL50" s="33"/>
      <c r="BP50" s="31"/>
      <c r="BW50" s="1">
        <v>6</v>
      </c>
      <c r="BX50" s="35">
        <f t="shared" si="6"/>
        <v>360</v>
      </c>
      <c r="BY50" s="35">
        <f t="shared" si="25"/>
        <v>0</v>
      </c>
      <c r="BZ50" s="15">
        <f t="shared" si="42"/>
        <v>1.0146795560590685</v>
      </c>
      <c r="CA50" s="28">
        <f t="shared" si="43"/>
        <v>455.14486936129458</v>
      </c>
      <c r="CB50" s="28">
        <f t="shared" si="44"/>
        <v>448.56020469067067</v>
      </c>
      <c r="CC50" s="33"/>
      <c r="CG50" s="31"/>
      <c r="CN50" s="1">
        <v>7.3</v>
      </c>
      <c r="CO50" s="35">
        <f t="shared" si="7"/>
        <v>438</v>
      </c>
      <c r="CP50" s="35">
        <f t="shared" si="26"/>
        <v>0</v>
      </c>
      <c r="CQ50" s="15">
        <f t="shared" si="45"/>
        <v>1.0405207968877559</v>
      </c>
      <c r="CR50" s="28">
        <f t="shared" si="46"/>
        <v>401.39308553805733</v>
      </c>
      <c r="CS50" s="28">
        <f t="shared" si="47"/>
        <v>385.7617134983193</v>
      </c>
      <c r="CT50" s="33"/>
      <c r="CX50" s="31"/>
      <c r="DE50" s="1">
        <v>3</v>
      </c>
      <c r="DF50" s="35">
        <f t="shared" si="8"/>
        <v>180</v>
      </c>
      <c r="DG50" s="35">
        <f t="shared" si="27"/>
        <v>0</v>
      </c>
      <c r="DH50" s="15">
        <f t="shared" si="48"/>
        <v>0.90534835070802333</v>
      </c>
      <c r="DI50" s="28">
        <f t="shared" si="49"/>
        <v>339.51905701358271</v>
      </c>
      <c r="DJ50" s="28">
        <f t="shared" si="50"/>
        <v>375.01482909651679</v>
      </c>
      <c r="DK50" s="33"/>
      <c r="DO50" s="31"/>
      <c r="DV50" s="1">
        <v>5</v>
      </c>
      <c r="DW50" s="35">
        <f t="shared" si="9"/>
        <v>300</v>
      </c>
      <c r="DX50" s="35">
        <f t="shared" si="28"/>
        <v>0</v>
      </c>
      <c r="DY50" s="15">
        <f t="shared" si="51"/>
        <v>0.99683961236828789</v>
      </c>
      <c r="DZ50" s="28">
        <f t="shared" si="52"/>
        <v>386.81449827134219</v>
      </c>
      <c r="EA50" s="28">
        <f t="shared" si="53"/>
        <v>388.04085779892887</v>
      </c>
      <c r="EB50" s="33"/>
      <c r="EF50" s="31"/>
      <c r="EM50" s="1">
        <v>5</v>
      </c>
      <c r="EN50" s="35">
        <f t="shared" si="10"/>
        <v>300</v>
      </c>
      <c r="EO50" s="35">
        <f t="shared" si="29"/>
        <v>0</v>
      </c>
      <c r="EP50" s="15">
        <f t="shared" si="85"/>
        <v>0.90684609244608394</v>
      </c>
      <c r="EQ50" s="28">
        <f t="shared" si="54"/>
        <v>377.38710851222277</v>
      </c>
      <c r="ER50" s="28">
        <f t="shared" si="55"/>
        <v>416.15342631545838</v>
      </c>
      <c r="ES50" s="33"/>
      <c r="EW50" s="31"/>
      <c r="FD50" s="1">
        <v>7</v>
      </c>
      <c r="FE50" s="35">
        <f t="shared" si="11"/>
        <v>420</v>
      </c>
      <c r="FF50" s="35">
        <f t="shared" si="30"/>
        <v>0</v>
      </c>
      <c r="FG50" s="15">
        <f t="shared" si="56"/>
        <v>1.031787619488755</v>
      </c>
      <c r="FH50" s="28">
        <f t="shared" si="57"/>
        <v>440.55963410712121</v>
      </c>
      <c r="FI50" s="28">
        <f t="shared" si="58"/>
        <v>426.98674202489082</v>
      </c>
      <c r="FJ50" s="33"/>
      <c r="FN50" s="31"/>
      <c r="FU50" s="1">
        <v>7</v>
      </c>
      <c r="FV50" s="35">
        <f t="shared" si="12"/>
        <v>420</v>
      </c>
      <c r="FW50" s="35">
        <f t="shared" si="31"/>
        <v>0</v>
      </c>
      <c r="FX50" s="15">
        <f t="shared" si="87"/>
        <v>0.98796969997032269</v>
      </c>
      <c r="FY50" s="28">
        <f t="shared" si="59"/>
        <v>479.9403076171875</v>
      </c>
      <c r="FZ50" s="28">
        <f t="shared" si="60"/>
        <v>485.78444018232977</v>
      </c>
      <c r="GA50" s="33"/>
      <c r="GE50" s="31"/>
      <c r="GL50" s="1">
        <v>6</v>
      </c>
      <c r="GM50" s="35">
        <f t="shared" si="13"/>
        <v>360</v>
      </c>
      <c r="GN50" s="35">
        <f t="shared" si="32"/>
        <v>0</v>
      </c>
      <c r="GO50" s="15">
        <f t="shared" si="77"/>
        <v>0.80877187585609889</v>
      </c>
      <c r="GP50" s="28">
        <f t="shared" si="61"/>
        <v>436.30623129365802</v>
      </c>
      <c r="GQ50" s="28">
        <f t="shared" si="62"/>
        <v>539.46761048264739</v>
      </c>
      <c r="GR50" s="33"/>
      <c r="GV50" s="31"/>
      <c r="HC50" s="1">
        <v>5</v>
      </c>
      <c r="HD50" s="35">
        <f t="shared" si="14"/>
        <v>300</v>
      </c>
      <c r="HE50" s="35">
        <f t="shared" si="33"/>
        <v>0</v>
      </c>
      <c r="HF50" s="15">
        <f t="shared" si="63"/>
        <v>0.69802137879139659</v>
      </c>
      <c r="HG50" s="28">
        <f t="shared" si="64"/>
        <v>199.32574264899534</v>
      </c>
      <c r="HH50" s="28">
        <f t="shared" si="65"/>
        <v>285.55822028563364</v>
      </c>
      <c r="HI50" s="33"/>
      <c r="HM50" s="31"/>
      <c r="HU50" s="35">
        <f t="shared" si="15"/>
        <v>0</v>
      </c>
      <c r="HV50" s="35">
        <f t="shared" si="34"/>
        <v>0</v>
      </c>
      <c r="HW50" s="15">
        <f t="shared" si="66"/>
        <v>0.63535002178522682</v>
      </c>
      <c r="HX50" s="28">
        <f t="shared" si="67"/>
        <v>104.19324747488531</v>
      </c>
      <c r="HY50" s="28">
        <f t="shared" si="68"/>
        <v>163.99345856968696</v>
      </c>
      <c r="HZ50" s="33"/>
      <c r="ID50" s="31"/>
      <c r="II50" s="12"/>
      <c r="IL50" s="35">
        <f t="shared" si="16"/>
        <v>0</v>
      </c>
      <c r="IM50" s="35">
        <f t="shared" si="17"/>
        <v>4426.4245395667094</v>
      </c>
      <c r="IN50" s="15">
        <f t="shared" si="69"/>
        <v>8.4129198253654596E-3</v>
      </c>
      <c r="IO50" s="28">
        <f t="shared" si="70"/>
        <v>0.47386592082519163</v>
      </c>
      <c r="IP50" s="28">
        <f t="shared" si="71"/>
        <v>56.325976077468063</v>
      </c>
      <c r="IQ50" s="33"/>
      <c r="IU50" s="31"/>
      <c r="JC50" s="35">
        <f t="shared" si="18"/>
        <v>0</v>
      </c>
      <c r="JD50" s="35">
        <f t="shared" si="19"/>
        <v>3975.5024720344891</v>
      </c>
      <c r="JE50" s="15" t="e">
        <f t="shared" si="72"/>
        <v>#DIV/0!</v>
      </c>
      <c r="JF50" s="28">
        <f t="shared" si="73"/>
        <v>0</v>
      </c>
      <c r="JG50" s="28">
        <f t="shared" si="74"/>
        <v>0</v>
      </c>
      <c r="JH50" s="33"/>
      <c r="JL50" s="31"/>
      <c r="JR50" s="99"/>
      <c r="JS50" s="99"/>
      <c r="JT50" s="99"/>
      <c r="JU50" s="99"/>
      <c r="JV50" s="99"/>
      <c r="JW50" s="99"/>
      <c r="JX50" s="99"/>
      <c r="JY50" s="99"/>
      <c r="JZ50" s="99"/>
      <c r="KA50" s="99"/>
      <c r="KB50" s="99"/>
      <c r="KC50" s="99"/>
      <c r="KD50" s="99"/>
      <c r="KE50" s="99"/>
      <c r="KF50" s="99"/>
      <c r="KG50" s="99"/>
      <c r="KH50" s="99"/>
      <c r="KI50" s="99"/>
      <c r="KJ50" s="99"/>
      <c r="KK50" s="99"/>
      <c r="KL50" s="99"/>
      <c r="KM50" s="99"/>
      <c r="KN50" s="99"/>
      <c r="KO50" s="99"/>
      <c r="KP50" s="99"/>
      <c r="KQ50" s="99"/>
      <c r="KR50" s="99"/>
      <c r="KS50" s="99"/>
      <c r="KT50" s="99"/>
      <c r="KU50" s="99"/>
      <c r="KV50" s="99"/>
      <c r="KW50" s="99"/>
      <c r="KX50" s="99"/>
      <c r="KY50" s="99"/>
      <c r="KZ50" s="99"/>
      <c r="LA50" s="99"/>
      <c r="LB50" s="99"/>
      <c r="LC50" s="99"/>
      <c r="LD50" s="99"/>
      <c r="LE50" s="99"/>
      <c r="LF50" s="99"/>
      <c r="LG50" s="99"/>
      <c r="LH50" s="99"/>
      <c r="LI50" s="99"/>
      <c r="LJ50" s="99"/>
      <c r="LK50" s="99"/>
      <c r="LL50" s="99"/>
      <c r="LM50" s="99"/>
      <c r="LN50" s="99"/>
      <c r="LO50" s="99"/>
      <c r="LP50" s="99"/>
      <c r="LQ50" s="99"/>
      <c r="LR50" s="99"/>
      <c r="LS50" s="99"/>
      <c r="LT50" s="99"/>
      <c r="LU50" s="99"/>
      <c r="LV50" s="99"/>
      <c r="LW50" s="99"/>
      <c r="LX50" s="99"/>
      <c r="LY50" s="99"/>
      <c r="LZ50" s="99"/>
      <c r="MA50" s="99"/>
      <c r="MB50" s="99"/>
      <c r="MC50" s="99"/>
      <c r="MD50" s="99"/>
      <c r="ME50" s="99"/>
      <c r="MF50" s="99"/>
    </row>
    <row r="51" spans="1:344" ht="17.25" customHeight="1" x14ac:dyDescent="0.25">
      <c r="A51" s="156"/>
      <c r="B51" s="90" t="s">
        <v>6</v>
      </c>
      <c r="C51" s="91">
        <v>45185</v>
      </c>
      <c r="D51" s="49"/>
      <c r="G51" s="89">
        <f t="shared" si="0"/>
        <v>0</v>
      </c>
      <c r="H51" s="35">
        <f t="shared" si="1"/>
        <v>0</v>
      </c>
      <c r="I51" s="39">
        <v>12</v>
      </c>
      <c r="K51" s="103">
        <v>100</v>
      </c>
      <c r="L51" s="89">
        <f t="shared" si="2"/>
        <v>6.95</v>
      </c>
      <c r="M51" s="35">
        <f t="shared" si="20"/>
        <v>695</v>
      </c>
      <c r="N51" s="35">
        <f t="shared" si="21"/>
        <v>695</v>
      </c>
      <c r="O51" s="97"/>
      <c r="P51" s="150"/>
      <c r="W51" s="11">
        <v>0</v>
      </c>
      <c r="X51" s="1">
        <v>6.5</v>
      </c>
      <c r="Y51" s="35">
        <f t="shared" si="3"/>
        <v>650</v>
      </c>
      <c r="Z51" s="35">
        <f t="shared" si="22"/>
        <v>0</v>
      </c>
      <c r="AA51" s="15">
        <f t="shared" si="80"/>
        <v>1.1597132307649511</v>
      </c>
      <c r="AB51" s="43">
        <f t="shared" si="81"/>
        <v>463.80033851672897</v>
      </c>
      <c r="AC51" s="43">
        <f t="shared" si="82"/>
        <v>399.92674586527266</v>
      </c>
      <c r="AD51" s="33"/>
      <c r="AH51" s="31"/>
      <c r="AO51" s="1">
        <v>5</v>
      </c>
      <c r="AP51" s="35">
        <f t="shared" si="4"/>
        <v>500</v>
      </c>
      <c r="AQ51" s="35">
        <f t="shared" si="23"/>
        <v>0</v>
      </c>
      <c r="AR51" s="15">
        <f t="shared" si="83"/>
        <v>0.93151009177305621</v>
      </c>
      <c r="AS51" s="28">
        <f t="shared" si="37"/>
        <v>377.62776923042588</v>
      </c>
      <c r="AT51" s="28">
        <f t="shared" si="38"/>
        <v>405.39310584562872</v>
      </c>
      <c r="AU51" s="33"/>
      <c r="AY51" s="31"/>
      <c r="BF51" s="1">
        <v>8</v>
      </c>
      <c r="BG51" s="35">
        <f t="shared" si="5"/>
        <v>800</v>
      </c>
      <c r="BH51" s="35">
        <f t="shared" si="24"/>
        <v>0</v>
      </c>
      <c r="BI51" s="15">
        <f t="shared" si="39"/>
        <v>1.3555227497124922</v>
      </c>
      <c r="BJ51" s="28">
        <f t="shared" si="40"/>
        <v>441.61845506884987</v>
      </c>
      <c r="BK51" s="28">
        <f t="shared" si="41"/>
        <v>325.79199070064857</v>
      </c>
      <c r="BL51" s="33"/>
      <c r="BP51" s="31"/>
      <c r="BW51" s="1">
        <v>7</v>
      </c>
      <c r="BX51" s="35">
        <f t="shared" si="6"/>
        <v>700</v>
      </c>
      <c r="BY51" s="35">
        <f t="shared" si="25"/>
        <v>0</v>
      </c>
      <c r="BZ51" s="15">
        <f t="shared" si="42"/>
        <v>1.1083015163373338</v>
      </c>
      <c r="CA51" s="28">
        <f t="shared" si="43"/>
        <v>516.35865202097091</v>
      </c>
      <c r="CB51" s="28">
        <f t="shared" si="44"/>
        <v>465.9008802292451</v>
      </c>
      <c r="CC51" s="33"/>
      <c r="CG51" s="31"/>
      <c r="CM51" s="86"/>
      <c r="CN51" s="87"/>
      <c r="CO51" s="35">
        <f t="shared" si="7"/>
        <v>0</v>
      </c>
      <c r="CP51" s="35">
        <f t="shared" si="26"/>
        <v>0</v>
      </c>
      <c r="CQ51" s="15">
        <f t="shared" si="45"/>
        <v>0.83819730860402564</v>
      </c>
      <c r="CR51" s="28">
        <f t="shared" si="46"/>
        <v>301.04481415354303</v>
      </c>
      <c r="CS51" s="28">
        <f t="shared" si="47"/>
        <v>359.15745739498692</v>
      </c>
      <c r="CT51" s="33"/>
      <c r="CX51" s="31"/>
      <c r="DE51" s="1">
        <v>7</v>
      </c>
      <c r="DF51" s="35">
        <f t="shared" si="8"/>
        <v>700</v>
      </c>
      <c r="DG51" s="35">
        <f t="shared" si="27"/>
        <v>0</v>
      </c>
      <c r="DH51" s="15">
        <f t="shared" si="48"/>
        <v>1.081050468806803</v>
      </c>
      <c r="DI51" s="28">
        <f t="shared" si="49"/>
        <v>429.639292760187</v>
      </c>
      <c r="DJ51" s="28">
        <f t="shared" si="50"/>
        <v>397.42759950365354</v>
      </c>
      <c r="DK51" s="33"/>
      <c r="DO51" s="31"/>
      <c r="DV51" s="1">
        <v>8</v>
      </c>
      <c r="DW51" s="35">
        <f t="shared" si="9"/>
        <v>800</v>
      </c>
      <c r="DX51" s="35">
        <f t="shared" si="28"/>
        <v>0</v>
      </c>
      <c r="DY51" s="15">
        <f t="shared" si="51"/>
        <v>1.1768728931458101</v>
      </c>
      <c r="DZ51" s="28">
        <f t="shared" si="52"/>
        <v>490.11087370350663</v>
      </c>
      <c r="EA51" s="28">
        <f t="shared" si="53"/>
        <v>416.45183312314066</v>
      </c>
      <c r="EB51" s="33"/>
      <c r="EF51" s="31"/>
      <c r="EM51" s="1">
        <v>7</v>
      </c>
      <c r="EN51" s="35">
        <f t="shared" si="10"/>
        <v>700</v>
      </c>
      <c r="EO51" s="35">
        <f t="shared" si="29"/>
        <v>0</v>
      </c>
      <c r="EP51" s="15">
        <f t="shared" si="85"/>
        <v>1.0512044794592126</v>
      </c>
      <c r="EQ51" s="28">
        <f t="shared" si="54"/>
        <v>458.04033138416708</v>
      </c>
      <c r="ER51" s="28">
        <f t="shared" si="55"/>
        <v>435.72905208680606</v>
      </c>
      <c r="ES51" s="33"/>
      <c r="EW51" s="31"/>
      <c r="FD51" s="1">
        <v>7</v>
      </c>
      <c r="FE51" s="35">
        <f t="shared" si="11"/>
        <v>700</v>
      </c>
      <c r="FF51" s="35">
        <f t="shared" si="30"/>
        <v>0</v>
      </c>
      <c r="FG51" s="15">
        <f t="shared" si="56"/>
        <v>1.133697723436248</v>
      </c>
      <c r="FH51" s="28">
        <f t="shared" si="57"/>
        <v>505.41972558034092</v>
      </c>
      <c r="FI51" s="28">
        <f t="shared" si="58"/>
        <v>445.81524257489832</v>
      </c>
      <c r="FJ51" s="33"/>
      <c r="FN51" s="31"/>
      <c r="FU51" s="1">
        <v>8</v>
      </c>
      <c r="FV51" s="35">
        <f t="shared" si="12"/>
        <v>800</v>
      </c>
      <c r="FW51" s="35">
        <f t="shared" si="31"/>
        <v>0</v>
      </c>
      <c r="FX51" s="15">
        <f t="shared" si="87"/>
        <v>1.103459037444275</v>
      </c>
      <c r="FY51" s="28">
        <f t="shared" si="59"/>
        <v>559.95523071289063</v>
      </c>
      <c r="FZ51" s="28">
        <f t="shared" si="60"/>
        <v>507.45447879044491</v>
      </c>
      <c r="GA51" s="33"/>
      <c r="GE51" s="31"/>
      <c r="GL51" s="1">
        <v>6</v>
      </c>
      <c r="GM51" s="35">
        <f t="shared" si="13"/>
        <v>600</v>
      </c>
      <c r="GN51" s="35">
        <f t="shared" si="32"/>
        <v>0</v>
      </c>
      <c r="GO51" s="15">
        <f t="shared" si="77"/>
        <v>0.87783770745617851</v>
      </c>
      <c r="GP51" s="28">
        <f t="shared" si="61"/>
        <v>477.22967347024348</v>
      </c>
      <c r="GQ51" s="28">
        <f t="shared" si="62"/>
        <v>543.64225803556826</v>
      </c>
      <c r="GR51" s="33"/>
      <c r="GV51" s="31"/>
      <c r="HD51" s="35">
        <f t="shared" si="14"/>
        <v>0</v>
      </c>
      <c r="HE51" s="35">
        <f t="shared" si="33"/>
        <v>0</v>
      </c>
      <c r="HF51" s="15">
        <f t="shared" si="63"/>
        <v>0.56229499958195828</v>
      </c>
      <c r="HG51" s="28">
        <f t="shared" si="64"/>
        <v>149.49430698674649</v>
      </c>
      <c r="HH51" s="28">
        <f t="shared" si="65"/>
        <v>265.8645499211072</v>
      </c>
      <c r="HI51" s="33"/>
      <c r="HM51" s="31"/>
      <c r="HU51" s="35">
        <f t="shared" si="15"/>
        <v>0</v>
      </c>
      <c r="HV51" s="35">
        <f t="shared" si="34"/>
        <v>0</v>
      </c>
      <c r="HW51" s="15">
        <f t="shared" si="66"/>
        <v>0.51180973977143274</v>
      </c>
      <c r="HX51" s="28">
        <f t="shared" si="67"/>
        <v>78.144935606163983</v>
      </c>
      <c r="HY51" s="28">
        <f t="shared" si="68"/>
        <v>152.68356487522578</v>
      </c>
      <c r="HZ51" s="33"/>
      <c r="ID51" s="31"/>
      <c r="II51" s="12"/>
      <c r="IL51" s="35">
        <f t="shared" si="16"/>
        <v>0</v>
      </c>
      <c r="IM51" s="35">
        <f t="shared" si="17"/>
        <v>5098.2639137791211</v>
      </c>
      <c r="IN51" s="15">
        <f t="shared" si="69"/>
        <v>6.7770743037666196E-3</v>
      </c>
      <c r="IO51" s="28">
        <f t="shared" si="70"/>
        <v>0.35539944061889372</v>
      </c>
      <c r="IP51" s="28">
        <f t="shared" si="71"/>
        <v>52.441426003159918</v>
      </c>
      <c r="IQ51" s="33"/>
      <c r="IU51" s="31"/>
      <c r="JC51" s="35">
        <f t="shared" si="18"/>
        <v>0</v>
      </c>
      <c r="JD51" s="35">
        <f t="shared" si="19"/>
        <v>3002.4811355149186</v>
      </c>
      <c r="JE51" s="15" t="e">
        <f t="shared" si="72"/>
        <v>#DIV/0!</v>
      </c>
      <c r="JF51" s="28">
        <f t="shared" si="73"/>
        <v>0</v>
      </c>
      <c r="JG51" s="28">
        <f t="shared" si="74"/>
        <v>0</v>
      </c>
      <c r="JH51" s="33"/>
      <c r="JL51" s="31"/>
      <c r="JR51" s="99"/>
      <c r="JS51" s="99"/>
      <c r="JT51" s="99"/>
      <c r="JU51" s="99"/>
      <c r="JV51" s="99"/>
      <c r="JW51" s="99"/>
      <c r="JX51" s="99"/>
      <c r="JY51" s="99"/>
      <c r="JZ51" s="99"/>
      <c r="KA51" s="99"/>
      <c r="KB51" s="99"/>
      <c r="KC51" s="99"/>
      <c r="KD51" s="99"/>
      <c r="KE51" s="99"/>
      <c r="KF51" s="99"/>
      <c r="KG51" s="99"/>
      <c r="KH51" s="99"/>
      <c r="KI51" s="99"/>
      <c r="KJ51" s="99"/>
      <c r="KK51" s="99"/>
      <c r="KL51" s="99"/>
      <c r="KM51" s="99"/>
      <c r="KN51" s="99"/>
      <c r="KO51" s="99"/>
      <c r="KP51" s="99"/>
      <c r="KQ51" s="99"/>
      <c r="KR51" s="99"/>
      <c r="KS51" s="99"/>
      <c r="KT51" s="99"/>
      <c r="KU51" s="99"/>
      <c r="KV51" s="99"/>
      <c r="KW51" s="99"/>
      <c r="KX51" s="99"/>
      <c r="KY51" s="99"/>
      <c r="KZ51" s="99"/>
      <c r="LA51" s="99"/>
      <c r="LB51" s="99"/>
      <c r="LC51" s="99"/>
      <c r="LD51" s="99"/>
      <c r="LE51" s="99"/>
      <c r="LF51" s="99"/>
      <c r="LG51" s="99"/>
      <c r="LH51" s="99"/>
      <c r="LI51" s="99"/>
      <c r="LJ51" s="99"/>
      <c r="LK51" s="99"/>
      <c r="LL51" s="99"/>
      <c r="LM51" s="99"/>
      <c r="LN51" s="99"/>
      <c r="LO51" s="99"/>
      <c r="LP51" s="99"/>
      <c r="LQ51" s="99"/>
      <c r="LR51" s="99"/>
      <c r="LS51" s="99"/>
      <c r="LT51" s="99"/>
      <c r="LU51" s="99"/>
      <c r="LV51" s="99"/>
      <c r="LW51" s="99"/>
      <c r="LX51" s="99"/>
      <c r="LY51" s="99"/>
      <c r="LZ51" s="99"/>
      <c r="MA51" s="99"/>
      <c r="MB51" s="99"/>
      <c r="MC51" s="99"/>
      <c r="MD51" s="99"/>
      <c r="ME51" s="99"/>
      <c r="MF51" s="99"/>
    </row>
    <row r="52" spans="1:344" ht="17.25" customHeight="1" x14ac:dyDescent="0.25">
      <c r="A52" s="157"/>
      <c r="B52" s="83" t="s">
        <v>7</v>
      </c>
      <c r="C52" s="84">
        <v>45186</v>
      </c>
      <c r="D52" s="51"/>
      <c r="E52" s="48"/>
      <c r="F52" s="104"/>
      <c r="G52" s="37">
        <f t="shared" si="0"/>
        <v>0</v>
      </c>
      <c r="H52" s="26">
        <f t="shared" si="1"/>
        <v>0</v>
      </c>
      <c r="I52" s="48"/>
      <c r="J52" s="48"/>
      <c r="K52" s="104"/>
      <c r="L52" s="37">
        <f t="shared" si="2"/>
        <v>0</v>
      </c>
      <c r="M52" s="26">
        <f t="shared" si="20"/>
        <v>0</v>
      </c>
      <c r="N52" s="26">
        <f t="shared" si="21"/>
        <v>0</v>
      </c>
      <c r="O52" s="98"/>
      <c r="P52" s="151"/>
      <c r="Q52" s="125"/>
      <c r="R52" s="115"/>
      <c r="S52" s="130"/>
      <c r="T52" s="110"/>
      <c r="U52" s="120"/>
      <c r="V52" s="23"/>
      <c r="W52" s="13">
        <v>0</v>
      </c>
      <c r="X52" s="2">
        <v>0</v>
      </c>
      <c r="Y52" s="26">
        <f t="shared" si="3"/>
        <v>0</v>
      </c>
      <c r="Z52" s="26">
        <f t="shared" si="22"/>
        <v>0</v>
      </c>
      <c r="AA52" s="16">
        <f t="shared" si="80"/>
        <v>0.93421343589398853</v>
      </c>
      <c r="AB52" s="44">
        <f t="shared" si="81"/>
        <v>347.85025388754673</v>
      </c>
      <c r="AC52" s="44">
        <f t="shared" si="82"/>
        <v>372.34559097801247</v>
      </c>
      <c r="AD52" s="34"/>
      <c r="AE52" s="4"/>
      <c r="AF52" s="5"/>
      <c r="AG52" s="6"/>
      <c r="AH52" s="32"/>
      <c r="AI52" s="3"/>
      <c r="AJ52" s="4"/>
      <c r="AK52" s="5"/>
      <c r="AL52" s="6"/>
      <c r="AM52" s="14"/>
      <c r="AN52" s="13"/>
      <c r="AO52" s="2"/>
      <c r="AP52" s="26">
        <f t="shared" si="4"/>
        <v>0</v>
      </c>
      <c r="AQ52" s="26">
        <f t="shared" si="23"/>
        <v>0</v>
      </c>
      <c r="AR52" s="16">
        <f t="shared" si="83"/>
        <v>0.75038312948385077</v>
      </c>
      <c r="AS52" s="29">
        <f t="shared" si="37"/>
        <v>283.22082692281941</v>
      </c>
      <c r="AT52" s="29">
        <f t="shared" si="38"/>
        <v>377.43496061489572</v>
      </c>
      <c r="AU52" s="34"/>
      <c r="AV52" s="4"/>
      <c r="AW52" s="5"/>
      <c r="AX52" s="6"/>
      <c r="AY52" s="32"/>
      <c r="AZ52" s="3"/>
      <c r="BA52" s="4"/>
      <c r="BB52" s="5"/>
      <c r="BC52" s="6"/>
      <c r="BD52" s="14"/>
      <c r="BE52" s="13"/>
      <c r="BF52" s="2"/>
      <c r="BG52" s="26">
        <f t="shared" si="5"/>
        <v>0</v>
      </c>
      <c r="BH52" s="26">
        <f t="shared" si="24"/>
        <v>0</v>
      </c>
      <c r="BI52" s="16">
        <f t="shared" si="39"/>
        <v>1.0919488817128409</v>
      </c>
      <c r="BJ52" s="29">
        <f t="shared" si="40"/>
        <v>331.21384130163739</v>
      </c>
      <c r="BK52" s="29">
        <f t="shared" si="41"/>
        <v>303.32357754887971</v>
      </c>
      <c r="BL52" s="34"/>
      <c r="BM52" s="4"/>
      <c r="BN52" s="5"/>
      <c r="BO52" s="6"/>
      <c r="BP52" s="32"/>
      <c r="BQ52" s="3"/>
      <c r="BR52" s="4"/>
      <c r="BS52" s="5"/>
      <c r="BT52" s="6"/>
      <c r="BU52" s="14"/>
      <c r="BV52" s="13"/>
      <c r="BW52" s="2"/>
      <c r="BX52" s="26">
        <f t="shared" si="6"/>
        <v>0</v>
      </c>
      <c r="BY52" s="26">
        <f t="shared" si="25"/>
        <v>0</v>
      </c>
      <c r="BZ52" s="16">
        <f t="shared" si="42"/>
        <v>0.89279844371618555</v>
      </c>
      <c r="CA52" s="29">
        <f t="shared" si="43"/>
        <v>387.26898901572815</v>
      </c>
      <c r="CB52" s="29">
        <f t="shared" si="44"/>
        <v>433.76978504102129</v>
      </c>
      <c r="CC52" s="34"/>
      <c r="CD52" s="4"/>
      <c r="CE52" s="5"/>
      <c r="CF52" s="6"/>
      <c r="CG52" s="32"/>
      <c r="CH52" s="3"/>
      <c r="CI52" s="4"/>
      <c r="CJ52" s="5"/>
      <c r="CK52" s="6"/>
      <c r="CL52" s="14"/>
      <c r="CM52" s="95"/>
      <c r="CN52" s="96"/>
      <c r="CO52" s="26">
        <f t="shared" si="7"/>
        <v>0</v>
      </c>
      <c r="CP52" s="26">
        <f t="shared" si="26"/>
        <v>0</v>
      </c>
      <c r="CQ52" s="16">
        <f t="shared" si="45"/>
        <v>0.67521449859768723</v>
      </c>
      <c r="CR52" s="29">
        <f t="shared" si="46"/>
        <v>225.78361061515727</v>
      </c>
      <c r="CS52" s="29">
        <f t="shared" si="47"/>
        <v>334.387977574643</v>
      </c>
      <c r="CT52" s="34"/>
      <c r="CU52" s="4"/>
      <c r="CV52" s="5"/>
      <c r="CW52" s="6"/>
      <c r="CX52" s="32"/>
      <c r="CY52" s="3"/>
      <c r="CZ52" s="4"/>
      <c r="DA52" s="5"/>
      <c r="DB52" s="6"/>
      <c r="DC52" s="14"/>
      <c r="DD52" s="13"/>
      <c r="DE52" s="2"/>
      <c r="DF52" s="26">
        <f t="shared" si="8"/>
        <v>0</v>
      </c>
      <c r="DG52" s="26">
        <f t="shared" si="27"/>
        <v>0</v>
      </c>
      <c r="DH52" s="16">
        <f t="shared" si="48"/>
        <v>0.8708462109832581</v>
      </c>
      <c r="DI52" s="29">
        <f t="shared" si="49"/>
        <v>322.22946957014028</v>
      </c>
      <c r="DJ52" s="29">
        <f t="shared" si="50"/>
        <v>370.01879953788432</v>
      </c>
      <c r="DK52" s="34"/>
      <c r="DL52" s="4"/>
      <c r="DM52" s="5"/>
      <c r="DN52" s="6"/>
      <c r="DO52" s="32"/>
      <c r="DP52" s="3"/>
      <c r="DQ52" s="4"/>
      <c r="DR52" s="5"/>
      <c r="DS52" s="6"/>
      <c r="DT52" s="14"/>
      <c r="DU52" s="13"/>
      <c r="DV52" s="2"/>
      <c r="DW52" s="26">
        <f t="shared" si="9"/>
        <v>0</v>
      </c>
      <c r="DX52" s="26">
        <f t="shared" si="28"/>
        <v>0</v>
      </c>
      <c r="DY52" s="16">
        <f t="shared" si="51"/>
        <v>0.94803649725634709</v>
      </c>
      <c r="DZ52" s="29">
        <f t="shared" si="52"/>
        <v>367.58315527763</v>
      </c>
      <c r="EA52" s="29">
        <f t="shared" si="53"/>
        <v>387.73101704568268</v>
      </c>
      <c r="EB52" s="34"/>
      <c r="EC52" s="4"/>
      <c r="ED52" s="5"/>
      <c r="EE52" s="6"/>
      <c r="EF52" s="32"/>
      <c r="EG52" s="3"/>
      <c r="EH52" s="4"/>
      <c r="EI52" s="5"/>
      <c r="EJ52" s="6"/>
      <c r="EK52" s="14"/>
      <c r="EL52" s="13"/>
      <c r="EM52" s="2"/>
      <c r="EN52" s="26">
        <f t="shared" si="10"/>
        <v>0</v>
      </c>
      <c r="EO52" s="26">
        <f t="shared" si="29"/>
        <v>0</v>
      </c>
      <c r="EP52" s="16">
        <f t="shared" si="85"/>
        <v>0.84680360845325464</v>
      </c>
      <c r="EQ52" s="29">
        <f t="shared" si="54"/>
        <v>343.53024853812531</v>
      </c>
      <c r="ER52" s="29">
        <f t="shared" si="55"/>
        <v>405.67877263254354</v>
      </c>
      <c r="ES52" s="34"/>
      <c r="ET52" s="4"/>
      <c r="EU52" s="5"/>
      <c r="EV52" s="6"/>
      <c r="EW52" s="32"/>
      <c r="EX52" s="3"/>
      <c r="EY52" s="4"/>
      <c r="EZ52" s="5"/>
      <c r="FA52" s="6"/>
      <c r="FB52" s="14"/>
      <c r="FC52" s="13"/>
      <c r="FD52" s="2"/>
      <c r="FE52" s="26">
        <f t="shared" si="11"/>
        <v>0</v>
      </c>
      <c r="FF52" s="26">
        <f t="shared" si="30"/>
        <v>0</v>
      </c>
      <c r="FG52" s="16">
        <f t="shared" si="56"/>
        <v>0.91325649943475529</v>
      </c>
      <c r="FH52" s="29">
        <f t="shared" si="57"/>
        <v>379.06479418525566</v>
      </c>
      <c r="FI52" s="29">
        <f t="shared" si="58"/>
        <v>415.06936377662947</v>
      </c>
      <c r="FJ52" s="34"/>
      <c r="FK52" s="4"/>
      <c r="FL52" s="5"/>
      <c r="FM52" s="6"/>
      <c r="FN52" s="32"/>
      <c r="FO52" s="3"/>
      <c r="FP52" s="4"/>
      <c r="FQ52" s="5"/>
      <c r="FR52" s="6"/>
      <c r="FS52" s="14"/>
      <c r="FT52" s="13"/>
      <c r="FU52" s="2"/>
      <c r="FV52" s="26">
        <f t="shared" si="12"/>
        <v>0</v>
      </c>
      <c r="FW52" s="26">
        <f t="shared" si="31"/>
        <v>0</v>
      </c>
      <c r="FX52" s="16">
        <f t="shared" si="87"/>
        <v>0.88889755794122161</v>
      </c>
      <c r="FY52" s="29">
        <f t="shared" si="59"/>
        <v>419.96642303466797</v>
      </c>
      <c r="FZ52" s="29">
        <f t="shared" si="60"/>
        <v>472.45761818420732</v>
      </c>
      <c r="GA52" s="34"/>
      <c r="GB52" s="4"/>
      <c r="GC52" s="5"/>
      <c r="GD52" s="6"/>
      <c r="GE52" s="32"/>
      <c r="GF52" s="3"/>
      <c r="GG52" s="4"/>
      <c r="GH52" s="5"/>
      <c r="GI52" s="6"/>
      <c r="GJ52" s="14"/>
      <c r="GK52" s="13"/>
      <c r="GL52" s="2"/>
      <c r="GM52" s="26">
        <f t="shared" si="13"/>
        <v>0</v>
      </c>
      <c r="GN52" s="26">
        <f t="shared" si="32"/>
        <v>0</v>
      </c>
      <c r="GO52" s="16">
        <f t="shared" si="77"/>
        <v>0.70714704211747714</v>
      </c>
      <c r="GP52" s="29">
        <f t="shared" si="61"/>
        <v>357.92225510268258</v>
      </c>
      <c r="GQ52" s="29">
        <f t="shared" si="62"/>
        <v>506.14968851587389</v>
      </c>
      <c r="GR52" s="34"/>
      <c r="GS52" s="4"/>
      <c r="GT52" s="5"/>
      <c r="GU52" s="6"/>
      <c r="GV52" s="32"/>
      <c r="GW52" s="3"/>
      <c r="GX52" s="4"/>
      <c r="GY52" s="5"/>
      <c r="GZ52" s="6"/>
      <c r="HA52" s="14"/>
      <c r="HB52" s="13"/>
      <c r="HC52" s="2"/>
      <c r="HD52" s="26">
        <f t="shared" si="14"/>
        <v>0</v>
      </c>
      <c r="HE52" s="26">
        <f t="shared" si="33"/>
        <v>0</v>
      </c>
      <c r="HF52" s="16">
        <f t="shared" si="63"/>
        <v>0.45295986077435524</v>
      </c>
      <c r="HG52" s="29">
        <f t="shared" si="64"/>
        <v>112.12073024005987</v>
      </c>
      <c r="HH52" s="29">
        <f t="shared" si="65"/>
        <v>247.52906371965153</v>
      </c>
      <c r="HI52" s="34"/>
      <c r="HJ52" s="4"/>
      <c r="HK52" s="5"/>
      <c r="HL52" s="6"/>
      <c r="HM52" s="32"/>
      <c r="HN52" s="3"/>
      <c r="HO52" s="4"/>
      <c r="HP52" s="5"/>
      <c r="HQ52" s="6"/>
      <c r="HR52" s="14"/>
      <c r="HS52" s="13"/>
      <c r="HT52" s="2"/>
      <c r="HU52" s="26">
        <f t="shared" si="15"/>
        <v>0</v>
      </c>
      <c r="HV52" s="26">
        <f t="shared" si="34"/>
        <v>0</v>
      </c>
      <c r="HW52" s="16">
        <f t="shared" si="66"/>
        <v>0.41229117926032088</v>
      </c>
      <c r="HX52" s="29">
        <f t="shared" si="67"/>
        <v>58.608701704622987</v>
      </c>
      <c r="HY52" s="29">
        <f t="shared" si="68"/>
        <v>142.15366384934813</v>
      </c>
      <c r="HZ52" s="34"/>
      <c r="IA52" s="4"/>
      <c r="IB52" s="5"/>
      <c r="IC52" s="6"/>
      <c r="ID52" s="32"/>
      <c r="IE52" s="3"/>
      <c r="IF52" s="4"/>
      <c r="IG52" s="5"/>
      <c r="IH52" s="6"/>
      <c r="II52" s="14"/>
      <c r="IJ52" s="13"/>
      <c r="IK52" s="2"/>
      <c r="IL52" s="26">
        <f t="shared" si="16"/>
        <v>0</v>
      </c>
      <c r="IM52" s="26">
        <f t="shared" si="17"/>
        <v>3720.6032765991677</v>
      </c>
      <c r="IN52" s="16">
        <f t="shared" si="69"/>
        <v>5.4593098558120001E-3</v>
      </c>
      <c r="IO52" s="29">
        <f t="shared" si="70"/>
        <v>0.26654958046417032</v>
      </c>
      <c r="IP52" s="29">
        <f t="shared" si="71"/>
        <v>48.824775933976476</v>
      </c>
      <c r="IQ52" s="34"/>
      <c r="IR52" s="4"/>
      <c r="IS52" s="5"/>
      <c r="IT52" s="6"/>
      <c r="IU52" s="32"/>
      <c r="IV52" s="3"/>
      <c r="IW52" s="4"/>
      <c r="IX52" s="5"/>
      <c r="IY52" s="6"/>
      <c r="IZ52" s="14"/>
      <c r="JA52" s="13"/>
      <c r="JB52" s="2"/>
      <c r="JC52" s="26">
        <f t="shared" si="18"/>
        <v>0</v>
      </c>
      <c r="JD52" s="26">
        <f t="shared" si="19"/>
        <v>2577.0999738296368</v>
      </c>
      <c r="JE52" s="16" t="e">
        <f t="shared" si="72"/>
        <v>#DIV/0!</v>
      </c>
      <c r="JF52" s="29">
        <f t="shared" si="73"/>
        <v>0</v>
      </c>
      <c r="JG52" s="29">
        <f t="shared" si="74"/>
        <v>0</v>
      </c>
      <c r="JH52" s="34"/>
      <c r="JI52" s="4"/>
      <c r="JJ52" s="5"/>
      <c r="JK52" s="6"/>
      <c r="JL52" s="32"/>
      <c r="JM52" s="3"/>
      <c r="JN52" s="4"/>
      <c r="JO52" s="5"/>
      <c r="JP52" s="6"/>
      <c r="JQ52" s="14"/>
      <c r="JR52" s="99"/>
      <c r="JS52" s="99"/>
      <c r="JT52" s="99"/>
      <c r="JU52" s="99"/>
      <c r="JV52" s="99"/>
      <c r="JW52" s="99"/>
      <c r="JX52" s="99"/>
      <c r="JY52" s="99"/>
      <c r="JZ52" s="99"/>
      <c r="KA52" s="99"/>
      <c r="KB52" s="99"/>
      <c r="KC52" s="99"/>
      <c r="KD52" s="99"/>
      <c r="KE52" s="99"/>
      <c r="KF52" s="99"/>
      <c r="KG52" s="99"/>
      <c r="KH52" s="99"/>
      <c r="KI52" s="99"/>
      <c r="KJ52" s="99"/>
      <c r="KK52" s="99"/>
      <c r="KL52" s="99"/>
      <c r="KM52" s="99"/>
      <c r="KN52" s="99"/>
      <c r="KO52" s="99"/>
      <c r="KP52" s="99"/>
      <c r="KQ52" s="99"/>
      <c r="KR52" s="99"/>
      <c r="KS52" s="99"/>
      <c r="KT52" s="99"/>
      <c r="KU52" s="99"/>
      <c r="KV52" s="99"/>
      <c r="KW52" s="99"/>
      <c r="KX52" s="99"/>
      <c r="KY52" s="99"/>
      <c r="KZ52" s="99"/>
      <c r="LA52" s="99"/>
      <c r="LB52" s="99"/>
      <c r="LC52" s="99"/>
      <c r="LD52" s="99"/>
      <c r="LE52" s="99"/>
      <c r="LF52" s="99"/>
      <c r="LG52" s="99"/>
      <c r="LH52" s="99"/>
      <c r="LI52" s="99"/>
      <c r="LJ52" s="99"/>
      <c r="LK52" s="99"/>
      <c r="LL52" s="99"/>
      <c r="LM52" s="99"/>
      <c r="LN52" s="99"/>
      <c r="LO52" s="99"/>
      <c r="LP52" s="99"/>
      <c r="LQ52" s="99"/>
      <c r="LR52" s="99"/>
      <c r="LS52" s="99"/>
      <c r="LT52" s="99"/>
      <c r="LU52" s="99"/>
      <c r="LV52" s="99"/>
      <c r="LW52" s="99"/>
      <c r="LX52" s="99"/>
      <c r="LY52" s="99"/>
      <c r="LZ52" s="99"/>
      <c r="MA52" s="99"/>
      <c r="MB52" s="99"/>
      <c r="MC52" s="99"/>
      <c r="MD52" s="99"/>
      <c r="ME52" s="99"/>
      <c r="MF52" s="99"/>
    </row>
    <row r="53" spans="1:344" ht="17.25" customHeight="1" x14ac:dyDescent="0.25">
      <c r="A53" s="155" t="s">
        <v>13</v>
      </c>
      <c r="B53" s="79" t="s">
        <v>1</v>
      </c>
      <c r="C53" s="80">
        <v>45187</v>
      </c>
      <c r="D53" s="50" t="s">
        <v>89</v>
      </c>
      <c r="F53" s="103">
        <v>45</v>
      </c>
      <c r="G53" s="36">
        <f t="shared" si="0"/>
        <v>3.6666666666666665</v>
      </c>
      <c r="H53" s="27">
        <f t="shared" si="1"/>
        <v>165</v>
      </c>
      <c r="I53" s="47">
        <v>12</v>
      </c>
      <c r="K53" s="105">
        <v>60</v>
      </c>
      <c r="L53" s="89">
        <f t="shared" si="2"/>
        <v>7.55</v>
      </c>
      <c r="M53" s="27">
        <f t="shared" si="20"/>
        <v>453</v>
      </c>
      <c r="N53" s="35">
        <f t="shared" si="21"/>
        <v>618</v>
      </c>
      <c r="O53" s="97"/>
      <c r="P53" s="149">
        <f t="shared" ref="P53" si="89">SUM(N53:N59)</f>
        <v>3588.4900000000002</v>
      </c>
      <c r="W53" s="11">
        <v>7.5</v>
      </c>
      <c r="X53" s="1">
        <v>9</v>
      </c>
      <c r="Y53" s="27">
        <f t="shared" si="3"/>
        <v>877.5</v>
      </c>
      <c r="Z53" s="27">
        <f t="shared" si="22"/>
        <v>0</v>
      </c>
      <c r="AA53" s="15">
        <f t="shared" si="80"/>
        <v>1.1794738878400113</v>
      </c>
      <c r="AB53" s="43">
        <f t="shared" si="81"/>
        <v>480.26269041566002</v>
      </c>
      <c r="AC53" s="43">
        <f t="shared" si="82"/>
        <v>407.18382608297713</v>
      </c>
      <c r="AD53" s="33"/>
      <c r="AH53" s="31"/>
      <c r="AN53" s="11">
        <v>3</v>
      </c>
      <c r="AO53" s="1">
        <v>10</v>
      </c>
      <c r="AP53" s="27">
        <f t="shared" si="4"/>
        <v>735</v>
      </c>
      <c r="AQ53" s="27">
        <f t="shared" si="23"/>
        <v>0</v>
      </c>
      <c r="AR53" s="15">
        <f t="shared" si="83"/>
        <v>0.98525471856978586</v>
      </c>
      <c r="AS53" s="28">
        <f t="shared" si="37"/>
        <v>396.16562019211455</v>
      </c>
      <c r="AT53" s="28">
        <f t="shared" si="38"/>
        <v>402.09461850352358</v>
      </c>
      <c r="AU53" s="33"/>
      <c r="AY53" s="31"/>
      <c r="BE53" s="11">
        <v>3.5</v>
      </c>
      <c r="BF53" s="1">
        <v>7.5</v>
      </c>
      <c r="BG53" s="27">
        <f t="shared" si="5"/>
        <v>607.5</v>
      </c>
      <c r="BH53" s="27">
        <f t="shared" si="24"/>
        <v>0</v>
      </c>
      <c r="BI53" s="15">
        <f t="shared" si="39"/>
        <v>1.2343010282647258</v>
      </c>
      <c r="BJ53" s="28">
        <f t="shared" si="40"/>
        <v>400.28538097622805</v>
      </c>
      <c r="BK53" s="28">
        <f t="shared" si="41"/>
        <v>324.30126185585351</v>
      </c>
      <c r="BL53" s="33"/>
      <c r="BP53" s="31"/>
      <c r="BV53" s="11">
        <v>3</v>
      </c>
      <c r="BW53" s="1">
        <v>8</v>
      </c>
      <c r="BX53" s="27">
        <f t="shared" si="6"/>
        <v>615</v>
      </c>
      <c r="BY53" s="27">
        <f t="shared" si="25"/>
        <v>0</v>
      </c>
      <c r="BZ53" s="15">
        <f t="shared" si="42"/>
        <v>0.99536897817895065</v>
      </c>
      <c r="CA53" s="28">
        <f t="shared" si="43"/>
        <v>444.20174176179614</v>
      </c>
      <c r="CB53" s="28">
        <f t="shared" si="44"/>
        <v>446.26842055543358</v>
      </c>
      <c r="CC53" s="33"/>
      <c r="CG53" s="31"/>
      <c r="CM53" s="86"/>
      <c r="CN53" s="87"/>
      <c r="CO53" s="27">
        <f t="shared" si="7"/>
        <v>0</v>
      </c>
      <c r="CP53" s="27">
        <f t="shared" si="26"/>
        <v>0</v>
      </c>
      <c r="CQ53" s="15">
        <f t="shared" si="45"/>
        <v>0.54392279053702597</v>
      </c>
      <c r="CR53" s="28">
        <f t="shared" si="46"/>
        <v>169.33770796136795</v>
      </c>
      <c r="CS53" s="28">
        <f t="shared" si="47"/>
        <v>311.32673774190897</v>
      </c>
      <c r="CT53" s="33"/>
      <c r="CX53" s="31"/>
      <c r="DD53" s="11">
        <v>5</v>
      </c>
      <c r="DE53" s="1">
        <v>6</v>
      </c>
      <c r="DF53" s="27">
        <f t="shared" si="8"/>
        <v>585</v>
      </c>
      <c r="DG53" s="27">
        <f t="shared" si="27"/>
        <v>0</v>
      </c>
      <c r="DH53" s="15">
        <f t="shared" si="48"/>
        <v>1.0079954585333946</v>
      </c>
      <c r="DI53" s="28">
        <f t="shared" si="49"/>
        <v>387.92210217760521</v>
      </c>
      <c r="DJ53" s="28">
        <f t="shared" si="50"/>
        <v>384.84508922492677</v>
      </c>
      <c r="DK53" s="33"/>
      <c r="DO53" s="31"/>
      <c r="DU53" s="11">
        <v>3</v>
      </c>
      <c r="DV53" s="1">
        <v>6</v>
      </c>
      <c r="DW53" s="27">
        <f t="shared" si="9"/>
        <v>495</v>
      </c>
      <c r="DX53" s="27">
        <f t="shared" si="28"/>
        <v>0</v>
      </c>
      <c r="DY53" s="15">
        <f t="shared" si="51"/>
        <v>1.0109040081849014</v>
      </c>
      <c r="DZ53" s="28">
        <f t="shared" si="52"/>
        <v>399.43736645822253</v>
      </c>
      <c r="EA53" s="28">
        <f t="shared" si="53"/>
        <v>395.12887793908385</v>
      </c>
      <c r="EB53" s="33"/>
      <c r="EF53" s="31"/>
      <c r="EL53" s="11">
        <v>4</v>
      </c>
      <c r="EM53" s="1">
        <v>6</v>
      </c>
      <c r="EN53" s="27">
        <f t="shared" si="10"/>
        <v>540</v>
      </c>
      <c r="EO53" s="27">
        <f t="shared" si="29"/>
        <v>0</v>
      </c>
      <c r="EP53" s="15">
        <f t="shared" si="85"/>
        <v>0.94627055652700076</v>
      </c>
      <c r="EQ53" s="28">
        <f t="shared" si="54"/>
        <v>392.64768640359398</v>
      </c>
      <c r="ER53" s="28">
        <f t="shared" si="55"/>
        <v>414.9423055544371</v>
      </c>
      <c r="ES53" s="33"/>
      <c r="EW53" s="31"/>
      <c r="FC53" s="11">
        <v>3</v>
      </c>
      <c r="FD53" s="1">
        <v>8</v>
      </c>
      <c r="FE53" s="27">
        <f t="shared" si="11"/>
        <v>615</v>
      </c>
      <c r="FF53" s="27">
        <f t="shared" si="30"/>
        <v>0</v>
      </c>
      <c r="FG53" s="15">
        <f t="shared" si="56"/>
        <v>1.0214311471521598</v>
      </c>
      <c r="FH53" s="28">
        <f t="shared" si="57"/>
        <v>438.04859563894172</v>
      </c>
      <c r="FI53" s="28">
        <f t="shared" si="58"/>
        <v>428.85768351617224</v>
      </c>
      <c r="FJ53" s="33"/>
      <c r="FN53" s="31"/>
      <c r="FU53" s="1">
        <v>7.5</v>
      </c>
      <c r="FV53" s="27">
        <f t="shared" si="12"/>
        <v>450</v>
      </c>
      <c r="FW53" s="27">
        <f t="shared" si="31"/>
        <v>0</v>
      </c>
      <c r="FX53" s="15">
        <f t="shared" si="87"/>
        <v>0.90776558413734687</v>
      </c>
      <c r="FY53" s="28">
        <f t="shared" si="59"/>
        <v>427.47481727600098</v>
      </c>
      <c r="FZ53" s="28">
        <f t="shared" si="60"/>
        <v>470.90881693012403</v>
      </c>
      <c r="GA53" s="33"/>
      <c r="GE53" s="31"/>
      <c r="GK53" s="11">
        <v>1</v>
      </c>
      <c r="GL53" s="1">
        <v>7.5</v>
      </c>
      <c r="GM53" s="27">
        <f t="shared" si="13"/>
        <v>495</v>
      </c>
      <c r="GN53" s="27">
        <f t="shared" si="32"/>
        <v>0</v>
      </c>
      <c r="GO53" s="15">
        <f t="shared" si="77"/>
        <v>0.77603212154495249</v>
      </c>
      <c r="GP53" s="28">
        <f t="shared" si="61"/>
        <v>392.19169132701194</v>
      </c>
      <c r="GQ53" s="28">
        <f t="shared" si="62"/>
        <v>505.38074448029636</v>
      </c>
      <c r="GR53" s="33"/>
      <c r="GV53" s="31"/>
      <c r="HB53" s="11">
        <v>3</v>
      </c>
      <c r="HC53" s="1">
        <v>7</v>
      </c>
      <c r="HD53" s="27">
        <f t="shared" si="14"/>
        <v>555</v>
      </c>
      <c r="HE53" s="27">
        <f t="shared" si="33"/>
        <v>0</v>
      </c>
      <c r="HF53" s="15">
        <f t="shared" si="63"/>
        <v>0.82922363477620331</v>
      </c>
      <c r="HG53" s="28">
        <f t="shared" si="64"/>
        <v>222.84054768004489</v>
      </c>
      <c r="HH53" s="28">
        <f t="shared" si="65"/>
        <v>268.73395587691692</v>
      </c>
      <c r="HI53" s="33"/>
      <c r="HM53" s="31"/>
      <c r="HU53" s="27">
        <f t="shared" si="15"/>
        <v>0</v>
      </c>
      <c r="HV53" s="27">
        <f t="shared" si="34"/>
        <v>0</v>
      </c>
      <c r="HW53" s="15">
        <f t="shared" si="66"/>
        <v>0.33212344995970289</v>
      </c>
      <c r="HX53" s="28">
        <f t="shared" si="67"/>
        <v>43.956526278467237</v>
      </c>
      <c r="HY53" s="28">
        <f t="shared" si="68"/>
        <v>132.34996289422068</v>
      </c>
      <c r="HZ53" s="33"/>
      <c r="ID53" s="31"/>
      <c r="II53" s="12"/>
      <c r="IJ53" s="11">
        <v>4</v>
      </c>
      <c r="IK53" s="1">
        <v>7</v>
      </c>
      <c r="IL53" s="27">
        <f t="shared" si="16"/>
        <v>600</v>
      </c>
      <c r="IM53" s="27">
        <f t="shared" si="17"/>
        <v>4626.1351767588894</v>
      </c>
      <c r="IN53" s="15">
        <f t="shared" si="69"/>
        <v>1.7296792119837414</v>
      </c>
      <c r="IO53" s="28">
        <f t="shared" si="70"/>
        <v>150.19991218534813</v>
      </c>
      <c r="IP53" s="28">
        <f t="shared" si="71"/>
        <v>86.83686035232293</v>
      </c>
      <c r="IQ53" s="33"/>
      <c r="IU53" s="31"/>
      <c r="JC53" s="27">
        <f t="shared" si="18"/>
        <v>0</v>
      </c>
      <c r="JD53" s="27">
        <f t="shared" si="19"/>
        <v>2235.6162889266279</v>
      </c>
      <c r="JE53" s="15" t="e">
        <f t="shared" si="72"/>
        <v>#DIV/0!</v>
      </c>
      <c r="JF53" s="28">
        <f t="shared" si="73"/>
        <v>0</v>
      </c>
      <c r="JG53" s="28">
        <f t="shared" si="74"/>
        <v>0</v>
      </c>
      <c r="JH53" s="33"/>
      <c r="JL53" s="31"/>
      <c r="JR53" s="99"/>
      <c r="JS53" s="99"/>
      <c r="JT53" s="99"/>
      <c r="JU53" s="99"/>
      <c r="JV53" s="99"/>
      <c r="JW53" s="99"/>
      <c r="JX53" s="99"/>
      <c r="JY53" s="99"/>
      <c r="JZ53" s="99"/>
      <c r="KA53" s="99"/>
      <c r="KB53" s="99"/>
      <c r="KC53" s="99"/>
      <c r="KD53" s="99"/>
      <c r="KE53" s="99"/>
      <c r="KF53" s="99"/>
      <c r="KG53" s="99"/>
      <c r="KH53" s="99"/>
      <c r="KI53" s="99"/>
      <c r="KJ53" s="99"/>
      <c r="KK53" s="99"/>
      <c r="KL53" s="99"/>
      <c r="KM53" s="99"/>
      <c r="KN53" s="99"/>
      <c r="KO53" s="99"/>
      <c r="KP53" s="99"/>
      <c r="KQ53" s="99"/>
      <c r="KR53" s="99"/>
      <c r="KS53" s="99"/>
      <c r="KT53" s="99"/>
      <c r="KU53" s="99"/>
      <c r="KV53" s="99"/>
      <c r="KW53" s="99"/>
      <c r="KX53" s="99"/>
      <c r="KY53" s="99"/>
      <c r="KZ53" s="99"/>
      <c r="LA53" s="99"/>
      <c r="LB53" s="99"/>
      <c r="LC53" s="99"/>
      <c r="LD53" s="99"/>
      <c r="LE53" s="99"/>
      <c r="LF53" s="99"/>
      <c r="LG53" s="99"/>
      <c r="LH53" s="99"/>
      <c r="LI53" s="99"/>
      <c r="LJ53" s="99"/>
      <c r="LK53" s="99"/>
      <c r="LL53" s="99"/>
      <c r="LM53" s="99"/>
      <c r="LN53" s="99"/>
      <c r="LO53" s="99"/>
      <c r="LP53" s="99"/>
      <c r="LQ53" s="99"/>
      <c r="LR53" s="99"/>
      <c r="LS53" s="99"/>
      <c r="LT53" s="99"/>
      <c r="LU53" s="99"/>
      <c r="LV53" s="99"/>
      <c r="LW53" s="99"/>
      <c r="LX53" s="99"/>
      <c r="LY53" s="99"/>
      <c r="LZ53" s="99"/>
      <c r="MA53" s="99"/>
      <c r="MB53" s="99"/>
      <c r="MC53" s="99"/>
      <c r="MD53" s="99"/>
      <c r="ME53" s="99"/>
      <c r="MF53" s="99"/>
    </row>
    <row r="54" spans="1:344" ht="17.25" customHeight="1" x14ac:dyDescent="0.25">
      <c r="A54" s="156"/>
      <c r="B54" s="81" t="s">
        <v>2</v>
      </c>
      <c r="C54" s="82">
        <v>45188</v>
      </c>
      <c r="D54" s="49"/>
      <c r="G54" s="89">
        <f t="shared" si="0"/>
        <v>0</v>
      </c>
      <c r="H54" s="35">
        <f t="shared" si="1"/>
        <v>0</v>
      </c>
      <c r="I54" s="39">
        <v>11</v>
      </c>
      <c r="K54" s="103">
        <v>82</v>
      </c>
      <c r="L54" s="89">
        <f t="shared" si="2"/>
        <v>6.87</v>
      </c>
      <c r="M54" s="35">
        <f t="shared" si="20"/>
        <v>563.34</v>
      </c>
      <c r="N54" s="35">
        <f t="shared" si="21"/>
        <v>563.34</v>
      </c>
      <c r="O54" s="97"/>
      <c r="P54" s="150"/>
      <c r="W54" s="11">
        <v>0</v>
      </c>
      <c r="X54" s="1">
        <v>5.5</v>
      </c>
      <c r="Y54" s="35">
        <f t="shared" si="3"/>
        <v>451</v>
      </c>
      <c r="Z54" s="35">
        <f t="shared" si="22"/>
        <v>0</v>
      </c>
      <c r="AA54" s="15">
        <f t="shared" si="80"/>
        <v>1.1529510612773706</v>
      </c>
      <c r="AB54" s="43">
        <f t="shared" si="81"/>
        <v>472.94701781174501</v>
      </c>
      <c r="AC54" s="43">
        <f t="shared" si="82"/>
        <v>410.20563118070288</v>
      </c>
      <c r="AD54" s="33"/>
      <c r="AH54" s="31"/>
      <c r="AO54" s="1">
        <v>6</v>
      </c>
      <c r="AP54" s="35">
        <f t="shared" si="4"/>
        <v>492</v>
      </c>
      <c r="AQ54" s="35">
        <f t="shared" si="23"/>
        <v>0</v>
      </c>
      <c r="AR54" s="15">
        <f t="shared" si="83"/>
        <v>1.0289722524228602</v>
      </c>
      <c r="AS54" s="28">
        <f t="shared" si="37"/>
        <v>420.12421514408589</v>
      </c>
      <c r="AT54" s="28">
        <f t="shared" si="38"/>
        <v>408.2949896412116</v>
      </c>
      <c r="AU54" s="33"/>
      <c r="AY54" s="31"/>
      <c r="BF54" s="1">
        <v>8</v>
      </c>
      <c r="BG54" s="35">
        <f t="shared" si="5"/>
        <v>656</v>
      </c>
      <c r="BH54" s="35">
        <f t="shared" si="24"/>
        <v>0</v>
      </c>
      <c r="BI54" s="15">
        <f t="shared" si="39"/>
        <v>1.3371104260720768</v>
      </c>
      <c r="BJ54" s="28">
        <f t="shared" si="40"/>
        <v>464.21403573217106</v>
      </c>
      <c r="BK54" s="28">
        <f t="shared" si="41"/>
        <v>347.17703690027741</v>
      </c>
      <c r="BL54" s="33"/>
      <c r="BP54" s="31"/>
      <c r="BW54" s="1">
        <v>8</v>
      </c>
      <c r="BX54" s="35">
        <f t="shared" si="6"/>
        <v>656</v>
      </c>
      <c r="BY54" s="35">
        <f t="shared" si="25"/>
        <v>0</v>
      </c>
      <c r="BZ54" s="15">
        <f t="shared" si="42"/>
        <v>1.0790450547214363</v>
      </c>
      <c r="CA54" s="28">
        <f t="shared" si="43"/>
        <v>497.15130632134708</v>
      </c>
      <c r="CB54" s="28">
        <f t="shared" si="44"/>
        <v>460.73266741367951</v>
      </c>
      <c r="CC54" s="33"/>
      <c r="CG54" s="31"/>
      <c r="CM54" s="86"/>
      <c r="CN54" s="87"/>
      <c r="CO54" s="35">
        <f t="shared" si="7"/>
        <v>0</v>
      </c>
      <c r="CP54" s="35">
        <f t="shared" si="26"/>
        <v>0</v>
      </c>
      <c r="CQ54" s="15">
        <f t="shared" si="45"/>
        <v>0.43816002571038198</v>
      </c>
      <c r="CR54" s="28">
        <f t="shared" si="46"/>
        <v>127.00328097102596</v>
      </c>
      <c r="CS54" s="28">
        <f t="shared" si="47"/>
        <v>289.85592824246697</v>
      </c>
      <c r="CT54" s="33"/>
      <c r="CX54" s="31"/>
      <c r="DE54" s="1">
        <v>6.5</v>
      </c>
      <c r="DF54" s="35">
        <f t="shared" si="8"/>
        <v>533</v>
      </c>
      <c r="DG54" s="35">
        <f t="shared" si="27"/>
        <v>0</v>
      </c>
      <c r="DH54" s="15">
        <f t="shared" si="48"/>
        <v>1.073732371140079</v>
      </c>
      <c r="DI54" s="28">
        <f t="shared" si="49"/>
        <v>424.19157663320391</v>
      </c>
      <c r="DJ54" s="28">
        <f t="shared" si="50"/>
        <v>395.0626692783801</v>
      </c>
      <c r="DK54" s="33"/>
      <c r="DO54" s="31"/>
      <c r="DV54" s="1">
        <v>6.2</v>
      </c>
      <c r="DW54" s="35">
        <f t="shared" si="9"/>
        <v>508.40000000000003</v>
      </c>
      <c r="DX54" s="35">
        <f t="shared" si="28"/>
        <v>0</v>
      </c>
      <c r="DY54" s="15">
        <f t="shared" si="51"/>
        <v>1.0589102728841404</v>
      </c>
      <c r="DZ54" s="28">
        <f t="shared" si="52"/>
        <v>426.67802484366689</v>
      </c>
      <c r="EA54" s="28">
        <f t="shared" si="53"/>
        <v>402.94067946052633</v>
      </c>
      <c r="EB54" s="33"/>
      <c r="EF54" s="31"/>
      <c r="EM54" s="1">
        <v>6</v>
      </c>
      <c r="EN54" s="35">
        <f t="shared" si="10"/>
        <v>492</v>
      </c>
      <c r="EO54" s="35">
        <f t="shared" si="29"/>
        <v>0</v>
      </c>
      <c r="EP54" s="15">
        <f t="shared" si="85"/>
        <v>0.99340673218846787</v>
      </c>
      <c r="EQ54" s="28">
        <f t="shared" si="54"/>
        <v>417.48576480269548</v>
      </c>
      <c r="ER54" s="28">
        <f t="shared" si="55"/>
        <v>420.25662930930349</v>
      </c>
      <c r="ES54" s="33"/>
      <c r="EW54" s="31"/>
      <c r="FD54" s="1">
        <v>7</v>
      </c>
      <c r="FE54" s="35">
        <f t="shared" si="11"/>
        <v>574</v>
      </c>
      <c r="FF54" s="35">
        <f t="shared" si="30"/>
        <v>0</v>
      </c>
      <c r="FG54" s="15">
        <f t="shared" si="56"/>
        <v>1.0755785023966391</v>
      </c>
      <c r="FH54" s="28">
        <f t="shared" si="57"/>
        <v>472.03644672920632</v>
      </c>
      <c r="FI54" s="28">
        <f t="shared" si="58"/>
        <v>438.86749844609142</v>
      </c>
      <c r="FJ54" s="33"/>
      <c r="FN54" s="31"/>
      <c r="FU54" s="1">
        <v>8.5</v>
      </c>
      <c r="FV54" s="35">
        <f t="shared" si="12"/>
        <v>697</v>
      </c>
      <c r="FW54" s="35">
        <f t="shared" si="31"/>
        <v>0</v>
      </c>
      <c r="FX54" s="15">
        <f t="shared" si="87"/>
        <v>1.017173233517098</v>
      </c>
      <c r="FY54" s="28">
        <f t="shared" si="59"/>
        <v>494.85611295700073</v>
      </c>
      <c r="FZ54" s="28">
        <f t="shared" si="60"/>
        <v>486.50131231425343</v>
      </c>
      <c r="GA54" s="33"/>
      <c r="GE54" s="31"/>
      <c r="GL54" s="1">
        <v>7</v>
      </c>
      <c r="GM54" s="35">
        <f t="shared" si="13"/>
        <v>574</v>
      </c>
      <c r="GN54" s="35">
        <f t="shared" si="32"/>
        <v>0</v>
      </c>
      <c r="GO54" s="15">
        <f t="shared" si="77"/>
        <v>0.85793476495669319</v>
      </c>
      <c r="GP54" s="28">
        <f t="shared" si="61"/>
        <v>437.64376849525894</v>
      </c>
      <c r="GQ54" s="28">
        <f t="shared" si="62"/>
        <v>510.11310692993112</v>
      </c>
      <c r="GR54" s="33"/>
      <c r="GV54" s="31"/>
      <c r="HD54" s="35">
        <f t="shared" si="14"/>
        <v>0</v>
      </c>
      <c r="HE54" s="35">
        <f t="shared" si="33"/>
        <v>0</v>
      </c>
      <c r="HF54" s="15">
        <f t="shared" si="63"/>
        <v>0.66798570579194161</v>
      </c>
      <c r="HG54" s="28">
        <f t="shared" si="64"/>
        <v>167.13041076003367</v>
      </c>
      <c r="HH54" s="28">
        <f t="shared" si="65"/>
        <v>250.20057960954333</v>
      </c>
      <c r="HI54" s="33"/>
      <c r="HM54" s="31"/>
      <c r="HT54" s="1">
        <v>6</v>
      </c>
      <c r="HU54" s="35">
        <f t="shared" si="15"/>
        <v>492</v>
      </c>
      <c r="HV54" s="35">
        <f t="shared" si="34"/>
        <v>0</v>
      </c>
      <c r="HW54" s="15">
        <f t="shared" si="66"/>
        <v>0.99245311322160645</v>
      </c>
      <c r="HX54" s="28">
        <f t="shared" si="67"/>
        <v>155.96739470885043</v>
      </c>
      <c r="HY54" s="28">
        <f t="shared" si="68"/>
        <v>157.153413729102</v>
      </c>
      <c r="HZ54" s="33"/>
      <c r="ID54" s="31"/>
      <c r="II54" s="12"/>
      <c r="IK54" s="1">
        <v>6</v>
      </c>
      <c r="IL54" s="35">
        <f t="shared" si="16"/>
        <v>492</v>
      </c>
      <c r="IM54" s="35">
        <f t="shared" si="17"/>
        <v>4951.5056975179505</v>
      </c>
      <c r="IN54" s="15">
        <f t="shared" si="69"/>
        <v>2.0530727285311121</v>
      </c>
      <c r="IO54" s="28">
        <f t="shared" si="70"/>
        <v>235.64993413901109</v>
      </c>
      <c r="IP54" s="28">
        <f t="shared" si="71"/>
        <v>114.77914584526617</v>
      </c>
      <c r="IQ54" s="33"/>
      <c r="IU54" s="31"/>
      <c r="JC54" s="35">
        <f t="shared" si="18"/>
        <v>0</v>
      </c>
      <c r="JD54" s="35">
        <f t="shared" si="19"/>
        <v>1958.6072451735697</v>
      </c>
      <c r="JE54" s="15" t="e">
        <f t="shared" si="72"/>
        <v>#DIV/0!</v>
      </c>
      <c r="JF54" s="28">
        <f t="shared" si="73"/>
        <v>0</v>
      </c>
      <c r="JG54" s="28">
        <f t="shared" si="74"/>
        <v>0</v>
      </c>
      <c r="JH54" s="33"/>
      <c r="JL54" s="31"/>
      <c r="JR54" s="99"/>
      <c r="JS54" s="99"/>
      <c r="JT54" s="99"/>
      <c r="JU54" s="99"/>
      <c r="JV54" s="99"/>
      <c r="JW54" s="99"/>
      <c r="JX54" s="99"/>
      <c r="JY54" s="99"/>
      <c r="JZ54" s="99"/>
      <c r="KA54" s="99"/>
      <c r="KB54" s="99"/>
      <c r="KC54" s="99"/>
      <c r="KD54" s="99"/>
      <c r="KE54" s="99"/>
      <c r="KF54" s="99"/>
      <c r="KG54" s="99"/>
      <c r="KH54" s="99"/>
      <c r="KI54" s="99"/>
      <c r="KJ54" s="99"/>
      <c r="KK54" s="99"/>
      <c r="KL54" s="99"/>
      <c r="KM54" s="99"/>
      <c r="KN54" s="99"/>
      <c r="KO54" s="99"/>
      <c r="KP54" s="99"/>
      <c r="KQ54" s="99"/>
      <c r="KR54" s="99"/>
      <c r="KS54" s="99"/>
      <c r="KT54" s="99"/>
      <c r="KU54" s="99"/>
      <c r="KV54" s="99"/>
      <c r="KW54" s="99"/>
      <c r="KX54" s="99"/>
      <c r="KY54" s="99"/>
      <c r="KZ54" s="99"/>
      <c r="LA54" s="99"/>
      <c r="LB54" s="99"/>
      <c r="LC54" s="99"/>
      <c r="LD54" s="99"/>
      <c r="LE54" s="99"/>
      <c r="LF54" s="99"/>
      <c r="LG54" s="99"/>
      <c r="LH54" s="99"/>
      <c r="LI54" s="99"/>
      <c r="LJ54" s="99"/>
      <c r="LK54" s="99"/>
      <c r="LL54" s="99"/>
      <c r="LM54" s="99"/>
      <c r="LN54" s="99"/>
      <c r="LO54" s="99"/>
      <c r="LP54" s="99"/>
      <c r="LQ54" s="99"/>
      <c r="LR54" s="99"/>
      <c r="LS54" s="99"/>
      <c r="LT54" s="99"/>
      <c r="LU54" s="99"/>
      <c r="LV54" s="99"/>
      <c r="LW54" s="99"/>
      <c r="LX54" s="99"/>
      <c r="LY54" s="99"/>
      <c r="LZ54" s="99"/>
      <c r="MA54" s="99"/>
      <c r="MB54" s="99"/>
      <c r="MC54" s="99"/>
      <c r="MD54" s="99"/>
      <c r="ME54" s="99"/>
      <c r="MF54" s="99"/>
    </row>
    <row r="55" spans="1:344" ht="17.25" customHeight="1" x14ac:dyDescent="0.25">
      <c r="A55" s="156"/>
      <c r="B55" s="81" t="s">
        <v>3</v>
      </c>
      <c r="C55" s="82">
        <v>45189</v>
      </c>
      <c r="D55" s="49" t="s">
        <v>89</v>
      </c>
      <c r="F55" s="103">
        <v>45</v>
      </c>
      <c r="G55" s="89">
        <f t="shared" si="0"/>
        <v>3.4166666666666665</v>
      </c>
      <c r="H55" s="35">
        <f t="shared" si="1"/>
        <v>153.75</v>
      </c>
      <c r="I55" s="39">
        <v>12</v>
      </c>
      <c r="K55" s="103">
        <v>92</v>
      </c>
      <c r="L55" s="89">
        <f t="shared" si="2"/>
        <v>7.69</v>
      </c>
      <c r="M55" s="35">
        <f t="shared" si="20"/>
        <v>707.48</v>
      </c>
      <c r="N55" s="35">
        <f t="shared" si="21"/>
        <v>861.23</v>
      </c>
      <c r="O55" s="97"/>
      <c r="P55" s="150"/>
      <c r="W55" s="11">
        <v>0</v>
      </c>
      <c r="X55" s="1">
        <v>8.5</v>
      </c>
      <c r="Y55" s="35">
        <f t="shared" si="3"/>
        <v>782</v>
      </c>
      <c r="Z55" s="35">
        <f t="shared" si="22"/>
        <v>0</v>
      </c>
      <c r="AA55" s="15">
        <f t="shared" si="80"/>
        <v>1.26239423553443</v>
      </c>
      <c r="AB55" s="43">
        <f t="shared" si="81"/>
        <v>550.21026335880879</v>
      </c>
      <c r="AC55" s="43">
        <f t="shared" si="82"/>
        <v>435.84662213375782</v>
      </c>
      <c r="AD55" s="33"/>
      <c r="AH55" s="31"/>
      <c r="AO55" s="1">
        <v>7</v>
      </c>
      <c r="AP55" s="35">
        <f t="shared" si="4"/>
        <v>644</v>
      </c>
      <c r="AQ55" s="35">
        <f t="shared" si="23"/>
        <v>0</v>
      </c>
      <c r="AR55" s="15">
        <f t="shared" si="83"/>
        <v>1.1214052340976162</v>
      </c>
      <c r="AS55" s="28">
        <f t="shared" si="37"/>
        <v>476.09316135806444</v>
      </c>
      <c r="AT55" s="28">
        <f t="shared" si="38"/>
        <v>424.55050759699009</v>
      </c>
      <c r="AU55" s="33"/>
      <c r="AY55" s="31"/>
      <c r="BE55" s="11">
        <v>3.5</v>
      </c>
      <c r="BF55" s="1">
        <v>8.5</v>
      </c>
      <c r="BG55" s="35">
        <f t="shared" si="5"/>
        <v>939.5</v>
      </c>
      <c r="BH55" s="35">
        <f t="shared" si="24"/>
        <v>0</v>
      </c>
      <c r="BI55" s="15">
        <f t="shared" si="39"/>
        <v>1.5025647246922944</v>
      </c>
      <c r="BJ55" s="28">
        <f t="shared" si="40"/>
        <v>583.03552679912832</v>
      </c>
      <c r="BK55" s="28">
        <f t="shared" si="41"/>
        <v>388.02689642439623</v>
      </c>
      <c r="BL55" s="33"/>
      <c r="BP55" s="31"/>
      <c r="BV55" s="11">
        <v>4</v>
      </c>
      <c r="BW55" s="1">
        <v>8</v>
      </c>
      <c r="BX55" s="35">
        <f t="shared" si="6"/>
        <v>916</v>
      </c>
      <c r="BY55" s="35">
        <f t="shared" si="25"/>
        <v>0</v>
      </c>
      <c r="BZ55" s="15">
        <f t="shared" si="42"/>
        <v>1.222975581313019</v>
      </c>
      <c r="CA55" s="28">
        <f t="shared" si="43"/>
        <v>601.86347974101034</v>
      </c>
      <c r="CB55" s="28">
        <f t="shared" si="44"/>
        <v>492.13041448859815</v>
      </c>
      <c r="CC55" s="33"/>
      <c r="CG55" s="31"/>
      <c r="CM55" s="86"/>
      <c r="CN55" s="87"/>
      <c r="CO55" s="35">
        <f t="shared" si="7"/>
        <v>0</v>
      </c>
      <c r="CP55" s="35">
        <f t="shared" si="26"/>
        <v>0</v>
      </c>
      <c r="CQ55" s="15">
        <f t="shared" si="45"/>
        <v>0.35296224293336326</v>
      </c>
      <c r="CR55" s="28">
        <f t="shared" si="46"/>
        <v>95.252460728269469</v>
      </c>
      <c r="CS55" s="28">
        <f t="shared" si="47"/>
        <v>269.8658642257451</v>
      </c>
      <c r="CT55" s="33"/>
      <c r="CX55" s="31"/>
      <c r="DE55" s="1">
        <v>6.5</v>
      </c>
      <c r="DF55" s="35">
        <f t="shared" si="8"/>
        <v>598</v>
      </c>
      <c r="DG55" s="35">
        <f t="shared" si="27"/>
        <v>0</v>
      </c>
      <c r="DH55" s="15">
        <f t="shared" si="48"/>
        <v>1.1432199968739458</v>
      </c>
      <c r="DI55" s="28">
        <f t="shared" si="49"/>
        <v>467.6436824749029</v>
      </c>
      <c r="DJ55" s="28">
        <f t="shared" si="50"/>
        <v>409.05834725918146</v>
      </c>
      <c r="DK55" s="33"/>
      <c r="DO55" s="31"/>
      <c r="DU55" s="11">
        <v>4</v>
      </c>
      <c r="DV55" s="1">
        <v>6.4</v>
      </c>
      <c r="DW55" s="35">
        <f t="shared" si="9"/>
        <v>768.80000000000007</v>
      </c>
      <c r="DX55" s="35">
        <f t="shared" si="28"/>
        <v>0</v>
      </c>
      <c r="DY55" s="15">
        <f t="shared" si="51"/>
        <v>1.1962671353509247</v>
      </c>
      <c r="DZ55" s="28">
        <f t="shared" si="52"/>
        <v>512.20851863275016</v>
      </c>
      <c r="EA55" s="28">
        <f t="shared" si="53"/>
        <v>428.17235673911068</v>
      </c>
      <c r="EB55" s="33"/>
      <c r="EF55" s="31"/>
      <c r="EM55" s="1">
        <v>8</v>
      </c>
      <c r="EN55" s="35">
        <f t="shared" si="10"/>
        <v>736</v>
      </c>
      <c r="EO55" s="35">
        <f t="shared" si="29"/>
        <v>0</v>
      </c>
      <c r="EP55" s="15">
        <f t="shared" si="85"/>
        <v>1.124611533006008</v>
      </c>
      <c r="EQ55" s="28">
        <f t="shared" si="54"/>
        <v>497.11432360202161</v>
      </c>
      <c r="ER55" s="28">
        <f t="shared" si="55"/>
        <v>442.03203418452392</v>
      </c>
      <c r="ES55" s="33"/>
      <c r="EW55" s="31"/>
      <c r="FC55" s="11">
        <v>5</v>
      </c>
      <c r="FD55" s="1">
        <v>8</v>
      </c>
      <c r="FE55" s="35">
        <f t="shared" si="11"/>
        <v>961</v>
      </c>
      <c r="FF55" s="35">
        <f t="shared" si="30"/>
        <v>0</v>
      </c>
      <c r="FG55" s="15">
        <f t="shared" si="56"/>
        <v>1.2514351926146239</v>
      </c>
      <c r="FH55" s="28">
        <f t="shared" si="57"/>
        <v>594.27733504690468</v>
      </c>
      <c r="FI55" s="28">
        <f t="shared" si="58"/>
        <v>474.87663648429202</v>
      </c>
      <c r="FJ55" s="33"/>
      <c r="FN55" s="31"/>
      <c r="FU55" s="1">
        <v>8</v>
      </c>
      <c r="FV55" s="35">
        <f t="shared" si="12"/>
        <v>736</v>
      </c>
      <c r="FW55" s="35">
        <f t="shared" si="31"/>
        <v>0</v>
      </c>
      <c r="FX55" s="15">
        <f t="shared" si="87"/>
        <v>1.102110655916184</v>
      </c>
      <c r="FY55" s="28">
        <f t="shared" si="59"/>
        <v>555.14208471775055</v>
      </c>
      <c r="FZ55" s="28">
        <f t="shared" si="60"/>
        <v>503.70811836154627</v>
      </c>
      <c r="GA55" s="33"/>
      <c r="GE55" s="31"/>
      <c r="GK55" s="11">
        <v>4</v>
      </c>
      <c r="GL55" s="1">
        <v>8</v>
      </c>
      <c r="GM55" s="35">
        <f t="shared" si="13"/>
        <v>916</v>
      </c>
      <c r="GN55" s="35">
        <f t="shared" si="32"/>
        <v>0</v>
      </c>
      <c r="GO55" s="15">
        <f t="shared" si="77"/>
        <v>1.0355460533284024</v>
      </c>
      <c r="GP55" s="28">
        <f t="shared" si="61"/>
        <v>557.23282637144416</v>
      </c>
      <c r="GQ55" s="28">
        <f t="shared" si="62"/>
        <v>538.10530645200481</v>
      </c>
      <c r="GR55" s="33"/>
      <c r="GV55" s="31"/>
      <c r="HC55" s="1">
        <v>5</v>
      </c>
      <c r="HD55" s="35">
        <f t="shared" si="14"/>
        <v>460</v>
      </c>
      <c r="HE55" s="35">
        <f t="shared" si="33"/>
        <v>0</v>
      </c>
      <c r="HF55" s="15">
        <f t="shared" si="63"/>
        <v>0.90810540462694356</v>
      </c>
      <c r="HG55" s="28">
        <f t="shared" si="64"/>
        <v>240.34780807002525</v>
      </c>
      <c r="HH55" s="28">
        <f t="shared" si="65"/>
        <v>264.66950515371275</v>
      </c>
      <c r="HI55" s="33"/>
      <c r="HM55" s="31"/>
      <c r="HU55" s="35">
        <f t="shared" si="15"/>
        <v>0</v>
      </c>
      <c r="HV55" s="35">
        <f t="shared" si="34"/>
        <v>0</v>
      </c>
      <c r="HW55" s="15">
        <f t="shared" si="66"/>
        <v>0.799476118984072</v>
      </c>
      <c r="HX55" s="28">
        <f t="shared" si="67"/>
        <v>116.97554603163783</v>
      </c>
      <c r="HY55" s="28">
        <f t="shared" si="68"/>
        <v>146.31524726502599</v>
      </c>
      <c r="HZ55" s="33"/>
      <c r="ID55" s="31"/>
      <c r="II55" s="12"/>
      <c r="IJ55" s="11">
        <v>5</v>
      </c>
      <c r="IK55" s="1">
        <v>7</v>
      </c>
      <c r="IL55" s="35">
        <f t="shared" si="16"/>
        <v>869</v>
      </c>
      <c r="IM55" s="35">
        <f t="shared" si="17"/>
        <v>5787.7749181509716</v>
      </c>
      <c r="IN55" s="15">
        <f t="shared" si="69"/>
        <v>2.3621147025326912</v>
      </c>
      <c r="IO55" s="28">
        <f t="shared" si="70"/>
        <v>393.98745060425836</v>
      </c>
      <c r="IP55" s="28">
        <f t="shared" si="71"/>
        <v>166.79437716628229</v>
      </c>
      <c r="IQ55" s="33"/>
      <c r="IU55" s="31"/>
      <c r="JC55" s="35">
        <f t="shared" si="18"/>
        <v>0</v>
      </c>
      <c r="JD55" s="35">
        <f t="shared" si="19"/>
        <v>1731.3980507706035</v>
      </c>
      <c r="JE55" s="15" t="e">
        <f t="shared" si="72"/>
        <v>#DIV/0!</v>
      </c>
      <c r="JF55" s="28">
        <f t="shared" si="73"/>
        <v>0</v>
      </c>
      <c r="JG55" s="28">
        <f t="shared" si="74"/>
        <v>0</v>
      </c>
      <c r="JH55" s="33"/>
      <c r="JL55" s="31"/>
      <c r="JR55" s="99"/>
      <c r="JS55" s="99"/>
      <c r="JT55" s="99"/>
      <c r="JU55" s="99"/>
      <c r="JV55" s="99"/>
      <c r="JW55" s="99"/>
      <c r="JX55" s="99"/>
      <c r="JY55" s="99"/>
      <c r="JZ55" s="99"/>
      <c r="KA55" s="99"/>
      <c r="KB55" s="99"/>
      <c r="KC55" s="99"/>
      <c r="KD55" s="99"/>
      <c r="KE55" s="99"/>
      <c r="KF55" s="99"/>
      <c r="KG55" s="99"/>
      <c r="KH55" s="99"/>
      <c r="KI55" s="99"/>
      <c r="KJ55" s="99"/>
      <c r="KK55" s="99"/>
      <c r="KL55" s="99"/>
      <c r="KM55" s="99"/>
      <c r="KN55" s="99"/>
      <c r="KO55" s="99"/>
      <c r="KP55" s="99"/>
      <c r="KQ55" s="99"/>
      <c r="KR55" s="99"/>
      <c r="KS55" s="99"/>
      <c r="KT55" s="99"/>
      <c r="KU55" s="99"/>
      <c r="KV55" s="99"/>
      <c r="KW55" s="99"/>
      <c r="KX55" s="99"/>
      <c r="KY55" s="99"/>
      <c r="KZ55" s="99"/>
      <c r="LA55" s="99"/>
      <c r="LB55" s="99"/>
      <c r="LC55" s="99"/>
      <c r="LD55" s="99"/>
      <c r="LE55" s="99"/>
      <c r="LF55" s="99"/>
      <c r="LG55" s="99"/>
      <c r="LH55" s="99"/>
      <c r="LI55" s="99"/>
      <c r="LJ55" s="99"/>
      <c r="LK55" s="99"/>
      <c r="LL55" s="99"/>
      <c r="LM55" s="99"/>
      <c r="LN55" s="99"/>
      <c r="LO55" s="99"/>
      <c r="LP55" s="99"/>
      <c r="LQ55" s="99"/>
      <c r="LR55" s="99"/>
      <c r="LS55" s="99"/>
      <c r="LT55" s="99"/>
      <c r="LU55" s="99"/>
      <c r="LV55" s="99"/>
      <c r="LW55" s="99"/>
      <c r="LX55" s="99"/>
      <c r="LY55" s="99"/>
      <c r="LZ55" s="99"/>
      <c r="MA55" s="99"/>
      <c r="MB55" s="99"/>
      <c r="MC55" s="99"/>
      <c r="MD55" s="99"/>
      <c r="ME55" s="99"/>
      <c r="MF55" s="99"/>
    </row>
    <row r="56" spans="1:344" ht="17.25" customHeight="1" x14ac:dyDescent="0.25">
      <c r="A56" s="156"/>
      <c r="B56" s="81" t="s">
        <v>4</v>
      </c>
      <c r="C56" s="82">
        <v>45190</v>
      </c>
      <c r="D56" s="49"/>
      <c r="G56" s="89">
        <f t="shared" si="0"/>
        <v>0</v>
      </c>
      <c r="H56" s="35">
        <f t="shared" si="1"/>
        <v>0</v>
      </c>
      <c r="I56" s="39">
        <v>12</v>
      </c>
      <c r="K56" s="103">
        <v>68</v>
      </c>
      <c r="L56" s="89">
        <f t="shared" si="2"/>
        <v>6.875</v>
      </c>
      <c r="M56" s="35">
        <f t="shared" si="20"/>
        <v>467.5</v>
      </c>
      <c r="N56" s="35">
        <f t="shared" si="21"/>
        <v>467.5</v>
      </c>
      <c r="O56" s="97"/>
      <c r="P56" s="150"/>
      <c r="W56" s="11">
        <v>0</v>
      </c>
      <c r="X56" s="1">
        <v>7</v>
      </c>
      <c r="Y56" s="35">
        <f t="shared" si="3"/>
        <v>476</v>
      </c>
      <c r="Z56" s="35">
        <f t="shared" si="22"/>
        <v>0</v>
      </c>
      <c r="AA56" s="15">
        <f t="shared" si="80"/>
        <v>1.2121261307514908</v>
      </c>
      <c r="AB56" s="43">
        <f t="shared" si="81"/>
        <v>531.65769751910659</v>
      </c>
      <c r="AC56" s="43">
        <f t="shared" si="82"/>
        <v>438.61582060729177</v>
      </c>
      <c r="AD56" s="33"/>
      <c r="AH56" s="31"/>
      <c r="AO56" s="1">
        <v>6</v>
      </c>
      <c r="AP56" s="35">
        <f t="shared" si="4"/>
        <v>408</v>
      </c>
      <c r="AQ56" s="35">
        <f t="shared" si="23"/>
        <v>0</v>
      </c>
      <c r="AR56" s="15">
        <f t="shared" si="83"/>
        <v>1.0842229850623764</v>
      </c>
      <c r="AS56" s="28">
        <f t="shared" si="37"/>
        <v>459.06987101854833</v>
      </c>
      <c r="AT56" s="28">
        <f t="shared" si="38"/>
        <v>423.40909327995627</v>
      </c>
      <c r="AU56" s="33"/>
      <c r="AY56" s="31"/>
      <c r="BF56" s="1">
        <v>7</v>
      </c>
      <c r="BG56" s="35">
        <f t="shared" si="5"/>
        <v>476</v>
      </c>
      <c r="BH56" s="35">
        <f t="shared" si="24"/>
        <v>0</v>
      </c>
      <c r="BI56" s="15">
        <f t="shared" si="39"/>
        <v>1.4115328708285073</v>
      </c>
      <c r="BJ56" s="28">
        <f t="shared" si="40"/>
        <v>556.2766450993463</v>
      </c>
      <c r="BK56" s="28">
        <f t="shared" si="41"/>
        <v>394.09400701581717</v>
      </c>
      <c r="BL56" s="33"/>
      <c r="BP56" s="31"/>
      <c r="BW56" s="1">
        <v>7</v>
      </c>
      <c r="BX56" s="35">
        <f t="shared" si="6"/>
        <v>476</v>
      </c>
      <c r="BY56" s="35">
        <f t="shared" si="25"/>
        <v>0</v>
      </c>
      <c r="BZ56" s="15">
        <f t="shared" si="42"/>
        <v>1.1616634058312811</v>
      </c>
      <c r="CA56" s="28">
        <f t="shared" si="43"/>
        <v>570.39760980575772</v>
      </c>
      <c r="CB56" s="28">
        <f t="shared" si="44"/>
        <v>491.01797211007414</v>
      </c>
      <c r="CC56" s="33"/>
      <c r="CG56" s="31"/>
      <c r="CM56" s="86"/>
      <c r="CN56" s="87"/>
      <c r="CO56" s="35">
        <f t="shared" si="7"/>
        <v>0</v>
      </c>
      <c r="CP56" s="35">
        <f t="shared" si="26"/>
        <v>0</v>
      </c>
      <c r="CQ56" s="15">
        <f t="shared" si="45"/>
        <v>0.28433069569632041</v>
      </c>
      <c r="CR56" s="28">
        <f t="shared" si="46"/>
        <v>71.439345546202105</v>
      </c>
      <c r="CS56" s="28">
        <f t="shared" si="47"/>
        <v>251.25442531362475</v>
      </c>
      <c r="CT56" s="33"/>
      <c r="CX56" s="31"/>
      <c r="DE56" s="1">
        <v>5.5</v>
      </c>
      <c r="DF56" s="35">
        <f t="shared" si="8"/>
        <v>374</v>
      </c>
      <c r="DG56" s="35">
        <f t="shared" si="27"/>
        <v>0</v>
      </c>
      <c r="DH56" s="15">
        <f t="shared" si="48"/>
        <v>1.0924458553854262</v>
      </c>
      <c r="DI56" s="28">
        <f t="shared" si="49"/>
        <v>444.23276185617715</v>
      </c>
      <c r="DJ56" s="28">
        <f t="shared" si="50"/>
        <v>406.64053020682411</v>
      </c>
      <c r="DK56" s="33"/>
      <c r="DO56" s="31"/>
      <c r="DV56" s="1">
        <v>7</v>
      </c>
      <c r="DW56" s="35">
        <f t="shared" si="9"/>
        <v>476</v>
      </c>
      <c r="DX56" s="35">
        <f t="shared" si="28"/>
        <v>0</v>
      </c>
      <c r="DY56" s="15">
        <f t="shared" si="51"/>
        <v>1.1661423475350652</v>
      </c>
      <c r="DZ56" s="28">
        <f t="shared" si="52"/>
        <v>503.15638897456262</v>
      </c>
      <c r="EA56" s="28">
        <f t="shared" si="53"/>
        <v>431.4708148950341</v>
      </c>
      <c r="EB56" s="33"/>
      <c r="EF56" s="31"/>
      <c r="EM56" s="1">
        <v>8</v>
      </c>
      <c r="EN56" s="35">
        <f t="shared" si="10"/>
        <v>544</v>
      </c>
      <c r="EO56" s="35">
        <f t="shared" si="29"/>
        <v>0</v>
      </c>
      <c r="EP56" s="15">
        <f t="shared" si="85"/>
        <v>1.133102172648881</v>
      </c>
      <c r="EQ56" s="28">
        <f t="shared" si="54"/>
        <v>508.83574270151621</v>
      </c>
      <c r="ER56" s="28">
        <f t="shared" si="55"/>
        <v>449.06430768903948</v>
      </c>
      <c r="ES56" s="33"/>
      <c r="EW56" s="31"/>
      <c r="FD56" s="1">
        <v>8.5</v>
      </c>
      <c r="FE56" s="35">
        <f t="shared" si="11"/>
        <v>578</v>
      </c>
      <c r="FF56" s="35">
        <f t="shared" si="30"/>
        <v>0</v>
      </c>
      <c r="FG56" s="15">
        <f t="shared" si="56"/>
        <v>1.2245269086454813</v>
      </c>
      <c r="FH56" s="28">
        <f t="shared" si="57"/>
        <v>590.20800128517851</v>
      </c>
      <c r="FI56" s="28">
        <f t="shared" si="58"/>
        <v>481.98859258882362</v>
      </c>
      <c r="FJ56" s="33"/>
      <c r="FN56" s="31"/>
      <c r="FU56" s="1">
        <v>6</v>
      </c>
      <c r="FV56" s="35">
        <f t="shared" si="12"/>
        <v>408</v>
      </c>
      <c r="FW56" s="35">
        <f t="shared" si="31"/>
        <v>0</v>
      </c>
      <c r="FX56" s="15">
        <f t="shared" si="87"/>
        <v>1.0427452866115654</v>
      </c>
      <c r="FY56" s="28">
        <f t="shared" si="59"/>
        <v>518.35656353831291</v>
      </c>
      <c r="FZ56" s="28">
        <f t="shared" si="60"/>
        <v>497.10755847454305</v>
      </c>
      <c r="GA56" s="33"/>
      <c r="GE56" s="31"/>
      <c r="GL56" s="1">
        <v>6.75</v>
      </c>
      <c r="GM56" s="35">
        <f t="shared" si="13"/>
        <v>459</v>
      </c>
      <c r="GN56" s="35">
        <f t="shared" si="32"/>
        <v>0</v>
      </c>
      <c r="GO56" s="15">
        <f t="shared" si="77"/>
        <v>1.0000466567415742</v>
      </c>
      <c r="GP56" s="28">
        <f t="shared" si="61"/>
        <v>532.67461977858306</v>
      </c>
      <c r="GQ56" s="28">
        <f t="shared" si="62"/>
        <v>532.64976807600442</v>
      </c>
      <c r="GR56" s="33"/>
      <c r="GV56" s="31"/>
      <c r="HD56" s="35">
        <f t="shared" si="14"/>
        <v>0</v>
      </c>
      <c r="HE56" s="35">
        <f t="shared" si="33"/>
        <v>0</v>
      </c>
      <c r="HF56" s="15">
        <f t="shared" si="63"/>
        <v>0.73152935372726013</v>
      </c>
      <c r="HG56" s="28">
        <f t="shared" si="64"/>
        <v>180.26085605251893</v>
      </c>
      <c r="HH56" s="28">
        <f t="shared" si="65"/>
        <v>246.41643583276704</v>
      </c>
      <c r="HI56" s="33"/>
      <c r="HM56" s="31"/>
      <c r="HT56" s="1">
        <v>6</v>
      </c>
      <c r="HU56" s="35">
        <f t="shared" si="15"/>
        <v>408</v>
      </c>
      <c r="HV56" s="35">
        <f t="shared" si="34"/>
        <v>0</v>
      </c>
      <c r="HW56" s="15">
        <f t="shared" si="66"/>
        <v>1.1543490292309082</v>
      </c>
      <c r="HX56" s="28">
        <f t="shared" si="67"/>
        <v>189.73165952372838</v>
      </c>
      <c r="HY56" s="28">
        <f t="shared" si="68"/>
        <v>164.36247159157591</v>
      </c>
      <c r="HZ56" s="33"/>
      <c r="ID56" s="31"/>
      <c r="II56" s="12"/>
      <c r="IK56" s="1">
        <v>6</v>
      </c>
      <c r="IL56" s="35">
        <f t="shared" si="16"/>
        <v>408</v>
      </c>
      <c r="IM56" s="35">
        <f t="shared" si="17"/>
        <v>5216.165289990895</v>
      </c>
      <c r="IN56" s="15">
        <f t="shared" si="69"/>
        <v>2.1669967735413902</v>
      </c>
      <c r="IO56" s="28">
        <f t="shared" si="70"/>
        <v>397.49058795319377</v>
      </c>
      <c r="IP56" s="28">
        <f t="shared" si="71"/>
        <v>183.42924770653869</v>
      </c>
      <c r="IQ56" s="33"/>
      <c r="IU56" s="31"/>
      <c r="JC56" s="35">
        <f t="shared" si="18"/>
        <v>0</v>
      </c>
      <c r="JD56" s="35">
        <f t="shared" si="19"/>
        <v>1542.8825008400211</v>
      </c>
      <c r="JE56" s="15" t="e">
        <f t="shared" si="72"/>
        <v>#DIV/0!</v>
      </c>
      <c r="JF56" s="28">
        <f t="shared" si="73"/>
        <v>0</v>
      </c>
      <c r="JG56" s="28">
        <f t="shared" si="74"/>
        <v>0</v>
      </c>
      <c r="JH56" s="33"/>
      <c r="JL56" s="31"/>
      <c r="JR56" s="99"/>
      <c r="JS56" s="99"/>
      <c r="JT56" s="99"/>
      <c r="JU56" s="99"/>
      <c r="JV56" s="99"/>
      <c r="JW56" s="99"/>
      <c r="JX56" s="99"/>
      <c r="JY56" s="99"/>
      <c r="JZ56" s="99"/>
      <c r="KA56" s="99"/>
      <c r="KB56" s="99"/>
      <c r="KC56" s="99"/>
      <c r="KD56" s="99"/>
      <c r="KE56" s="99"/>
      <c r="KF56" s="99"/>
      <c r="KG56" s="99"/>
      <c r="KH56" s="99"/>
      <c r="KI56" s="99"/>
      <c r="KJ56" s="99"/>
      <c r="KK56" s="99"/>
      <c r="KL56" s="99"/>
      <c r="KM56" s="99"/>
      <c r="KN56" s="99"/>
      <c r="KO56" s="99"/>
      <c r="KP56" s="99"/>
      <c r="KQ56" s="99"/>
      <c r="KR56" s="99"/>
      <c r="KS56" s="99"/>
      <c r="KT56" s="99"/>
      <c r="KU56" s="99"/>
      <c r="KV56" s="99"/>
      <c r="KW56" s="99"/>
      <c r="KX56" s="99"/>
      <c r="KY56" s="99"/>
      <c r="KZ56" s="99"/>
      <c r="LA56" s="99"/>
      <c r="LB56" s="99"/>
      <c r="LC56" s="99"/>
      <c r="LD56" s="99"/>
      <c r="LE56" s="99"/>
      <c r="LF56" s="99"/>
      <c r="LG56" s="99"/>
      <c r="LH56" s="99"/>
      <c r="LI56" s="99"/>
      <c r="LJ56" s="99"/>
      <c r="LK56" s="99"/>
      <c r="LL56" s="99"/>
      <c r="LM56" s="99"/>
      <c r="LN56" s="99"/>
      <c r="LO56" s="99"/>
      <c r="LP56" s="99"/>
      <c r="LQ56" s="99"/>
      <c r="LR56" s="99"/>
      <c r="LS56" s="99"/>
      <c r="LT56" s="99"/>
      <c r="LU56" s="99"/>
      <c r="LV56" s="99"/>
      <c r="LW56" s="99"/>
      <c r="LX56" s="99"/>
      <c r="LY56" s="99"/>
      <c r="LZ56" s="99"/>
      <c r="MA56" s="99"/>
      <c r="MB56" s="99"/>
      <c r="MC56" s="99"/>
      <c r="MD56" s="99"/>
      <c r="ME56" s="99"/>
      <c r="MF56" s="99"/>
    </row>
    <row r="57" spans="1:344" ht="17.25" customHeight="1" x14ac:dyDescent="0.25">
      <c r="A57" s="156"/>
      <c r="B57" s="81" t="s">
        <v>5</v>
      </c>
      <c r="C57" s="82">
        <v>45191</v>
      </c>
      <c r="D57" s="49">
        <v>12</v>
      </c>
      <c r="F57" s="103">
        <v>60</v>
      </c>
      <c r="G57" s="89">
        <f t="shared" si="0"/>
        <v>5.7569999999999997</v>
      </c>
      <c r="H57" s="35">
        <f t="shared" si="1"/>
        <v>345.41999999999996</v>
      </c>
      <c r="I57" s="39"/>
      <c r="L57" s="89">
        <f t="shared" si="2"/>
        <v>0</v>
      </c>
      <c r="M57" s="35">
        <f t="shared" si="20"/>
        <v>0</v>
      </c>
      <c r="N57" s="35">
        <f t="shared" si="21"/>
        <v>345.41999999999996</v>
      </c>
      <c r="O57" s="97"/>
      <c r="P57" s="150"/>
      <c r="W57" s="11">
        <v>6</v>
      </c>
      <c r="X57" s="1">
        <v>0</v>
      </c>
      <c r="Y57" s="35">
        <f t="shared" si="3"/>
        <v>360</v>
      </c>
      <c r="Z57" s="35">
        <f t="shared" si="22"/>
        <v>0</v>
      </c>
      <c r="AA57" s="15">
        <f t="shared" si="80"/>
        <v>1.1282317579427172</v>
      </c>
      <c r="AB57" s="43">
        <f t="shared" si="81"/>
        <v>488.74327313932997</v>
      </c>
      <c r="AC57" s="43">
        <f t="shared" si="82"/>
        <v>433.19403987575441</v>
      </c>
      <c r="AD57" s="33"/>
      <c r="AH57" s="31"/>
      <c r="AN57" s="11">
        <v>4</v>
      </c>
      <c r="AP57" s="35">
        <f t="shared" si="4"/>
        <v>240</v>
      </c>
      <c r="AQ57" s="35">
        <f t="shared" si="23"/>
        <v>0</v>
      </c>
      <c r="AR57" s="15">
        <f t="shared" si="83"/>
        <v>0.98427844960686062</v>
      </c>
      <c r="AS57" s="28">
        <f t="shared" si="37"/>
        <v>404.30240326391123</v>
      </c>
      <c r="AT57" s="28">
        <f t="shared" si="38"/>
        <v>410.76019029513168</v>
      </c>
      <c r="AU57" s="33"/>
      <c r="AY57" s="31"/>
      <c r="BE57" s="11">
        <v>5.5</v>
      </c>
      <c r="BG57" s="35">
        <f t="shared" si="5"/>
        <v>330</v>
      </c>
      <c r="BH57" s="35">
        <f t="shared" si="24"/>
        <v>0</v>
      </c>
      <c r="BI57" s="15">
        <f t="shared" si="39"/>
        <v>1.2823740593584507</v>
      </c>
      <c r="BJ57" s="28">
        <f t="shared" si="40"/>
        <v>499.70748382450972</v>
      </c>
      <c r="BK57" s="28">
        <f t="shared" si="41"/>
        <v>389.67373066989876</v>
      </c>
      <c r="BL57" s="33"/>
      <c r="BP57" s="31"/>
      <c r="BV57" s="11">
        <v>6</v>
      </c>
      <c r="BX57" s="35">
        <f t="shared" si="6"/>
        <v>360</v>
      </c>
      <c r="BY57" s="35">
        <f t="shared" si="25"/>
        <v>0</v>
      </c>
      <c r="BZ57" s="15">
        <f t="shared" si="42"/>
        <v>1.0743097022068571</v>
      </c>
      <c r="CA57" s="28">
        <f t="shared" si="43"/>
        <v>517.79820735431827</v>
      </c>
      <c r="CB57" s="28">
        <f t="shared" si="44"/>
        <v>481.98224989558628</v>
      </c>
      <c r="CC57" s="33"/>
      <c r="CG57" s="31"/>
      <c r="CM57" s="86"/>
      <c r="CN57" s="87"/>
      <c r="CO57" s="35">
        <f t="shared" si="7"/>
        <v>0</v>
      </c>
      <c r="CP57" s="35">
        <f t="shared" si="26"/>
        <v>0</v>
      </c>
      <c r="CQ57" s="15">
        <f t="shared" si="45"/>
        <v>0.22904417153314702</v>
      </c>
      <c r="CR57" s="28">
        <f t="shared" si="46"/>
        <v>53.579509159651579</v>
      </c>
      <c r="CS57" s="28">
        <f t="shared" si="47"/>
        <v>233.9265339126851</v>
      </c>
      <c r="CT57" s="33"/>
      <c r="CX57" s="31"/>
      <c r="DD57" s="11">
        <v>4.57</v>
      </c>
      <c r="DF57" s="35">
        <f t="shared" si="8"/>
        <v>274.20000000000005</v>
      </c>
      <c r="DG57" s="35">
        <f t="shared" si="27"/>
        <v>0</v>
      </c>
      <c r="DH57" s="15">
        <f t="shared" si="48"/>
        <v>1.0106108169976578</v>
      </c>
      <c r="DI57" s="28">
        <f t="shared" si="49"/>
        <v>401.72457139213287</v>
      </c>
      <c r="DJ57" s="28">
        <f t="shared" si="50"/>
        <v>397.50670053738793</v>
      </c>
      <c r="DK57" s="33"/>
      <c r="DO57" s="31"/>
      <c r="DU57" s="11">
        <v>5</v>
      </c>
      <c r="DW57" s="35">
        <f t="shared" si="9"/>
        <v>300</v>
      </c>
      <c r="DX57" s="35">
        <f t="shared" si="28"/>
        <v>0</v>
      </c>
      <c r="DY57" s="15">
        <f t="shared" si="51"/>
        <v>1.0709355010042012</v>
      </c>
      <c r="DZ57" s="28">
        <f t="shared" si="52"/>
        <v>452.36729173092198</v>
      </c>
      <c r="EA57" s="28">
        <f t="shared" si="53"/>
        <v>422.40386214365242</v>
      </c>
      <c r="EB57" s="33"/>
      <c r="EF57" s="31"/>
      <c r="EL57" s="11">
        <v>7</v>
      </c>
      <c r="EN57" s="35">
        <f t="shared" si="10"/>
        <v>420</v>
      </c>
      <c r="EO57" s="35">
        <f t="shared" si="29"/>
        <v>0</v>
      </c>
      <c r="EP57" s="15">
        <f t="shared" si="85"/>
        <v>1.0885047770297431</v>
      </c>
      <c r="EQ57" s="28">
        <f t="shared" si="54"/>
        <v>486.62680702613716</v>
      </c>
      <c r="ER57" s="28">
        <f t="shared" si="55"/>
        <v>447.05987267600227</v>
      </c>
      <c r="ES57" s="33"/>
      <c r="EW57" s="31"/>
      <c r="FC57" s="11">
        <v>6.5</v>
      </c>
      <c r="FE57" s="35">
        <f t="shared" si="11"/>
        <v>390</v>
      </c>
      <c r="FF57" s="35">
        <f t="shared" si="30"/>
        <v>0</v>
      </c>
      <c r="FG57" s="15">
        <f t="shared" si="56"/>
        <v>1.1356295347226979</v>
      </c>
      <c r="FH57" s="28">
        <f t="shared" si="57"/>
        <v>540.15600096388391</v>
      </c>
      <c r="FI57" s="28">
        <f t="shared" si="58"/>
        <v>475.64455172062884</v>
      </c>
      <c r="FJ57" s="33"/>
      <c r="FN57" s="31"/>
      <c r="FT57" s="11">
        <v>7</v>
      </c>
      <c r="FV57" s="35">
        <f t="shared" si="12"/>
        <v>420</v>
      </c>
      <c r="FW57" s="35">
        <f t="shared" si="31"/>
        <v>0</v>
      </c>
      <c r="FX57" s="15">
        <f t="shared" si="87"/>
        <v>1.0040212848038184</v>
      </c>
      <c r="FY57" s="28">
        <f t="shared" si="59"/>
        <v>493.76742265373468</v>
      </c>
      <c r="FZ57" s="28">
        <f t="shared" si="60"/>
        <v>491.78979582112629</v>
      </c>
      <c r="GA57" s="33"/>
      <c r="GE57" s="31"/>
      <c r="GK57" s="11">
        <v>6</v>
      </c>
      <c r="GM57" s="35">
        <f t="shared" si="13"/>
        <v>360</v>
      </c>
      <c r="GN57" s="35">
        <f t="shared" si="32"/>
        <v>0</v>
      </c>
      <c r="GO57" s="15">
        <f t="shared" si="77"/>
        <v>0.94001469163808926</v>
      </c>
      <c r="GP57" s="28">
        <f t="shared" si="61"/>
        <v>489.5059648339373</v>
      </c>
      <c r="GQ57" s="28">
        <f t="shared" si="62"/>
        <v>520.74288751903862</v>
      </c>
      <c r="GR57" s="33"/>
      <c r="GV57" s="31"/>
      <c r="HD57" s="35">
        <f t="shared" si="14"/>
        <v>0</v>
      </c>
      <c r="HE57" s="35">
        <f t="shared" si="33"/>
        <v>0</v>
      </c>
      <c r="HF57" s="15">
        <f t="shared" si="63"/>
        <v>0.58928753494695962</v>
      </c>
      <c r="HG57" s="28">
        <f t="shared" si="64"/>
        <v>135.19564203938921</v>
      </c>
      <c r="HH57" s="28">
        <f t="shared" si="65"/>
        <v>229.42219887878309</v>
      </c>
      <c r="HI57" s="33"/>
      <c r="HM57" s="31"/>
      <c r="HU57" s="35">
        <f t="shared" si="15"/>
        <v>0</v>
      </c>
      <c r="HV57" s="35">
        <f t="shared" si="34"/>
        <v>0</v>
      </c>
      <c r="HW57" s="15">
        <f t="shared" si="66"/>
        <v>0.92989227354712056</v>
      </c>
      <c r="HX57" s="28">
        <f t="shared" si="67"/>
        <v>142.29874464279629</v>
      </c>
      <c r="HY57" s="28">
        <f t="shared" si="68"/>
        <v>153.02712872319137</v>
      </c>
      <c r="HZ57" s="33"/>
      <c r="ID57" s="31"/>
      <c r="II57" s="12"/>
      <c r="IL57" s="35">
        <f t="shared" si="16"/>
        <v>0</v>
      </c>
      <c r="IM57" s="35">
        <f t="shared" si="17"/>
        <v>4844.3270080018247</v>
      </c>
      <c r="IN57" s="15">
        <f t="shared" si="69"/>
        <v>1.7456362897972306</v>
      </c>
      <c r="IO57" s="28">
        <f t="shared" si="70"/>
        <v>298.1179409648953</v>
      </c>
      <c r="IP57" s="28">
        <f t="shared" si="71"/>
        <v>170.77895476126017</v>
      </c>
      <c r="IQ57" s="33"/>
      <c r="IU57" s="31"/>
      <c r="JC57" s="35">
        <f t="shared" si="18"/>
        <v>0</v>
      </c>
      <c r="JD57" s="35">
        <f t="shared" si="19"/>
        <v>1384.6378387166312</v>
      </c>
      <c r="JE57" s="15" t="e">
        <f t="shared" si="72"/>
        <v>#DIV/0!</v>
      </c>
      <c r="JF57" s="28">
        <f t="shared" si="73"/>
        <v>0</v>
      </c>
      <c r="JG57" s="28">
        <f t="shared" si="74"/>
        <v>0</v>
      </c>
      <c r="JH57" s="33"/>
      <c r="JL57" s="31"/>
      <c r="JR57" s="99"/>
      <c r="JS57" s="99"/>
      <c r="JT57" s="99"/>
      <c r="JU57" s="99"/>
      <c r="JV57" s="99"/>
      <c r="JW57" s="99"/>
      <c r="JX57" s="99"/>
      <c r="JY57" s="99"/>
      <c r="JZ57" s="99"/>
      <c r="KA57" s="99"/>
      <c r="KB57" s="99"/>
      <c r="KC57" s="99"/>
      <c r="KD57" s="99"/>
      <c r="KE57" s="99"/>
      <c r="KF57" s="99"/>
      <c r="KG57" s="99"/>
      <c r="KH57" s="99"/>
      <c r="KI57" s="99"/>
      <c r="KJ57" s="99"/>
      <c r="KK57" s="99"/>
      <c r="KL57" s="99"/>
      <c r="KM57" s="99"/>
      <c r="KN57" s="99"/>
      <c r="KO57" s="99"/>
      <c r="KP57" s="99"/>
      <c r="KQ57" s="99"/>
      <c r="KR57" s="99"/>
      <c r="KS57" s="99"/>
      <c r="KT57" s="99"/>
      <c r="KU57" s="99"/>
      <c r="KV57" s="99"/>
      <c r="KW57" s="99"/>
      <c r="KX57" s="99"/>
      <c r="KY57" s="99"/>
      <c r="KZ57" s="99"/>
      <c r="LA57" s="99"/>
      <c r="LB57" s="99"/>
      <c r="LC57" s="99"/>
      <c r="LD57" s="99"/>
      <c r="LE57" s="99"/>
      <c r="LF57" s="99"/>
      <c r="LG57" s="99"/>
      <c r="LH57" s="99"/>
      <c r="LI57" s="99"/>
      <c r="LJ57" s="99"/>
      <c r="LK57" s="99"/>
      <c r="LL57" s="99"/>
      <c r="LM57" s="99"/>
      <c r="LN57" s="99"/>
      <c r="LO57" s="99"/>
      <c r="LP57" s="99"/>
      <c r="LQ57" s="99"/>
      <c r="LR57" s="99"/>
      <c r="LS57" s="99"/>
      <c r="LT57" s="99"/>
      <c r="LU57" s="99"/>
      <c r="LV57" s="99"/>
      <c r="LW57" s="99"/>
      <c r="LX57" s="99"/>
      <c r="LY57" s="99"/>
      <c r="LZ57" s="99"/>
      <c r="MA57" s="99"/>
      <c r="MB57" s="99"/>
      <c r="MC57" s="99"/>
      <c r="MD57" s="99"/>
      <c r="ME57" s="99"/>
      <c r="MF57" s="99"/>
    </row>
    <row r="58" spans="1:344" ht="17.25" customHeight="1" x14ac:dyDescent="0.25">
      <c r="A58" s="156"/>
      <c r="B58" s="81" t="s">
        <v>6</v>
      </c>
      <c r="C58" s="82">
        <v>45192</v>
      </c>
      <c r="D58" s="49"/>
      <c r="G58" s="89">
        <f t="shared" si="0"/>
        <v>0</v>
      </c>
      <c r="H58" s="35">
        <f t="shared" si="1"/>
        <v>0</v>
      </c>
      <c r="I58" s="39">
        <v>11</v>
      </c>
      <c r="K58" s="103">
        <v>100</v>
      </c>
      <c r="L58" s="89">
        <f t="shared" si="2"/>
        <v>7.33</v>
      </c>
      <c r="M58" s="35">
        <f t="shared" si="20"/>
        <v>733</v>
      </c>
      <c r="N58" s="35">
        <f t="shared" si="21"/>
        <v>733</v>
      </c>
      <c r="O58" s="97"/>
      <c r="P58" s="150"/>
      <c r="W58" s="11">
        <v>0</v>
      </c>
      <c r="X58" s="1">
        <v>8.5</v>
      </c>
      <c r="Y58" s="35">
        <f t="shared" si="3"/>
        <v>850</v>
      </c>
      <c r="Z58" s="35">
        <f t="shared" si="22"/>
        <v>0</v>
      </c>
      <c r="AA58" s="15">
        <f t="shared" si="80"/>
        <v>1.2535358688884775</v>
      </c>
      <c r="AB58" s="43">
        <f t="shared" si="81"/>
        <v>579.05745485449745</v>
      </c>
      <c r="AC58" s="43">
        <f t="shared" si="82"/>
        <v>461.93927850501268</v>
      </c>
      <c r="AD58" s="33"/>
      <c r="AH58" s="31"/>
      <c r="AO58" s="1">
        <v>7.8</v>
      </c>
      <c r="AP58" s="35">
        <f t="shared" si="4"/>
        <v>780</v>
      </c>
      <c r="AQ58" s="35">
        <f t="shared" si="23"/>
        <v>0</v>
      </c>
      <c r="AR58" s="15">
        <f t="shared" si="83"/>
        <v>1.142132608204931</v>
      </c>
      <c r="AS58" s="28">
        <f t="shared" si="37"/>
        <v>498.22680244793344</v>
      </c>
      <c r="AT58" s="28">
        <f t="shared" si="38"/>
        <v>436.2250047575364</v>
      </c>
      <c r="AU58" s="33"/>
      <c r="AY58" s="31"/>
      <c r="BG58" s="35">
        <f t="shared" si="5"/>
        <v>0</v>
      </c>
      <c r="BH58" s="35">
        <f t="shared" si="24"/>
        <v>0</v>
      </c>
      <c r="BI58" s="15">
        <f t="shared" si="39"/>
        <v>1.0330235478165299</v>
      </c>
      <c r="BJ58" s="28">
        <f t="shared" si="40"/>
        <v>374.78061286838226</v>
      </c>
      <c r="BK58" s="28">
        <f t="shared" si="41"/>
        <v>362.79968027887122</v>
      </c>
      <c r="BL58" s="33"/>
      <c r="BP58" s="31"/>
      <c r="BW58" s="1">
        <v>8</v>
      </c>
      <c r="BX58" s="35">
        <f t="shared" si="6"/>
        <v>800</v>
      </c>
      <c r="BY58" s="35">
        <f t="shared" si="25"/>
        <v>0</v>
      </c>
      <c r="BZ58" s="15">
        <f t="shared" si="42"/>
        <v>1.1675564913573593</v>
      </c>
      <c r="CA58" s="28">
        <f t="shared" si="43"/>
        <v>588.34865551573876</v>
      </c>
      <c r="CB58" s="28">
        <f t="shared" si="44"/>
        <v>503.91450852347685</v>
      </c>
      <c r="CC58" s="33"/>
      <c r="CG58" s="31"/>
      <c r="CN58" s="1">
        <v>5</v>
      </c>
      <c r="CO58" s="35">
        <f t="shared" si="7"/>
        <v>500</v>
      </c>
      <c r="CP58" s="35">
        <f t="shared" si="26"/>
        <v>0</v>
      </c>
      <c r="CQ58" s="15">
        <f t="shared" si="45"/>
        <v>0.65477632253258544</v>
      </c>
      <c r="CR58" s="28">
        <f t="shared" si="46"/>
        <v>165.18463186973867</v>
      </c>
      <c r="CS58" s="28">
        <f t="shared" si="47"/>
        <v>252.27642812560336</v>
      </c>
      <c r="CT58" s="33"/>
      <c r="CX58" s="31"/>
      <c r="DE58" s="1">
        <v>7</v>
      </c>
      <c r="DF58" s="35">
        <f t="shared" si="8"/>
        <v>700</v>
      </c>
      <c r="DG58" s="35">
        <f t="shared" si="27"/>
        <v>0</v>
      </c>
      <c r="DH58" s="15">
        <f t="shared" si="48"/>
        <v>1.1384548497653564</v>
      </c>
      <c r="DI58" s="28">
        <f t="shared" si="49"/>
        <v>476.29342854409964</v>
      </c>
      <c r="DJ58" s="28">
        <f t="shared" si="50"/>
        <v>418.36830739687844</v>
      </c>
      <c r="DK58" s="33"/>
      <c r="DO58" s="31"/>
      <c r="DV58" s="1">
        <v>7</v>
      </c>
      <c r="DW58" s="35">
        <f t="shared" si="9"/>
        <v>700</v>
      </c>
      <c r="DX58" s="35">
        <f t="shared" si="28"/>
        <v>0</v>
      </c>
      <c r="DY58" s="15">
        <f t="shared" si="51"/>
        <v>1.1647091045352467</v>
      </c>
      <c r="DZ58" s="28">
        <f t="shared" si="52"/>
        <v>514.27546879819147</v>
      </c>
      <c r="EA58" s="28">
        <f t="shared" si="53"/>
        <v>441.54842337512468</v>
      </c>
      <c r="EB58" s="33"/>
      <c r="EF58" s="31"/>
      <c r="EM58" s="1">
        <v>7</v>
      </c>
      <c r="EN58" s="35">
        <f t="shared" si="10"/>
        <v>700</v>
      </c>
      <c r="EO58" s="35">
        <f t="shared" si="29"/>
        <v>0</v>
      </c>
      <c r="EP58" s="15">
        <f t="shared" si="85"/>
        <v>1.1624659480471871</v>
      </c>
      <c r="EQ58" s="28">
        <f t="shared" si="54"/>
        <v>539.97010526960287</v>
      </c>
      <c r="ER58" s="28">
        <f t="shared" si="55"/>
        <v>464.50401938800212</v>
      </c>
      <c r="ES58" s="33"/>
      <c r="EW58" s="31"/>
      <c r="FD58" s="1">
        <v>7</v>
      </c>
      <c r="FE58" s="35">
        <f t="shared" si="11"/>
        <v>700</v>
      </c>
      <c r="FF58" s="35">
        <f t="shared" si="30"/>
        <v>0</v>
      </c>
      <c r="FG58" s="15">
        <f t="shared" si="56"/>
        <v>1.1812187271537979</v>
      </c>
      <c r="FH58" s="28">
        <f t="shared" si="57"/>
        <v>580.11700072291296</v>
      </c>
      <c r="FI58" s="28">
        <f t="shared" si="58"/>
        <v>491.11734125713718</v>
      </c>
      <c r="FJ58" s="33"/>
      <c r="FN58" s="31"/>
      <c r="FU58" s="1">
        <v>8</v>
      </c>
      <c r="FV58" s="35">
        <f t="shared" si="12"/>
        <v>800</v>
      </c>
      <c r="FW58" s="35">
        <f t="shared" si="31"/>
        <v>0</v>
      </c>
      <c r="FX58" s="15">
        <f t="shared" si="87"/>
        <v>1.1116467756151376</v>
      </c>
      <c r="FY58" s="28">
        <f t="shared" si="59"/>
        <v>570.32556699030101</v>
      </c>
      <c r="FZ58" s="28">
        <f t="shared" si="60"/>
        <v>513.0456719713934</v>
      </c>
      <c r="GA58" s="33"/>
      <c r="GE58" s="31"/>
      <c r="GL58" s="1">
        <v>8</v>
      </c>
      <c r="GM58" s="35">
        <f t="shared" si="13"/>
        <v>800</v>
      </c>
      <c r="GN58" s="35">
        <f t="shared" si="32"/>
        <v>0</v>
      </c>
      <c r="GO58" s="15">
        <f t="shared" si="77"/>
        <v>1.050235878691006</v>
      </c>
      <c r="GP58" s="28">
        <f t="shared" si="61"/>
        <v>567.12947362545299</v>
      </c>
      <c r="GQ58" s="28">
        <f t="shared" si="62"/>
        <v>540.00199872462213</v>
      </c>
      <c r="GR58" s="33"/>
      <c r="GV58" s="31"/>
      <c r="HD58" s="35">
        <f t="shared" si="14"/>
        <v>0</v>
      </c>
      <c r="HE58" s="35">
        <f t="shared" si="33"/>
        <v>0</v>
      </c>
      <c r="HF58" s="15">
        <f t="shared" si="63"/>
        <v>0.47470384759616197</v>
      </c>
      <c r="HG58" s="28">
        <f t="shared" si="64"/>
        <v>101.39673152954191</v>
      </c>
      <c r="HH58" s="28">
        <f t="shared" si="65"/>
        <v>213.59997826645321</v>
      </c>
      <c r="HI58" s="33"/>
      <c r="HM58" s="31"/>
      <c r="HU58" s="35">
        <f t="shared" si="15"/>
        <v>0</v>
      </c>
      <c r="HV58" s="35">
        <f t="shared" si="34"/>
        <v>0</v>
      </c>
      <c r="HW58" s="15">
        <f t="shared" si="66"/>
        <v>0.74907988702406936</v>
      </c>
      <c r="HX58" s="28">
        <f t="shared" si="67"/>
        <v>106.72405848209722</v>
      </c>
      <c r="HY58" s="28">
        <f t="shared" si="68"/>
        <v>142.47353363883335</v>
      </c>
      <c r="HZ58" s="33"/>
      <c r="ID58" s="31"/>
      <c r="II58" s="12"/>
      <c r="IL58" s="35">
        <f t="shared" si="16"/>
        <v>0</v>
      </c>
      <c r="IM58" s="35">
        <f t="shared" si="17"/>
        <v>5676.4698341544117</v>
      </c>
      <c r="IN58" s="15">
        <f t="shared" si="69"/>
        <v>1.4062070112255471</v>
      </c>
      <c r="IO58" s="28">
        <f t="shared" si="70"/>
        <v>223.58845572367147</v>
      </c>
      <c r="IP58" s="28">
        <f t="shared" si="71"/>
        <v>159.00109581220772</v>
      </c>
      <c r="IQ58" s="33"/>
      <c r="IU58" s="31"/>
      <c r="JC58" s="35">
        <f t="shared" si="18"/>
        <v>0</v>
      </c>
      <c r="JD58" s="35">
        <f t="shared" si="19"/>
        <v>2424.0849970745694</v>
      </c>
      <c r="JE58" s="15" t="e">
        <f t="shared" si="72"/>
        <v>#DIV/0!</v>
      </c>
      <c r="JF58" s="28">
        <f t="shared" si="73"/>
        <v>0</v>
      </c>
      <c r="JG58" s="28">
        <f t="shared" si="74"/>
        <v>0</v>
      </c>
      <c r="JH58" s="33"/>
      <c r="JL58" s="31"/>
      <c r="JR58" s="99"/>
      <c r="JS58" s="99"/>
      <c r="JT58" s="99"/>
      <c r="JU58" s="99"/>
      <c r="JV58" s="99"/>
      <c r="JW58" s="99"/>
      <c r="JX58" s="99"/>
      <c r="JY58" s="99"/>
      <c r="JZ58" s="99"/>
      <c r="KA58" s="99"/>
      <c r="KB58" s="99"/>
      <c r="KC58" s="99"/>
      <c r="KD58" s="99"/>
      <c r="KE58" s="99"/>
      <c r="KF58" s="99"/>
      <c r="KG58" s="99"/>
      <c r="KH58" s="99"/>
      <c r="KI58" s="99"/>
      <c r="KJ58" s="99"/>
      <c r="KK58" s="99"/>
      <c r="KL58" s="99"/>
      <c r="KM58" s="99"/>
      <c r="KN58" s="99"/>
      <c r="KO58" s="99"/>
      <c r="KP58" s="99"/>
      <c r="KQ58" s="99"/>
      <c r="KR58" s="99"/>
      <c r="KS58" s="99"/>
      <c r="KT58" s="99"/>
      <c r="KU58" s="99"/>
      <c r="KV58" s="99"/>
      <c r="KW58" s="99"/>
      <c r="KX58" s="99"/>
      <c r="KY58" s="99"/>
      <c r="KZ58" s="99"/>
      <c r="LA58" s="99"/>
      <c r="LB58" s="99"/>
      <c r="LC58" s="99"/>
      <c r="LD58" s="99"/>
      <c r="LE58" s="99"/>
      <c r="LF58" s="99"/>
      <c r="LG58" s="99"/>
      <c r="LH58" s="99"/>
      <c r="LI58" s="99"/>
      <c r="LJ58" s="99"/>
      <c r="LK58" s="99"/>
      <c r="LL58" s="99"/>
      <c r="LM58" s="99"/>
      <c r="LN58" s="99"/>
      <c r="LO58" s="99"/>
      <c r="LP58" s="99"/>
      <c r="LQ58" s="99"/>
      <c r="LR58" s="99"/>
      <c r="LS58" s="99"/>
      <c r="LT58" s="99"/>
      <c r="LU58" s="99"/>
      <c r="LV58" s="99"/>
      <c r="LW58" s="99"/>
      <c r="LX58" s="99"/>
      <c r="LY58" s="99"/>
      <c r="LZ58" s="99"/>
      <c r="MA58" s="99"/>
      <c r="MB58" s="99"/>
      <c r="MC58" s="99"/>
      <c r="MD58" s="99"/>
      <c r="ME58" s="99"/>
      <c r="MF58" s="99"/>
    </row>
    <row r="59" spans="1:344" ht="17.25" customHeight="1" x14ac:dyDescent="0.25">
      <c r="A59" s="157"/>
      <c r="B59" s="83" t="s">
        <v>7</v>
      </c>
      <c r="C59" s="84">
        <v>45193</v>
      </c>
      <c r="D59" s="51"/>
      <c r="E59" s="48"/>
      <c r="F59" s="104"/>
      <c r="G59" s="37">
        <f t="shared" si="0"/>
        <v>0</v>
      </c>
      <c r="H59" s="26">
        <f t="shared" si="1"/>
        <v>0</v>
      </c>
      <c r="I59" s="48"/>
      <c r="J59" s="48"/>
      <c r="K59" s="104"/>
      <c r="L59" s="37">
        <f t="shared" si="2"/>
        <v>0</v>
      </c>
      <c r="M59" s="26">
        <f t="shared" si="20"/>
        <v>0</v>
      </c>
      <c r="N59" s="26">
        <f t="shared" si="21"/>
        <v>0</v>
      </c>
      <c r="O59" s="98"/>
      <c r="P59" s="151"/>
      <c r="Q59" s="125"/>
      <c r="R59" s="115"/>
      <c r="S59" s="130"/>
      <c r="T59" s="110"/>
      <c r="U59" s="120"/>
      <c r="V59" s="23"/>
      <c r="W59" s="13">
        <v>0</v>
      </c>
      <c r="X59" s="2">
        <v>0</v>
      </c>
      <c r="Y59" s="26">
        <f t="shared" si="3"/>
        <v>0</v>
      </c>
      <c r="Z59" s="26">
        <f t="shared" si="22"/>
        <v>0</v>
      </c>
      <c r="AA59" s="16">
        <f t="shared" si="80"/>
        <v>1.0097927832712736</v>
      </c>
      <c r="AB59" s="44">
        <f t="shared" si="81"/>
        <v>434.29309114087312</v>
      </c>
      <c r="AC59" s="44">
        <f t="shared" si="82"/>
        <v>430.08139722880492</v>
      </c>
      <c r="AD59" s="34"/>
      <c r="AE59" s="4"/>
      <c r="AF59" s="5"/>
      <c r="AG59" s="6"/>
      <c r="AH59" s="32"/>
      <c r="AI59" s="3"/>
      <c r="AJ59" s="4"/>
      <c r="AK59" s="5"/>
      <c r="AL59" s="6"/>
      <c r="AM59" s="14"/>
      <c r="AN59" s="13"/>
      <c r="AO59" s="2"/>
      <c r="AP59" s="26">
        <f t="shared" si="4"/>
        <v>0</v>
      </c>
      <c r="AQ59" s="26">
        <f t="shared" si="23"/>
        <v>0</v>
      </c>
      <c r="AR59" s="16">
        <f t="shared" si="83"/>
        <v>0.92005126772063872</v>
      </c>
      <c r="AS59" s="29">
        <f t="shared" si="37"/>
        <v>373.67010183595005</v>
      </c>
      <c r="AT59" s="29">
        <f t="shared" si="38"/>
        <v>406.14052167080973</v>
      </c>
      <c r="AU59" s="34"/>
      <c r="AV59" s="4"/>
      <c r="AW59" s="5"/>
      <c r="AX59" s="6"/>
      <c r="AY59" s="32"/>
      <c r="AZ59" s="3"/>
      <c r="BA59" s="4"/>
      <c r="BB59" s="5"/>
      <c r="BC59" s="6"/>
      <c r="BD59" s="14"/>
      <c r="BE59" s="13"/>
      <c r="BF59" s="2"/>
      <c r="BG59" s="26">
        <f t="shared" si="5"/>
        <v>0</v>
      </c>
      <c r="BH59" s="26">
        <f t="shared" si="24"/>
        <v>0</v>
      </c>
      <c r="BI59" s="16">
        <f t="shared" si="39"/>
        <v>0.83215785796331565</v>
      </c>
      <c r="BJ59" s="29">
        <f t="shared" si="40"/>
        <v>281.08545965128667</v>
      </c>
      <c r="BK59" s="29">
        <f t="shared" si="41"/>
        <v>337.77901267343179</v>
      </c>
      <c r="BL59" s="34"/>
      <c r="BM59" s="4"/>
      <c r="BN59" s="5"/>
      <c r="BO59" s="6"/>
      <c r="BP59" s="32"/>
      <c r="BQ59" s="3"/>
      <c r="BR59" s="4"/>
      <c r="BS59" s="5"/>
      <c r="BT59" s="6"/>
      <c r="BU59" s="14"/>
      <c r="BV59" s="13"/>
      <c r="BW59" s="2"/>
      <c r="BX59" s="26">
        <f t="shared" si="6"/>
        <v>0</v>
      </c>
      <c r="BY59" s="26">
        <f t="shared" si="25"/>
        <v>0</v>
      </c>
      <c r="BZ59" s="16">
        <f t="shared" si="42"/>
        <v>0.94053161803787277</v>
      </c>
      <c r="CA59" s="29">
        <f t="shared" si="43"/>
        <v>441.26149163680407</v>
      </c>
      <c r="CB59" s="29">
        <f t="shared" si="44"/>
        <v>469.16178379771981</v>
      </c>
      <c r="CC59" s="34"/>
      <c r="CD59" s="4"/>
      <c r="CE59" s="5"/>
      <c r="CF59" s="6"/>
      <c r="CG59" s="32"/>
      <c r="CH59" s="3"/>
      <c r="CI59" s="4"/>
      <c r="CJ59" s="5"/>
      <c r="CK59" s="6"/>
      <c r="CL59" s="14"/>
      <c r="CM59" s="13"/>
      <c r="CN59" s="2"/>
      <c r="CO59" s="26">
        <f t="shared" si="7"/>
        <v>0</v>
      </c>
      <c r="CP59" s="26">
        <f t="shared" si="26"/>
        <v>0</v>
      </c>
      <c r="CQ59" s="16">
        <f t="shared" si="45"/>
        <v>0.52745870426236041</v>
      </c>
      <c r="CR59" s="29">
        <f t="shared" si="46"/>
        <v>123.888473902304</v>
      </c>
      <c r="CS59" s="29">
        <f t="shared" si="47"/>
        <v>234.87805377211347</v>
      </c>
      <c r="CT59" s="34"/>
      <c r="CU59" s="4"/>
      <c r="CV59" s="5"/>
      <c r="CW59" s="6"/>
      <c r="CX59" s="32"/>
      <c r="CY59" s="3"/>
      <c r="CZ59" s="4"/>
      <c r="DA59" s="5"/>
      <c r="DB59" s="6"/>
      <c r="DC59" s="14"/>
      <c r="DD59" s="13"/>
      <c r="DE59" s="2"/>
      <c r="DF59" s="26">
        <f t="shared" si="8"/>
        <v>0</v>
      </c>
      <c r="DG59" s="26">
        <f t="shared" si="27"/>
        <v>0</v>
      </c>
      <c r="DH59" s="16">
        <f t="shared" si="48"/>
        <v>0.91708862897764809</v>
      </c>
      <c r="DI59" s="29">
        <f t="shared" si="49"/>
        <v>357.22007140807472</v>
      </c>
      <c r="DJ59" s="29">
        <f t="shared" si="50"/>
        <v>389.51532067985232</v>
      </c>
      <c r="DK59" s="34"/>
      <c r="DL59" s="4"/>
      <c r="DM59" s="5"/>
      <c r="DN59" s="6"/>
      <c r="DO59" s="32"/>
      <c r="DP59" s="3"/>
      <c r="DQ59" s="4"/>
      <c r="DR59" s="5"/>
      <c r="DS59" s="6"/>
      <c r="DT59" s="14"/>
      <c r="DU59" s="13"/>
      <c r="DV59" s="2"/>
      <c r="DW59" s="26">
        <f t="shared" si="9"/>
        <v>0</v>
      </c>
      <c r="DX59" s="26">
        <f t="shared" si="28"/>
        <v>0</v>
      </c>
      <c r="DY59" s="16">
        <f t="shared" si="51"/>
        <v>0.93823788976450428</v>
      </c>
      <c r="DZ59" s="29">
        <f t="shared" si="52"/>
        <v>385.7066015986436</v>
      </c>
      <c r="EA59" s="29">
        <f t="shared" si="53"/>
        <v>411.09680796994365</v>
      </c>
      <c r="EB59" s="34"/>
      <c r="EC59" s="4"/>
      <c r="ED59" s="5"/>
      <c r="EE59" s="6"/>
      <c r="EF59" s="32"/>
      <c r="EG59" s="3"/>
      <c r="EH59" s="4"/>
      <c r="EI59" s="5"/>
      <c r="EJ59" s="6"/>
      <c r="EK59" s="14"/>
      <c r="EL59" s="13"/>
      <c r="EM59" s="2"/>
      <c r="EN59" s="26">
        <f t="shared" si="10"/>
        <v>0</v>
      </c>
      <c r="EO59" s="26">
        <f t="shared" si="29"/>
        <v>0</v>
      </c>
      <c r="EP59" s="16">
        <f t="shared" si="85"/>
        <v>0.93643090259356743</v>
      </c>
      <c r="EQ59" s="29">
        <f t="shared" si="54"/>
        <v>404.97757895220218</v>
      </c>
      <c r="ER59" s="29">
        <f t="shared" si="55"/>
        <v>432.46925943020887</v>
      </c>
      <c r="ES59" s="34"/>
      <c r="ET59" s="4"/>
      <c r="EU59" s="5"/>
      <c r="EV59" s="6"/>
      <c r="EW59" s="32"/>
      <c r="EX59" s="3"/>
      <c r="EY59" s="4"/>
      <c r="EZ59" s="5"/>
      <c r="FA59" s="6"/>
      <c r="FB59" s="14"/>
      <c r="FC59" s="13"/>
      <c r="FD59" s="2"/>
      <c r="FE59" s="26">
        <f t="shared" si="11"/>
        <v>0</v>
      </c>
      <c r="FF59" s="26">
        <f t="shared" si="30"/>
        <v>0</v>
      </c>
      <c r="FG59" s="16">
        <f t="shared" si="56"/>
        <v>0.9515373079850038</v>
      </c>
      <c r="FH59" s="29">
        <f t="shared" si="57"/>
        <v>435.08775054218472</v>
      </c>
      <c r="FI59" s="29">
        <f t="shared" si="58"/>
        <v>457.24717979112773</v>
      </c>
      <c r="FJ59" s="34"/>
      <c r="FK59" s="4"/>
      <c r="FL59" s="5"/>
      <c r="FM59" s="6"/>
      <c r="FN59" s="32"/>
      <c r="FO59" s="3"/>
      <c r="FP59" s="4"/>
      <c r="FQ59" s="5"/>
      <c r="FR59" s="6"/>
      <c r="FS59" s="14"/>
      <c r="FT59" s="13"/>
      <c r="FU59" s="2"/>
      <c r="FV59" s="26">
        <f t="shared" si="12"/>
        <v>0</v>
      </c>
      <c r="FW59" s="26">
        <f t="shared" si="31"/>
        <v>0</v>
      </c>
      <c r="FX59" s="16">
        <f t="shared" si="87"/>
        <v>0.8954932359121941</v>
      </c>
      <c r="FY59" s="29">
        <f t="shared" si="59"/>
        <v>427.74417524272576</v>
      </c>
      <c r="FZ59" s="29">
        <f t="shared" si="60"/>
        <v>477.66321183543522</v>
      </c>
      <c r="GA59" s="34"/>
      <c r="GB59" s="4"/>
      <c r="GC59" s="5"/>
      <c r="GD59" s="6"/>
      <c r="GE59" s="32"/>
      <c r="GF59" s="3"/>
      <c r="GG59" s="4"/>
      <c r="GH59" s="5"/>
      <c r="GI59" s="6"/>
      <c r="GJ59" s="14"/>
      <c r="GK59" s="13"/>
      <c r="GL59" s="2"/>
      <c r="GM59" s="26">
        <f t="shared" si="13"/>
        <v>0</v>
      </c>
      <c r="GN59" s="26">
        <f t="shared" si="32"/>
        <v>0</v>
      </c>
      <c r="GO59" s="16">
        <f t="shared" si="77"/>
        <v>0.84602334672331037</v>
      </c>
      <c r="GP59" s="29">
        <f t="shared" si="61"/>
        <v>425.34710521908971</v>
      </c>
      <c r="GQ59" s="29">
        <f t="shared" si="62"/>
        <v>502.76048157119988</v>
      </c>
      <c r="GR59" s="34"/>
      <c r="GS59" s="4"/>
      <c r="GT59" s="5"/>
      <c r="GU59" s="6"/>
      <c r="GV59" s="32"/>
      <c r="GW59" s="3"/>
      <c r="GX59" s="4"/>
      <c r="GY59" s="5"/>
      <c r="GZ59" s="6"/>
      <c r="HA59" s="14"/>
      <c r="HB59" s="13"/>
      <c r="HC59" s="2"/>
      <c r="HD59" s="26">
        <f t="shared" si="14"/>
        <v>0</v>
      </c>
      <c r="HE59" s="26">
        <f t="shared" si="33"/>
        <v>0</v>
      </c>
      <c r="HF59" s="16">
        <f t="shared" si="63"/>
        <v>0.38240032167468602</v>
      </c>
      <c r="HG59" s="29">
        <f t="shared" si="64"/>
        <v>76.047548647156432</v>
      </c>
      <c r="HH59" s="29">
        <f t="shared" si="65"/>
        <v>198.86894528255988</v>
      </c>
      <c r="HI59" s="34"/>
      <c r="HJ59" s="4"/>
      <c r="HK59" s="5"/>
      <c r="HL59" s="6"/>
      <c r="HM59" s="32"/>
      <c r="HN59" s="3"/>
      <c r="HO59" s="4"/>
      <c r="HP59" s="5"/>
      <c r="HQ59" s="6"/>
      <c r="HR59" s="14"/>
      <c r="HS59" s="13"/>
      <c r="HT59" s="2"/>
      <c r="HU59" s="26">
        <f t="shared" si="15"/>
        <v>0</v>
      </c>
      <c r="HV59" s="26">
        <f t="shared" si="34"/>
        <v>0</v>
      </c>
      <c r="HW59" s="16">
        <f t="shared" si="66"/>
        <v>0.60342546454716695</v>
      </c>
      <c r="HX59" s="29">
        <f t="shared" si="67"/>
        <v>80.043043861572912</v>
      </c>
      <c r="HY59" s="29">
        <f t="shared" si="68"/>
        <v>132.64777269822414</v>
      </c>
      <c r="HZ59" s="34"/>
      <c r="IA59" s="4"/>
      <c r="IB59" s="5"/>
      <c r="IC59" s="6"/>
      <c r="ID59" s="32"/>
      <c r="IE59" s="3"/>
      <c r="IF59" s="4"/>
      <c r="IG59" s="5"/>
      <c r="IH59" s="6"/>
      <c r="II59" s="14"/>
      <c r="IJ59" s="13"/>
      <c r="IK59" s="2"/>
      <c r="IL59" s="26">
        <f t="shared" si="16"/>
        <v>0</v>
      </c>
      <c r="IM59" s="26">
        <f t="shared" si="17"/>
        <v>4113.6764803899287</v>
      </c>
      <c r="IN59" s="16">
        <f t="shared" si="69"/>
        <v>1.1327778701539128</v>
      </c>
      <c r="IO59" s="29">
        <f t="shared" si="70"/>
        <v>167.6913417927536</v>
      </c>
      <c r="IP59" s="29">
        <f t="shared" si="71"/>
        <v>148.03550299757271</v>
      </c>
      <c r="IQ59" s="34"/>
      <c r="IR59" s="4"/>
      <c r="IS59" s="5"/>
      <c r="IT59" s="6"/>
      <c r="IU59" s="32"/>
      <c r="IV59" s="3"/>
      <c r="IW59" s="4"/>
      <c r="IX59" s="5"/>
      <c r="IY59" s="6"/>
      <c r="IZ59" s="14"/>
      <c r="JA59" s="13"/>
      <c r="JB59" s="2"/>
      <c r="JC59" s="26">
        <f t="shared" si="18"/>
        <v>0</v>
      </c>
      <c r="JD59" s="26">
        <f t="shared" si="19"/>
        <v>1671.5265405825705</v>
      </c>
      <c r="JE59" s="16" t="e">
        <f t="shared" si="72"/>
        <v>#DIV/0!</v>
      </c>
      <c r="JF59" s="29">
        <f t="shared" si="73"/>
        <v>0</v>
      </c>
      <c r="JG59" s="29">
        <f t="shared" si="74"/>
        <v>0</v>
      </c>
      <c r="JH59" s="34"/>
      <c r="JI59" s="4"/>
      <c r="JJ59" s="5"/>
      <c r="JK59" s="6"/>
      <c r="JL59" s="32"/>
      <c r="JM59" s="3"/>
      <c r="JN59" s="4"/>
      <c r="JO59" s="5"/>
      <c r="JP59" s="6"/>
      <c r="JQ59" s="14"/>
      <c r="JR59" s="99"/>
      <c r="JS59" s="99"/>
      <c r="JT59" s="99"/>
      <c r="JU59" s="99"/>
      <c r="JV59" s="99"/>
      <c r="JW59" s="99"/>
      <c r="JX59" s="99"/>
      <c r="JY59" s="99"/>
      <c r="JZ59" s="99"/>
      <c r="KA59" s="99"/>
      <c r="KB59" s="99"/>
      <c r="KC59" s="99"/>
      <c r="KD59" s="99"/>
      <c r="KE59" s="99"/>
      <c r="KF59" s="99"/>
      <c r="KG59" s="99"/>
      <c r="KH59" s="99"/>
      <c r="KI59" s="99"/>
      <c r="KJ59" s="99"/>
      <c r="KK59" s="99"/>
      <c r="KL59" s="99"/>
      <c r="KM59" s="99"/>
      <c r="KN59" s="99"/>
      <c r="KO59" s="99"/>
      <c r="KP59" s="99"/>
      <c r="KQ59" s="99"/>
      <c r="KR59" s="99"/>
      <c r="KS59" s="99"/>
      <c r="KT59" s="99"/>
      <c r="KU59" s="99"/>
      <c r="KV59" s="99"/>
      <c r="KW59" s="99"/>
      <c r="KX59" s="99"/>
      <c r="KY59" s="99"/>
      <c r="KZ59" s="99"/>
      <c r="LA59" s="99"/>
      <c r="LB59" s="99"/>
      <c r="LC59" s="99"/>
      <c r="LD59" s="99"/>
      <c r="LE59" s="99"/>
      <c r="LF59" s="99"/>
      <c r="LG59" s="99"/>
      <c r="LH59" s="99"/>
      <c r="LI59" s="99"/>
      <c r="LJ59" s="99"/>
      <c r="LK59" s="99"/>
      <c r="LL59" s="99"/>
      <c r="LM59" s="99"/>
      <c r="LN59" s="99"/>
      <c r="LO59" s="99"/>
      <c r="LP59" s="99"/>
      <c r="LQ59" s="99"/>
      <c r="LR59" s="99"/>
      <c r="LS59" s="99"/>
      <c r="LT59" s="99"/>
      <c r="LU59" s="99"/>
      <c r="LV59" s="99"/>
      <c r="LW59" s="99"/>
      <c r="LX59" s="99"/>
      <c r="LY59" s="99"/>
      <c r="LZ59" s="99"/>
      <c r="MA59" s="99"/>
      <c r="MB59" s="99"/>
      <c r="MC59" s="99"/>
      <c r="MD59" s="99"/>
      <c r="ME59" s="99"/>
      <c r="MF59" s="99"/>
    </row>
    <row r="60" spans="1:344" ht="17.25" customHeight="1" x14ac:dyDescent="0.25">
      <c r="A60" s="155" t="s">
        <v>14</v>
      </c>
      <c r="B60" s="79" t="s">
        <v>1</v>
      </c>
      <c r="C60" s="80">
        <v>45194</v>
      </c>
      <c r="D60" s="50" t="s">
        <v>89</v>
      </c>
      <c r="F60" s="103">
        <v>45</v>
      </c>
      <c r="G60" s="36">
        <f t="shared" si="0"/>
        <v>0</v>
      </c>
      <c r="H60" s="27">
        <f t="shared" si="1"/>
        <v>0</v>
      </c>
      <c r="I60" s="47">
        <v>13</v>
      </c>
      <c r="K60" s="105">
        <v>85</v>
      </c>
      <c r="L60" s="89">
        <f>AVERAGE(X60,AO60,BF60,BW60,DE60,DV60,EM60,FD60,FU60,GL60)</f>
        <v>6.2799999999999994</v>
      </c>
      <c r="M60" s="27">
        <f t="shared" si="20"/>
        <v>533.79999999999995</v>
      </c>
      <c r="N60" s="35">
        <f t="shared" si="21"/>
        <v>533.79999999999995</v>
      </c>
      <c r="O60" s="97"/>
      <c r="P60" s="149">
        <f t="shared" ref="P60" si="90">SUM(N60:N66)</f>
        <v>3944.0550505050505</v>
      </c>
      <c r="W60" s="11">
        <v>0</v>
      </c>
      <c r="X60" s="1">
        <v>8</v>
      </c>
      <c r="Y60" s="27">
        <f t="shared" si="3"/>
        <v>680</v>
      </c>
      <c r="Z60" s="27">
        <f t="shared" si="22"/>
        <v>0</v>
      </c>
      <c r="AA60" s="15">
        <f t="shared" si="80"/>
        <v>1.108206568915602</v>
      </c>
      <c r="AB60" s="43">
        <f t="shared" si="81"/>
        <v>495.71981835565487</v>
      </c>
      <c r="AC60" s="43">
        <f t="shared" si="82"/>
        <v>447.31716293716318</v>
      </c>
      <c r="AD60" s="33"/>
      <c r="AH60" s="31"/>
      <c r="AO60" s="1">
        <v>5</v>
      </c>
      <c r="AP60" s="27">
        <f t="shared" si="4"/>
        <v>425</v>
      </c>
      <c r="AQ60" s="27">
        <f t="shared" si="23"/>
        <v>0</v>
      </c>
      <c r="AR60" s="15">
        <f t="shared" si="83"/>
        <v>0.94860951656689274</v>
      </c>
      <c r="AS60" s="28">
        <f t="shared" si="37"/>
        <v>386.50257637696257</v>
      </c>
      <c r="AT60" s="28">
        <f t="shared" si="38"/>
        <v>407.44117534868491</v>
      </c>
      <c r="AU60" s="33"/>
      <c r="AY60" s="31"/>
      <c r="BF60" s="1">
        <v>7</v>
      </c>
      <c r="BG60" s="27">
        <f t="shared" si="5"/>
        <v>595</v>
      </c>
      <c r="BH60" s="27">
        <f t="shared" si="24"/>
        <v>0</v>
      </c>
      <c r="BI60" s="15">
        <f t="shared" si="39"/>
        <v>1.0113797309221879</v>
      </c>
      <c r="BJ60" s="28">
        <f t="shared" si="40"/>
        <v>359.56409473846497</v>
      </c>
      <c r="BK60" s="28">
        <f t="shared" si="41"/>
        <v>355.51839110974686</v>
      </c>
      <c r="BL60" s="33"/>
      <c r="BP60" s="31"/>
      <c r="BW60" s="1">
        <v>7</v>
      </c>
      <c r="BX60" s="27">
        <f t="shared" si="6"/>
        <v>595</v>
      </c>
      <c r="BY60" s="27">
        <f t="shared" si="25"/>
        <v>0</v>
      </c>
      <c r="BZ60" s="15">
        <f t="shared" si="42"/>
        <v>1.0038838024602355</v>
      </c>
      <c r="CA60" s="28">
        <f t="shared" si="43"/>
        <v>479.69611872760305</v>
      </c>
      <c r="CB60" s="28">
        <f t="shared" si="44"/>
        <v>477.84028146684255</v>
      </c>
      <c r="CC60" s="33"/>
      <c r="CG60" s="31"/>
      <c r="CN60" s="1">
        <v>3</v>
      </c>
      <c r="CO60" s="27">
        <f t="shared" si="7"/>
        <v>255</v>
      </c>
      <c r="CP60" s="27">
        <f t="shared" si="26"/>
        <v>0</v>
      </c>
      <c r="CQ60" s="15">
        <f t="shared" si="45"/>
        <v>0.66309373821124473</v>
      </c>
      <c r="CR60" s="28">
        <f t="shared" si="46"/>
        <v>156.66635542672799</v>
      </c>
      <c r="CS60" s="28">
        <f t="shared" si="47"/>
        <v>236.26577420162289</v>
      </c>
      <c r="CT60" s="33"/>
      <c r="CX60" s="31"/>
      <c r="DE60" s="1">
        <v>4.4000000000000004</v>
      </c>
      <c r="DF60" s="27">
        <f t="shared" si="8"/>
        <v>374.00000000000006</v>
      </c>
      <c r="DG60" s="27">
        <f t="shared" si="27"/>
        <v>0</v>
      </c>
      <c r="DH60" s="15">
        <f t="shared" si="48"/>
        <v>0.93041428199061882</v>
      </c>
      <c r="DI60" s="28">
        <f t="shared" si="49"/>
        <v>361.41505355605602</v>
      </c>
      <c r="DJ60" s="28">
        <f t="shared" si="50"/>
        <v>388.44529856400044</v>
      </c>
      <c r="DK60" s="33"/>
      <c r="DO60" s="31"/>
      <c r="DW60" s="27">
        <f t="shared" si="9"/>
        <v>0</v>
      </c>
      <c r="DX60" s="27">
        <f t="shared" si="28"/>
        <v>0</v>
      </c>
      <c r="DY60" s="15">
        <f t="shared" si="51"/>
        <v>0.7558027445325175</v>
      </c>
      <c r="DZ60" s="28">
        <f t="shared" si="52"/>
        <v>289.2799511989827</v>
      </c>
      <c r="EA60" s="28">
        <f t="shared" si="53"/>
        <v>382.74530397201647</v>
      </c>
      <c r="EB60" s="33"/>
      <c r="EF60" s="31"/>
      <c r="EN60" s="27">
        <f t="shared" si="10"/>
        <v>0</v>
      </c>
      <c r="EO60" s="27">
        <f t="shared" si="29"/>
        <v>0</v>
      </c>
      <c r="EP60" s="15">
        <f t="shared" si="85"/>
        <v>0.75434711597815152</v>
      </c>
      <c r="EQ60" s="28">
        <f t="shared" si="54"/>
        <v>303.73318421415161</v>
      </c>
      <c r="ER60" s="28">
        <f t="shared" si="55"/>
        <v>402.64379326260826</v>
      </c>
      <c r="ES60" s="33"/>
      <c r="EW60" s="31"/>
      <c r="FE60" s="27">
        <f t="shared" si="11"/>
        <v>0</v>
      </c>
      <c r="FF60" s="27">
        <f t="shared" si="30"/>
        <v>0</v>
      </c>
      <c r="FG60" s="15">
        <f t="shared" si="56"/>
        <v>0.76651616476569751</v>
      </c>
      <c r="FH60" s="28">
        <f t="shared" si="57"/>
        <v>326.31581290663854</v>
      </c>
      <c r="FI60" s="28">
        <f t="shared" si="58"/>
        <v>425.71289152967063</v>
      </c>
      <c r="FJ60" s="33"/>
      <c r="FN60" s="31"/>
      <c r="FV60" s="27">
        <f t="shared" si="12"/>
        <v>0</v>
      </c>
      <c r="FW60" s="27">
        <f t="shared" si="31"/>
        <v>0</v>
      </c>
      <c r="FX60" s="15">
        <f t="shared" si="87"/>
        <v>0.72136955115148982</v>
      </c>
      <c r="FY60" s="28">
        <f t="shared" si="59"/>
        <v>320.80813143204432</v>
      </c>
      <c r="FZ60" s="28">
        <f t="shared" si="60"/>
        <v>444.72092136402586</v>
      </c>
      <c r="GA60" s="33"/>
      <c r="GE60" s="31"/>
      <c r="GM60" s="27">
        <f t="shared" si="13"/>
        <v>0</v>
      </c>
      <c r="GN60" s="27">
        <f t="shared" si="32"/>
        <v>0</v>
      </c>
      <c r="GO60" s="15">
        <f t="shared" si="77"/>
        <v>0.68151880708266666</v>
      </c>
      <c r="GP60" s="28">
        <f t="shared" si="61"/>
        <v>319.01032891431726</v>
      </c>
      <c r="GQ60" s="28">
        <f t="shared" si="62"/>
        <v>468.0873449111171</v>
      </c>
      <c r="GR60" s="33"/>
      <c r="GV60" s="31"/>
      <c r="HD60" s="27">
        <f t="shared" si="14"/>
        <v>0</v>
      </c>
      <c r="HE60" s="27">
        <f t="shared" si="33"/>
        <v>0</v>
      </c>
      <c r="HF60" s="15">
        <f t="shared" si="63"/>
        <v>0.30804470357127489</v>
      </c>
      <c r="HG60" s="28">
        <f t="shared" si="64"/>
        <v>57.035661485367328</v>
      </c>
      <c r="HH60" s="28">
        <f t="shared" si="65"/>
        <v>185.15384560790056</v>
      </c>
      <c r="HI60" s="33"/>
      <c r="HM60" s="31"/>
      <c r="HU60" s="27">
        <f t="shared" si="15"/>
        <v>0</v>
      </c>
      <c r="HV60" s="27">
        <f t="shared" si="34"/>
        <v>0</v>
      </c>
      <c r="HW60" s="15">
        <f t="shared" si="66"/>
        <v>0.48609273532966224</v>
      </c>
      <c r="HX60" s="28">
        <f t="shared" si="67"/>
        <v>60.03228289617968</v>
      </c>
      <c r="HY60" s="28">
        <f t="shared" si="68"/>
        <v>123.4996504431742</v>
      </c>
      <c r="HZ60" s="33"/>
      <c r="ID60" s="31"/>
      <c r="II60" s="12"/>
      <c r="IL60" s="27">
        <f t="shared" si="16"/>
        <v>0</v>
      </c>
      <c r="IM60" s="27">
        <f t="shared" si="17"/>
        <v>4905.9975336520056</v>
      </c>
      <c r="IN60" s="15">
        <f t="shared" si="69"/>
        <v>0.91251550651287427</v>
      </c>
      <c r="IO60" s="28">
        <f t="shared" si="70"/>
        <v>125.7685063445652</v>
      </c>
      <c r="IP60" s="28">
        <f t="shared" si="71"/>
        <v>137.82615796325734</v>
      </c>
      <c r="IQ60" s="33"/>
      <c r="IU60" s="31"/>
      <c r="JC60" s="27">
        <f t="shared" si="18"/>
        <v>0</v>
      </c>
      <c r="JD60" s="27">
        <f t="shared" si="19"/>
        <v>2064.98357392966</v>
      </c>
      <c r="JE60" s="15" t="e">
        <f t="shared" si="72"/>
        <v>#DIV/0!</v>
      </c>
      <c r="JF60" s="28">
        <f t="shared" si="73"/>
        <v>0</v>
      </c>
      <c r="JG60" s="28">
        <f t="shared" si="74"/>
        <v>0</v>
      </c>
      <c r="JH60" s="33"/>
      <c r="JL60" s="31"/>
      <c r="JR60" s="99"/>
      <c r="JS60" s="99"/>
      <c r="JT60" s="99"/>
      <c r="JU60" s="99"/>
      <c r="JV60" s="99"/>
      <c r="JW60" s="99"/>
      <c r="JX60" s="99"/>
      <c r="JY60" s="99"/>
      <c r="JZ60" s="99"/>
      <c r="KA60" s="99"/>
      <c r="KB60" s="99"/>
      <c r="KC60" s="99"/>
      <c r="KD60" s="99"/>
      <c r="KE60" s="99"/>
      <c r="KF60" s="99"/>
      <c r="KG60" s="99"/>
      <c r="KH60" s="99"/>
      <c r="KI60" s="99"/>
      <c r="KJ60" s="99"/>
      <c r="KK60" s="99"/>
      <c r="KL60" s="99"/>
      <c r="KM60" s="99"/>
      <c r="KN60" s="99"/>
      <c r="KO60" s="99"/>
      <c r="KP60" s="99"/>
      <c r="KQ60" s="99"/>
      <c r="KR60" s="99"/>
      <c r="KS60" s="99"/>
      <c r="KT60" s="99"/>
      <c r="KU60" s="99"/>
      <c r="KV60" s="99"/>
      <c r="KW60" s="99"/>
      <c r="KX60" s="99"/>
      <c r="KY60" s="99"/>
      <c r="KZ60" s="99"/>
      <c r="LA60" s="99"/>
      <c r="LB60" s="99"/>
      <c r="LC60" s="99"/>
      <c r="LD60" s="99"/>
      <c r="LE60" s="99"/>
      <c r="LF60" s="99"/>
      <c r="LG60" s="99"/>
      <c r="LH60" s="99"/>
      <c r="LI60" s="99"/>
      <c r="LJ60" s="99"/>
      <c r="LK60" s="99"/>
      <c r="LL60" s="99"/>
      <c r="LM60" s="99"/>
      <c r="LN60" s="99"/>
      <c r="LO60" s="99"/>
      <c r="LP60" s="99"/>
      <c r="LQ60" s="99"/>
      <c r="LR60" s="99"/>
      <c r="LS60" s="99"/>
      <c r="LT60" s="99"/>
      <c r="LU60" s="99"/>
      <c r="LV60" s="99"/>
      <c r="LW60" s="99"/>
      <c r="LX60" s="99"/>
      <c r="LY60" s="99"/>
      <c r="LZ60" s="99"/>
      <c r="MA60" s="99"/>
      <c r="MB60" s="99"/>
      <c r="MC60" s="99"/>
      <c r="MD60" s="99"/>
      <c r="ME60" s="99"/>
      <c r="MF60" s="99"/>
    </row>
    <row r="61" spans="1:344" ht="17.25" customHeight="1" x14ac:dyDescent="0.25">
      <c r="A61" s="156"/>
      <c r="B61" s="81" t="s">
        <v>2</v>
      </c>
      <c r="C61" s="82">
        <v>45195</v>
      </c>
      <c r="D61" s="49">
        <v>12</v>
      </c>
      <c r="F61" s="103">
        <v>110</v>
      </c>
      <c r="G61" s="89">
        <f t="shared" si="0"/>
        <v>6.8545454545454554</v>
      </c>
      <c r="H61" s="35">
        <f t="shared" si="1"/>
        <v>754.00000000000011</v>
      </c>
      <c r="I61" s="39"/>
      <c r="L61" s="89">
        <f t="shared" si="2"/>
        <v>0</v>
      </c>
      <c r="M61" s="35">
        <f t="shared" si="20"/>
        <v>0</v>
      </c>
      <c r="N61" s="35">
        <f t="shared" si="21"/>
        <v>754.00000000000011</v>
      </c>
      <c r="O61" s="97"/>
      <c r="P61" s="150"/>
      <c r="W61" s="11">
        <v>8</v>
      </c>
      <c r="X61" s="1">
        <v>0</v>
      </c>
      <c r="Y61" s="35">
        <f t="shared" si="3"/>
        <v>880</v>
      </c>
      <c r="Z61" s="35">
        <f t="shared" si="22"/>
        <v>0</v>
      </c>
      <c r="AA61" s="15">
        <f t="shared" si="80"/>
        <v>1.2402404638738231</v>
      </c>
      <c r="AB61" s="43">
        <f t="shared" si="81"/>
        <v>591.78986376674118</v>
      </c>
      <c r="AC61" s="43">
        <f t="shared" si="82"/>
        <v>477.15735859666916</v>
      </c>
      <c r="AD61" s="33"/>
      <c r="AH61" s="31"/>
      <c r="AN61" s="11">
        <v>7</v>
      </c>
      <c r="AP61" s="35">
        <f t="shared" si="4"/>
        <v>770</v>
      </c>
      <c r="AQ61" s="35">
        <f t="shared" si="23"/>
        <v>0</v>
      </c>
      <c r="AR61" s="15">
        <f t="shared" si="83"/>
        <v>1.1154636387249914</v>
      </c>
      <c r="AS61" s="28">
        <f t="shared" si="37"/>
        <v>482.3769322827219</v>
      </c>
      <c r="AT61" s="28">
        <f t="shared" si="38"/>
        <v>432.44523222118943</v>
      </c>
      <c r="AU61" s="33"/>
      <c r="AY61" s="31"/>
      <c r="BE61" s="11">
        <v>6.5</v>
      </c>
      <c r="BG61" s="35">
        <f t="shared" si="5"/>
        <v>715</v>
      </c>
      <c r="BH61" s="35">
        <f t="shared" si="24"/>
        <v>0</v>
      </c>
      <c r="BI61" s="15">
        <f t="shared" si="39"/>
        <v>1.1790981155773472</v>
      </c>
      <c r="BJ61" s="28">
        <f t="shared" si="40"/>
        <v>448.42307105384873</v>
      </c>
      <c r="BK61" s="28">
        <f t="shared" si="41"/>
        <v>380.31022620562641</v>
      </c>
      <c r="BL61" s="33"/>
      <c r="BP61" s="31"/>
      <c r="BV61" s="11">
        <v>6</v>
      </c>
      <c r="BX61" s="35">
        <f t="shared" si="6"/>
        <v>660</v>
      </c>
      <c r="BY61" s="35">
        <f t="shared" si="25"/>
        <v>0</v>
      </c>
      <c r="BZ61" s="15">
        <f t="shared" si="42"/>
        <v>1.0700833129500271</v>
      </c>
      <c r="CA61" s="28">
        <f t="shared" si="43"/>
        <v>524.77208904570227</v>
      </c>
      <c r="CB61" s="28">
        <f t="shared" si="44"/>
        <v>490.40302067602579</v>
      </c>
      <c r="CC61" s="33"/>
      <c r="CG61" s="31"/>
      <c r="CM61" s="11">
        <v>5</v>
      </c>
      <c r="CO61" s="35">
        <f t="shared" si="7"/>
        <v>550</v>
      </c>
      <c r="CP61" s="35">
        <f t="shared" si="26"/>
        <v>0</v>
      </c>
      <c r="CQ61" s="15">
        <f t="shared" si="45"/>
        <v>0.98874439189567365</v>
      </c>
      <c r="CR61" s="28">
        <f t="shared" si="46"/>
        <v>254.99976657004601</v>
      </c>
      <c r="CS61" s="28">
        <f t="shared" si="47"/>
        <v>257.90261736013167</v>
      </c>
      <c r="CT61" s="33"/>
      <c r="CX61" s="31"/>
      <c r="DD61" s="11">
        <v>6</v>
      </c>
      <c r="DF61" s="35">
        <f t="shared" si="8"/>
        <v>660</v>
      </c>
      <c r="DG61" s="35">
        <f t="shared" si="27"/>
        <v>0</v>
      </c>
      <c r="DH61" s="15">
        <f t="shared" si="48"/>
        <v>1.0709478927397251</v>
      </c>
      <c r="DI61" s="28">
        <f t="shared" si="49"/>
        <v>436.06129016704199</v>
      </c>
      <c r="DJ61" s="28">
        <f t="shared" si="50"/>
        <v>407.17320900786245</v>
      </c>
      <c r="DK61" s="33"/>
      <c r="DO61" s="31"/>
      <c r="DU61" s="11">
        <v>6.4</v>
      </c>
      <c r="DW61" s="35">
        <f t="shared" si="9"/>
        <v>704</v>
      </c>
      <c r="DX61" s="35">
        <f t="shared" si="28"/>
        <v>0</v>
      </c>
      <c r="DY61" s="15">
        <f t="shared" si="51"/>
        <v>0.97050922882048052</v>
      </c>
      <c r="DZ61" s="28">
        <f t="shared" si="52"/>
        <v>392.95996339923704</v>
      </c>
      <c r="EA61" s="28">
        <f t="shared" si="53"/>
        <v>404.90080024980847</v>
      </c>
      <c r="EB61" s="33"/>
      <c r="EF61" s="31"/>
      <c r="EL61" s="11">
        <v>8</v>
      </c>
      <c r="EN61" s="35">
        <f t="shared" si="10"/>
        <v>880</v>
      </c>
      <c r="EO61" s="35">
        <f t="shared" si="29"/>
        <v>0</v>
      </c>
      <c r="EP61" s="15">
        <f t="shared" si="85"/>
        <v>1.0280899055086177</v>
      </c>
      <c r="EQ61" s="28">
        <f t="shared" si="54"/>
        <v>447.7998881606137</v>
      </c>
      <c r="ER61" s="28">
        <f t="shared" si="55"/>
        <v>435.56491096863527</v>
      </c>
      <c r="ES61" s="33"/>
      <c r="EW61" s="31"/>
      <c r="FC61" s="11">
        <v>7</v>
      </c>
      <c r="FE61" s="35">
        <f t="shared" si="11"/>
        <v>770</v>
      </c>
      <c r="FF61" s="35">
        <f t="shared" si="30"/>
        <v>0</v>
      </c>
      <c r="FG61" s="15">
        <f t="shared" si="56"/>
        <v>0.97281169280781188</v>
      </c>
      <c r="FH61" s="28">
        <f t="shared" si="57"/>
        <v>437.23685967997892</v>
      </c>
      <c r="FI61" s="28">
        <f t="shared" si="58"/>
        <v>449.4568300448658</v>
      </c>
      <c r="FJ61" s="33"/>
      <c r="FN61" s="31"/>
      <c r="FT61" s="11">
        <v>7</v>
      </c>
      <c r="FV61" s="35">
        <f t="shared" si="12"/>
        <v>770</v>
      </c>
      <c r="FW61" s="35">
        <f t="shared" si="31"/>
        <v>0</v>
      </c>
      <c r="FX61" s="15">
        <f t="shared" si="87"/>
        <v>0.92711639947703117</v>
      </c>
      <c r="FY61" s="28">
        <f t="shared" si="59"/>
        <v>433.10609857403324</v>
      </c>
      <c r="FZ61" s="28">
        <f t="shared" si="60"/>
        <v>467.15396126995512</v>
      </c>
      <c r="GA61" s="33"/>
      <c r="GE61" s="31"/>
      <c r="GK61" s="11">
        <v>8.5</v>
      </c>
      <c r="GM61" s="35">
        <f t="shared" si="13"/>
        <v>935</v>
      </c>
      <c r="GN61" s="35">
        <f t="shared" si="32"/>
        <v>0</v>
      </c>
      <c r="GO61" s="15">
        <f t="shared" si="77"/>
        <v>0.94547049075658129</v>
      </c>
      <c r="GP61" s="28">
        <f t="shared" si="61"/>
        <v>473.00774668573797</v>
      </c>
      <c r="GQ61" s="28">
        <f t="shared" si="62"/>
        <v>500.28821767586766</v>
      </c>
      <c r="GR61" s="33"/>
      <c r="GV61" s="31"/>
      <c r="HB61" s="11">
        <v>5</v>
      </c>
      <c r="HD61" s="35">
        <f t="shared" si="14"/>
        <v>550</v>
      </c>
      <c r="HE61" s="35">
        <f t="shared" si="33"/>
        <v>0</v>
      </c>
      <c r="HF61" s="15">
        <f t="shared" si="63"/>
        <v>0.85717228681462609</v>
      </c>
      <c r="HG61" s="28">
        <f t="shared" si="64"/>
        <v>180.27674611402551</v>
      </c>
      <c r="HH61" s="28">
        <f t="shared" si="65"/>
        <v>210.31564935907983</v>
      </c>
      <c r="HI61" s="33"/>
      <c r="HM61" s="31"/>
      <c r="HU61" s="35">
        <f t="shared" si="15"/>
        <v>0</v>
      </c>
      <c r="HV61" s="35">
        <f t="shared" si="34"/>
        <v>0</v>
      </c>
      <c r="HW61" s="15">
        <f t="shared" si="66"/>
        <v>0.39157470346000567</v>
      </c>
      <c r="HX61" s="28">
        <f t="shared" si="67"/>
        <v>45.02421217213476</v>
      </c>
      <c r="HY61" s="28">
        <f t="shared" si="68"/>
        <v>114.98243317123115</v>
      </c>
      <c r="HZ61" s="33"/>
      <c r="ID61" s="31"/>
      <c r="II61" s="12"/>
      <c r="IL61" s="35">
        <f t="shared" si="16"/>
        <v>0</v>
      </c>
      <c r="IM61" s="35">
        <f t="shared" si="17"/>
        <v>5214.3137095017883</v>
      </c>
      <c r="IN61" s="15">
        <f t="shared" si="69"/>
        <v>0.73508193580203762</v>
      </c>
      <c r="IO61" s="28">
        <f t="shared" si="70"/>
        <v>94.326379758423897</v>
      </c>
      <c r="IP61" s="28">
        <f t="shared" si="71"/>
        <v>128.32090568992925</v>
      </c>
      <c r="IQ61" s="33"/>
      <c r="IU61" s="31"/>
      <c r="JC61" s="35">
        <f t="shared" si="18"/>
        <v>0</v>
      </c>
      <c r="JD61" s="35">
        <f t="shared" si="19"/>
        <v>2862.4783862565291</v>
      </c>
      <c r="JE61" s="15" t="e">
        <f t="shared" si="72"/>
        <v>#DIV/0!</v>
      </c>
      <c r="JF61" s="28">
        <f t="shared" si="73"/>
        <v>0</v>
      </c>
      <c r="JG61" s="28">
        <f t="shared" si="74"/>
        <v>0</v>
      </c>
      <c r="JH61" s="33"/>
      <c r="JL61" s="31"/>
      <c r="JR61" s="99"/>
      <c r="JS61" s="99"/>
      <c r="JT61" s="99"/>
      <c r="JU61" s="99"/>
      <c r="JV61" s="99"/>
      <c r="JW61" s="99"/>
      <c r="JX61" s="99"/>
      <c r="JY61" s="99"/>
      <c r="JZ61" s="99"/>
      <c r="KA61" s="99"/>
      <c r="KB61" s="99"/>
      <c r="KC61" s="99"/>
      <c r="KD61" s="99"/>
      <c r="KE61" s="99"/>
      <c r="KF61" s="99"/>
      <c r="KG61" s="99"/>
      <c r="KH61" s="99"/>
      <c r="KI61" s="99"/>
      <c r="KJ61" s="99"/>
      <c r="KK61" s="99"/>
      <c r="KL61" s="99"/>
      <c r="KM61" s="99"/>
      <c r="KN61" s="99"/>
      <c r="KO61" s="99"/>
      <c r="KP61" s="99"/>
      <c r="KQ61" s="99"/>
      <c r="KR61" s="99"/>
      <c r="KS61" s="99"/>
      <c r="KT61" s="99"/>
      <c r="KU61" s="99"/>
      <c r="KV61" s="99"/>
      <c r="KW61" s="99"/>
      <c r="KX61" s="99"/>
      <c r="KY61" s="99"/>
      <c r="KZ61" s="99"/>
      <c r="LA61" s="99"/>
      <c r="LB61" s="99"/>
      <c r="LC61" s="99"/>
      <c r="LD61" s="99"/>
      <c r="LE61" s="99"/>
      <c r="LF61" s="99"/>
      <c r="LG61" s="99"/>
      <c r="LH61" s="99"/>
      <c r="LI61" s="99"/>
      <c r="LJ61" s="99"/>
      <c r="LK61" s="99"/>
      <c r="LL61" s="99"/>
      <c r="LM61" s="99"/>
      <c r="LN61" s="99"/>
      <c r="LO61" s="99"/>
      <c r="LP61" s="99"/>
      <c r="LQ61" s="99"/>
      <c r="LR61" s="99"/>
      <c r="LS61" s="99"/>
      <c r="LT61" s="99"/>
      <c r="LU61" s="99"/>
      <c r="LV61" s="99"/>
      <c r="LW61" s="99"/>
      <c r="LX61" s="99"/>
      <c r="LY61" s="99"/>
      <c r="LZ61" s="99"/>
      <c r="MA61" s="99"/>
      <c r="MB61" s="99"/>
      <c r="MC61" s="99"/>
      <c r="MD61" s="99"/>
      <c r="ME61" s="99"/>
      <c r="MF61" s="99"/>
    </row>
    <row r="62" spans="1:344" ht="17.25" customHeight="1" x14ac:dyDescent="0.25">
      <c r="A62" s="156"/>
      <c r="B62" s="81" t="s">
        <v>3</v>
      </c>
      <c r="C62" s="82">
        <v>45196</v>
      </c>
      <c r="D62" s="49">
        <v>12</v>
      </c>
      <c r="F62" s="103">
        <v>85</v>
      </c>
      <c r="G62" s="89">
        <f t="shared" si="0"/>
        <v>7.0227272727272725</v>
      </c>
      <c r="H62" s="35">
        <f t="shared" si="1"/>
        <v>596.93181818181813</v>
      </c>
      <c r="I62" s="39" t="s">
        <v>89</v>
      </c>
      <c r="K62" s="103">
        <v>45</v>
      </c>
      <c r="L62" s="89">
        <f t="shared" si="2"/>
        <v>0</v>
      </c>
      <c r="M62" s="35">
        <f t="shared" si="20"/>
        <v>0</v>
      </c>
      <c r="N62" s="35">
        <f t="shared" si="21"/>
        <v>596.93181818181813</v>
      </c>
      <c r="O62" s="97"/>
      <c r="P62" s="150"/>
      <c r="W62" s="11">
        <v>8</v>
      </c>
      <c r="X62" s="1">
        <v>0</v>
      </c>
      <c r="Y62" s="35">
        <f t="shared" si="3"/>
        <v>680</v>
      </c>
      <c r="Z62" s="35">
        <f t="shared" si="22"/>
        <v>0</v>
      </c>
      <c r="AA62" s="15">
        <f t="shared" si="80"/>
        <v>1.2498152587397939</v>
      </c>
      <c r="AB62" s="43">
        <f t="shared" si="81"/>
        <v>613.84239782505585</v>
      </c>
      <c r="AC62" s="43">
        <f t="shared" si="82"/>
        <v>491.14650627965744</v>
      </c>
      <c r="AD62" s="33"/>
      <c r="AH62" s="31"/>
      <c r="AN62" s="11">
        <v>6</v>
      </c>
      <c r="AP62" s="35">
        <f t="shared" si="4"/>
        <v>510</v>
      </c>
      <c r="AQ62" s="35">
        <f t="shared" si="23"/>
        <v>0</v>
      </c>
      <c r="AR62" s="15">
        <f t="shared" si="83"/>
        <v>1.1176098381867603</v>
      </c>
      <c r="AS62" s="28">
        <f t="shared" si="37"/>
        <v>489.28269921204139</v>
      </c>
      <c r="AT62" s="28">
        <f t="shared" si="38"/>
        <v>437.79383689559012</v>
      </c>
      <c r="AU62" s="33"/>
      <c r="AY62" s="31"/>
      <c r="BE62" s="11">
        <v>7.5</v>
      </c>
      <c r="BG62" s="35">
        <f t="shared" si="5"/>
        <v>637.5</v>
      </c>
      <c r="BH62" s="35">
        <f t="shared" si="24"/>
        <v>0</v>
      </c>
      <c r="BI62" s="15">
        <f t="shared" si="39"/>
        <v>1.2453095750745522</v>
      </c>
      <c r="BJ62" s="28">
        <f t="shared" si="40"/>
        <v>495.69230329038658</v>
      </c>
      <c r="BK62" s="28">
        <f t="shared" si="41"/>
        <v>398.04745198454873</v>
      </c>
      <c r="BL62" s="33"/>
      <c r="BP62" s="31"/>
      <c r="BV62" s="11">
        <v>7</v>
      </c>
      <c r="BX62" s="35">
        <f t="shared" si="6"/>
        <v>595</v>
      </c>
      <c r="BY62" s="35">
        <f t="shared" si="25"/>
        <v>0</v>
      </c>
      <c r="BZ62" s="15">
        <f t="shared" si="42"/>
        <v>1.0898532340700833</v>
      </c>
      <c r="CA62" s="28">
        <f t="shared" si="43"/>
        <v>542.32906678427673</v>
      </c>
      <c r="CB62" s="28">
        <f t="shared" si="44"/>
        <v>497.61660545698953</v>
      </c>
      <c r="CC62" s="33"/>
      <c r="CG62" s="31"/>
      <c r="CM62" s="11">
        <v>7</v>
      </c>
      <c r="CO62" s="35">
        <f t="shared" si="7"/>
        <v>595</v>
      </c>
      <c r="CP62" s="35">
        <f t="shared" si="26"/>
        <v>0</v>
      </c>
      <c r="CQ62" s="15">
        <f t="shared" si="45"/>
        <v>1.2093151806186835</v>
      </c>
      <c r="CR62" s="28">
        <f t="shared" si="46"/>
        <v>339.99982492753452</v>
      </c>
      <c r="CS62" s="28">
        <f t="shared" si="47"/>
        <v>281.15071271460533</v>
      </c>
      <c r="CT62" s="33"/>
      <c r="CX62" s="31"/>
      <c r="DD62" s="11">
        <v>5.5</v>
      </c>
      <c r="DF62" s="35">
        <f t="shared" si="8"/>
        <v>467.5</v>
      </c>
      <c r="DG62" s="35">
        <f t="shared" si="27"/>
        <v>0</v>
      </c>
      <c r="DH62" s="15">
        <f t="shared" si="48"/>
        <v>1.0792234919418848</v>
      </c>
      <c r="DI62" s="28">
        <f t="shared" si="49"/>
        <v>443.92096762528149</v>
      </c>
      <c r="DJ62" s="28">
        <f t="shared" si="50"/>
        <v>411.33367735214779</v>
      </c>
      <c r="DK62" s="33"/>
      <c r="DO62" s="31"/>
      <c r="DU62" s="11">
        <v>4</v>
      </c>
      <c r="DW62" s="35">
        <f t="shared" si="9"/>
        <v>340</v>
      </c>
      <c r="DX62" s="35">
        <f t="shared" si="28"/>
        <v>0</v>
      </c>
      <c r="DY62" s="15">
        <f t="shared" si="51"/>
        <v>0.94829264783170797</v>
      </c>
      <c r="DZ62" s="28">
        <f t="shared" si="52"/>
        <v>379.71997254942778</v>
      </c>
      <c r="EA62" s="28">
        <f t="shared" si="53"/>
        <v>400.42488299120095</v>
      </c>
      <c r="EB62" s="33"/>
      <c r="EF62" s="31"/>
      <c r="EL62" s="11">
        <v>7.5</v>
      </c>
      <c r="EN62" s="35">
        <f t="shared" si="10"/>
        <v>637.5</v>
      </c>
      <c r="EO62" s="35">
        <f t="shared" si="29"/>
        <v>0</v>
      </c>
      <c r="EP62" s="15">
        <f t="shared" si="85"/>
        <v>1.1017448616018068</v>
      </c>
      <c r="EQ62" s="28">
        <f t="shared" si="54"/>
        <v>495.22491612046031</v>
      </c>
      <c r="ER62" s="28">
        <f t="shared" si="55"/>
        <v>449.49146883286733</v>
      </c>
      <c r="ES62" s="33"/>
      <c r="EW62" s="31"/>
      <c r="FC62" s="11">
        <v>9</v>
      </c>
      <c r="FE62" s="35">
        <f t="shared" si="11"/>
        <v>765</v>
      </c>
      <c r="FF62" s="35">
        <f t="shared" si="30"/>
        <v>0</v>
      </c>
      <c r="FG62" s="15">
        <f t="shared" si="56"/>
        <v>1.1017770399886524</v>
      </c>
      <c r="FH62" s="28">
        <f t="shared" si="57"/>
        <v>519.17764475998422</v>
      </c>
      <c r="FI62" s="28">
        <f t="shared" si="58"/>
        <v>471.21842797280607</v>
      </c>
      <c r="FJ62" s="33"/>
      <c r="FN62" s="31"/>
      <c r="FT62" s="11">
        <v>7</v>
      </c>
      <c r="FV62" s="35">
        <f t="shared" si="12"/>
        <v>595</v>
      </c>
      <c r="FW62" s="35">
        <f t="shared" si="31"/>
        <v>0</v>
      </c>
      <c r="FX62" s="15">
        <f t="shared" si="87"/>
        <v>0.99497583701082104</v>
      </c>
      <c r="FY62" s="28">
        <f t="shared" si="59"/>
        <v>473.57957393052493</v>
      </c>
      <c r="FZ62" s="28">
        <f t="shared" si="60"/>
        <v>475.97092945823408</v>
      </c>
      <c r="GA62" s="33"/>
      <c r="GE62" s="31"/>
      <c r="GK62" s="11">
        <v>8.75</v>
      </c>
      <c r="GM62" s="35">
        <f t="shared" si="13"/>
        <v>743.75</v>
      </c>
      <c r="GN62" s="35">
        <f t="shared" si="32"/>
        <v>0</v>
      </c>
      <c r="GO62" s="15">
        <f t="shared" si="77"/>
        <v>1.0456693057704654</v>
      </c>
      <c r="GP62" s="28">
        <f t="shared" si="61"/>
        <v>540.69331001430351</v>
      </c>
      <c r="GQ62" s="28">
        <f t="shared" si="62"/>
        <v>517.07868542235951</v>
      </c>
      <c r="GR62" s="33"/>
      <c r="GV62" s="31"/>
      <c r="HB62" s="11">
        <v>5</v>
      </c>
      <c r="HD62" s="35">
        <f t="shared" si="14"/>
        <v>425</v>
      </c>
      <c r="HE62" s="35">
        <f t="shared" si="33"/>
        <v>0</v>
      </c>
      <c r="HF62" s="15">
        <f t="shared" si="63"/>
        <v>1.072565682803782</v>
      </c>
      <c r="HG62" s="28">
        <f t="shared" si="64"/>
        <v>241.45755958551914</v>
      </c>
      <c r="HH62" s="28">
        <f t="shared" si="65"/>
        <v>225.12146664466053</v>
      </c>
      <c r="HI62" s="33"/>
      <c r="HM62" s="31"/>
      <c r="HU62" s="35">
        <f t="shared" si="15"/>
        <v>0</v>
      </c>
      <c r="HV62" s="35">
        <f t="shared" si="34"/>
        <v>0</v>
      </c>
      <c r="HW62" s="15">
        <f t="shared" si="66"/>
        <v>0.31543517778722685</v>
      </c>
      <c r="HX62" s="28">
        <f t="shared" si="67"/>
        <v>33.768159129101072</v>
      </c>
      <c r="HY62" s="28">
        <f t="shared" si="68"/>
        <v>107.05261019390485</v>
      </c>
      <c r="HZ62" s="33"/>
      <c r="ID62" s="31"/>
      <c r="II62" s="12"/>
      <c r="IL62" s="35">
        <f t="shared" si="16"/>
        <v>0</v>
      </c>
      <c r="IM62" s="35">
        <f t="shared" si="17"/>
        <v>5255.6688541242647</v>
      </c>
      <c r="IN62" s="15">
        <f t="shared" si="69"/>
        <v>0.59214933717386364</v>
      </c>
      <c r="IO62" s="28">
        <f t="shared" si="70"/>
        <v>70.744784818817919</v>
      </c>
      <c r="IP62" s="28">
        <f t="shared" si="71"/>
        <v>119.47118805614102</v>
      </c>
      <c r="IQ62" s="33"/>
      <c r="IU62" s="31"/>
      <c r="JC62" s="35">
        <f t="shared" si="18"/>
        <v>0</v>
      </c>
      <c r="JD62" s="35">
        <f t="shared" si="19"/>
        <v>3364.3808088250207</v>
      </c>
      <c r="JE62" s="15" t="e">
        <f t="shared" si="72"/>
        <v>#DIV/0!</v>
      </c>
      <c r="JF62" s="28">
        <f t="shared" si="73"/>
        <v>0</v>
      </c>
      <c r="JG62" s="28">
        <f t="shared" si="74"/>
        <v>0</v>
      </c>
      <c r="JH62" s="33"/>
      <c r="JL62" s="31"/>
      <c r="JR62" s="99"/>
      <c r="JS62" s="99"/>
      <c r="JT62" s="99"/>
      <c r="JU62" s="99"/>
      <c r="JV62" s="99"/>
      <c r="JW62" s="99"/>
      <c r="JX62" s="99"/>
      <c r="JY62" s="99"/>
      <c r="JZ62" s="99"/>
      <c r="KA62" s="99"/>
      <c r="KB62" s="99"/>
      <c r="KC62" s="99"/>
      <c r="KD62" s="99"/>
      <c r="KE62" s="99"/>
      <c r="KF62" s="99"/>
      <c r="KG62" s="99"/>
      <c r="KH62" s="99"/>
      <c r="KI62" s="99"/>
      <c r="KJ62" s="99"/>
      <c r="KK62" s="99"/>
      <c r="KL62" s="99"/>
      <c r="KM62" s="99"/>
      <c r="KN62" s="99"/>
      <c r="KO62" s="99"/>
      <c r="KP62" s="99"/>
      <c r="KQ62" s="99"/>
      <c r="KR62" s="99"/>
      <c r="KS62" s="99"/>
      <c r="KT62" s="99"/>
      <c r="KU62" s="99"/>
      <c r="KV62" s="99"/>
      <c r="KW62" s="99"/>
      <c r="KX62" s="99"/>
      <c r="KY62" s="99"/>
      <c r="KZ62" s="99"/>
      <c r="LA62" s="99"/>
      <c r="LB62" s="99"/>
      <c r="LC62" s="99"/>
      <c r="LD62" s="99"/>
      <c r="LE62" s="99"/>
      <c r="LF62" s="99"/>
      <c r="LG62" s="99"/>
      <c r="LH62" s="99"/>
      <c r="LI62" s="99"/>
      <c r="LJ62" s="99"/>
      <c r="LK62" s="99"/>
      <c r="LL62" s="99"/>
      <c r="LM62" s="99"/>
      <c r="LN62" s="99"/>
      <c r="LO62" s="99"/>
      <c r="LP62" s="99"/>
      <c r="LQ62" s="99"/>
      <c r="LR62" s="99"/>
      <c r="LS62" s="99"/>
      <c r="LT62" s="99"/>
      <c r="LU62" s="99"/>
      <c r="LV62" s="99"/>
      <c r="LW62" s="99"/>
      <c r="LX62" s="99"/>
      <c r="LY62" s="99"/>
      <c r="LZ62" s="99"/>
      <c r="MA62" s="99"/>
      <c r="MB62" s="99"/>
      <c r="MC62" s="99"/>
      <c r="MD62" s="99"/>
      <c r="ME62" s="99"/>
      <c r="MF62" s="99"/>
    </row>
    <row r="63" spans="1:344" ht="17.25" customHeight="1" x14ac:dyDescent="0.25">
      <c r="A63" s="156"/>
      <c r="B63" s="81" t="s">
        <v>4</v>
      </c>
      <c r="C63" s="82">
        <v>45197</v>
      </c>
      <c r="D63" s="49">
        <v>12</v>
      </c>
      <c r="F63" s="103">
        <v>60</v>
      </c>
      <c r="G63" s="89">
        <f t="shared" si="0"/>
        <v>6.1136363636363633</v>
      </c>
      <c r="H63" s="35">
        <f t="shared" si="1"/>
        <v>366.81818181818181</v>
      </c>
      <c r="I63" s="39"/>
      <c r="L63" s="89">
        <f t="shared" si="2"/>
        <v>0</v>
      </c>
      <c r="M63" s="35">
        <f t="shared" si="20"/>
        <v>0</v>
      </c>
      <c r="N63" s="35">
        <f t="shared" si="21"/>
        <v>366.81818181818181</v>
      </c>
      <c r="O63" s="97"/>
      <c r="P63" s="150"/>
      <c r="W63" s="11">
        <v>6.5</v>
      </c>
      <c r="X63" s="1">
        <v>0</v>
      </c>
      <c r="Y63" s="35">
        <f t="shared" si="3"/>
        <v>390</v>
      </c>
      <c r="Z63" s="35">
        <f t="shared" si="22"/>
        <v>0</v>
      </c>
      <c r="AA63" s="15">
        <f t="shared" si="80"/>
        <v>1.1522415235438608</v>
      </c>
      <c r="AB63" s="43">
        <f t="shared" si="81"/>
        <v>557.88179836879192</v>
      </c>
      <c r="AC63" s="43">
        <f t="shared" si="82"/>
        <v>484.1708851569224</v>
      </c>
      <c r="AD63" s="33"/>
      <c r="AH63" s="31"/>
      <c r="AN63" s="11">
        <v>6</v>
      </c>
      <c r="AP63" s="35">
        <f t="shared" si="4"/>
        <v>360</v>
      </c>
      <c r="AQ63" s="35">
        <f t="shared" si="23"/>
        <v>0</v>
      </c>
      <c r="AR63" s="15">
        <f t="shared" si="83"/>
        <v>1.0567336931553657</v>
      </c>
      <c r="AS63" s="28">
        <f t="shared" si="37"/>
        <v>456.96202440903107</v>
      </c>
      <c r="AT63" s="28">
        <f t="shared" si="38"/>
        <v>432.42874469589424</v>
      </c>
      <c r="AU63" s="33"/>
      <c r="AY63" s="31"/>
      <c r="BE63" s="11">
        <v>6.5</v>
      </c>
      <c r="BG63" s="35">
        <f t="shared" si="5"/>
        <v>390</v>
      </c>
      <c r="BH63" s="35">
        <f t="shared" si="24"/>
        <v>0</v>
      </c>
      <c r="BI63" s="15">
        <f t="shared" si="39"/>
        <v>1.1805739233928059</v>
      </c>
      <c r="BJ63" s="28">
        <f t="shared" si="40"/>
        <v>469.26922746778996</v>
      </c>
      <c r="BK63" s="28">
        <f t="shared" si="41"/>
        <v>397.49245529595913</v>
      </c>
      <c r="BL63" s="33"/>
      <c r="BP63" s="31"/>
      <c r="BV63" s="11">
        <v>5</v>
      </c>
      <c r="BX63" s="35">
        <f t="shared" si="6"/>
        <v>300</v>
      </c>
      <c r="BY63" s="35">
        <f t="shared" si="25"/>
        <v>0</v>
      </c>
      <c r="BZ63" s="15">
        <f t="shared" si="42"/>
        <v>0.9953695658958982</v>
      </c>
      <c r="CA63" s="28">
        <f t="shared" si="43"/>
        <v>481.74680008820758</v>
      </c>
      <c r="CB63" s="28">
        <f t="shared" si="44"/>
        <v>483.98787404616263</v>
      </c>
      <c r="CC63" s="33"/>
      <c r="CG63" s="31"/>
      <c r="CM63" s="11">
        <v>6.5</v>
      </c>
      <c r="CO63" s="35">
        <f t="shared" si="7"/>
        <v>390</v>
      </c>
      <c r="CP63" s="35">
        <f t="shared" si="26"/>
        <v>0</v>
      </c>
      <c r="CQ63" s="15">
        <f t="shared" si="45"/>
        <v>1.2211697090383788</v>
      </c>
      <c r="CR63" s="28">
        <f t="shared" si="46"/>
        <v>352.49986869565089</v>
      </c>
      <c r="CS63" s="28">
        <f t="shared" si="47"/>
        <v>288.65756011359804</v>
      </c>
      <c r="CT63" s="33"/>
      <c r="CX63" s="31"/>
      <c r="DD63" s="11">
        <v>4.75</v>
      </c>
      <c r="DF63" s="35">
        <f t="shared" si="8"/>
        <v>285</v>
      </c>
      <c r="DG63" s="35">
        <f t="shared" si="27"/>
        <v>0</v>
      </c>
      <c r="DH63" s="15">
        <f t="shared" si="48"/>
        <v>1.0038987428167505</v>
      </c>
      <c r="DI63" s="28">
        <f t="shared" si="49"/>
        <v>404.19072571896112</v>
      </c>
      <c r="DJ63" s="28">
        <f t="shared" si="50"/>
        <v>402.62100994855138</v>
      </c>
      <c r="DK63" s="33"/>
      <c r="DO63" s="31"/>
      <c r="DU63" s="11">
        <v>5</v>
      </c>
      <c r="DW63" s="35">
        <f t="shared" si="9"/>
        <v>300</v>
      </c>
      <c r="DX63" s="35">
        <f t="shared" si="28"/>
        <v>0</v>
      </c>
      <c r="DY63" s="15">
        <f t="shared" si="51"/>
        <v>0.91433511369493436</v>
      </c>
      <c r="DZ63" s="28">
        <f t="shared" si="52"/>
        <v>359.78997941207081</v>
      </c>
      <c r="EA63" s="28">
        <f t="shared" si="53"/>
        <v>393.49902899180773</v>
      </c>
      <c r="EB63" s="33"/>
      <c r="EF63" s="31"/>
      <c r="EL63" s="11">
        <v>6</v>
      </c>
      <c r="EN63" s="35">
        <f t="shared" si="10"/>
        <v>360</v>
      </c>
      <c r="EO63" s="35">
        <f t="shared" si="29"/>
        <v>0</v>
      </c>
      <c r="EP63" s="15">
        <f t="shared" si="85"/>
        <v>1.0408261712825917</v>
      </c>
      <c r="EQ63" s="28">
        <f t="shared" si="54"/>
        <v>461.4186870903452</v>
      </c>
      <c r="ER63" s="28">
        <f t="shared" si="55"/>
        <v>443.31964339611784</v>
      </c>
      <c r="ES63" s="33"/>
      <c r="EW63" s="31"/>
      <c r="FC63" s="11">
        <v>7</v>
      </c>
      <c r="FE63" s="35">
        <f t="shared" si="11"/>
        <v>420</v>
      </c>
      <c r="FF63" s="35">
        <f t="shared" si="30"/>
        <v>0</v>
      </c>
      <c r="FG63" s="15">
        <f t="shared" si="56"/>
        <v>1.0570833935085875</v>
      </c>
      <c r="FH63" s="28">
        <f t="shared" si="57"/>
        <v>494.38323356998819</v>
      </c>
      <c r="FI63" s="28">
        <f t="shared" si="58"/>
        <v>467.68612259537116</v>
      </c>
      <c r="FJ63" s="33"/>
      <c r="FN63" s="31"/>
      <c r="FT63" s="11">
        <v>7</v>
      </c>
      <c r="FV63" s="35">
        <f t="shared" si="12"/>
        <v>420</v>
      </c>
      <c r="FW63" s="35">
        <f t="shared" si="31"/>
        <v>0</v>
      </c>
      <c r="FX63" s="15">
        <f t="shared" si="87"/>
        <v>0.97473859259575113</v>
      </c>
      <c r="FY63" s="28">
        <f t="shared" si="59"/>
        <v>460.1846804478937</v>
      </c>
      <c r="FZ63" s="28">
        <f t="shared" si="60"/>
        <v>472.11086535766617</v>
      </c>
      <c r="GA63" s="33"/>
      <c r="GE63" s="31"/>
      <c r="GK63" s="11">
        <v>7</v>
      </c>
      <c r="GM63" s="35">
        <f t="shared" si="13"/>
        <v>420</v>
      </c>
      <c r="GN63" s="35">
        <f t="shared" si="32"/>
        <v>0</v>
      </c>
      <c r="GO63" s="15">
        <f t="shared" si="77"/>
        <v>1.0002672085087647</v>
      </c>
      <c r="GP63" s="28">
        <f t="shared" si="61"/>
        <v>510.51998251072763</v>
      </c>
      <c r="GQ63" s="28">
        <f t="shared" si="62"/>
        <v>510.3836036690933</v>
      </c>
      <c r="GR63" s="33"/>
      <c r="GV63" s="31"/>
      <c r="HB63" s="11">
        <v>4</v>
      </c>
      <c r="HD63" s="35">
        <f t="shared" si="14"/>
        <v>240</v>
      </c>
      <c r="HE63" s="35">
        <f t="shared" si="33"/>
        <v>0</v>
      </c>
      <c r="HF63" s="15">
        <f t="shared" si="63"/>
        <v>1.0660878077870413</v>
      </c>
      <c r="HG63" s="28">
        <f t="shared" si="64"/>
        <v>241.09316968913936</v>
      </c>
      <c r="HH63" s="28">
        <f t="shared" si="65"/>
        <v>226.14757239330464</v>
      </c>
      <c r="HI63" s="33"/>
      <c r="HM63" s="31"/>
      <c r="HU63" s="35">
        <f t="shared" si="15"/>
        <v>0</v>
      </c>
      <c r="HV63" s="35">
        <f t="shared" si="34"/>
        <v>0</v>
      </c>
      <c r="HW63" s="15">
        <f t="shared" si="66"/>
        <v>0.25410055988415503</v>
      </c>
      <c r="HX63" s="28">
        <f t="shared" si="67"/>
        <v>25.326119346825806</v>
      </c>
      <c r="HY63" s="28">
        <f t="shared" si="68"/>
        <v>99.669671559842442</v>
      </c>
      <c r="HZ63" s="33"/>
      <c r="ID63" s="31"/>
      <c r="II63" s="12"/>
      <c r="IL63" s="35">
        <f t="shared" si="16"/>
        <v>0</v>
      </c>
      <c r="IM63" s="35">
        <f t="shared" si="17"/>
        <v>4649.9126792813313</v>
      </c>
      <c r="IN63" s="15">
        <f t="shared" si="69"/>
        <v>0.47700918827894573</v>
      </c>
      <c r="IO63" s="28">
        <f t="shared" si="70"/>
        <v>53.05858861411344</v>
      </c>
      <c r="IP63" s="28">
        <f t="shared" si="71"/>
        <v>111.23179577640715</v>
      </c>
      <c r="IQ63" s="33"/>
      <c r="IU63" s="31"/>
      <c r="JC63" s="35">
        <f t="shared" si="18"/>
        <v>0</v>
      </c>
      <c r="JD63" s="35">
        <f t="shared" si="19"/>
        <v>3246.950784477709</v>
      </c>
      <c r="JE63" s="15" t="e">
        <f t="shared" si="72"/>
        <v>#DIV/0!</v>
      </c>
      <c r="JF63" s="28">
        <f t="shared" si="73"/>
        <v>0</v>
      </c>
      <c r="JG63" s="28">
        <f t="shared" si="74"/>
        <v>0</v>
      </c>
      <c r="JH63" s="33"/>
      <c r="JL63" s="31"/>
      <c r="JR63" s="99"/>
      <c r="JS63" s="99"/>
      <c r="JT63" s="99"/>
      <c r="JU63" s="99"/>
      <c r="JV63" s="99"/>
      <c r="JW63" s="99"/>
      <c r="JX63" s="99"/>
      <c r="JY63" s="99"/>
      <c r="JZ63" s="99"/>
      <c r="KA63" s="99"/>
      <c r="KB63" s="99"/>
      <c r="KC63" s="99"/>
      <c r="KD63" s="99"/>
      <c r="KE63" s="99"/>
      <c r="KF63" s="99"/>
      <c r="KG63" s="99"/>
      <c r="KH63" s="99"/>
      <c r="KI63" s="99"/>
      <c r="KJ63" s="99"/>
      <c r="KK63" s="99"/>
      <c r="KL63" s="99"/>
      <c r="KM63" s="99"/>
      <c r="KN63" s="99"/>
      <c r="KO63" s="99"/>
      <c r="KP63" s="99"/>
      <c r="KQ63" s="99"/>
      <c r="KR63" s="99"/>
      <c r="KS63" s="99"/>
      <c r="KT63" s="99"/>
      <c r="KU63" s="99"/>
      <c r="KV63" s="99"/>
      <c r="KW63" s="99"/>
      <c r="KX63" s="99"/>
      <c r="KY63" s="99"/>
      <c r="KZ63" s="99"/>
      <c r="LA63" s="99"/>
      <c r="LB63" s="99"/>
      <c r="LC63" s="99"/>
      <c r="LD63" s="99"/>
      <c r="LE63" s="99"/>
      <c r="LF63" s="99"/>
      <c r="LG63" s="99"/>
      <c r="LH63" s="99"/>
      <c r="LI63" s="99"/>
      <c r="LJ63" s="99"/>
      <c r="LK63" s="99"/>
      <c r="LL63" s="99"/>
      <c r="LM63" s="99"/>
      <c r="LN63" s="99"/>
      <c r="LO63" s="99"/>
      <c r="LP63" s="99"/>
      <c r="LQ63" s="99"/>
      <c r="LR63" s="99"/>
      <c r="LS63" s="99"/>
      <c r="LT63" s="99"/>
      <c r="LU63" s="99"/>
      <c r="LV63" s="99"/>
      <c r="LW63" s="99"/>
      <c r="LX63" s="99"/>
      <c r="LY63" s="99"/>
      <c r="LZ63" s="99"/>
      <c r="MA63" s="99"/>
      <c r="MB63" s="99"/>
      <c r="MC63" s="99"/>
      <c r="MD63" s="99"/>
      <c r="ME63" s="99"/>
      <c r="MF63" s="99"/>
    </row>
    <row r="64" spans="1:344" ht="17.25" customHeight="1" x14ac:dyDescent="0.25">
      <c r="A64" s="156"/>
      <c r="B64" s="90" t="s">
        <v>5</v>
      </c>
      <c r="C64" s="91">
        <v>45198</v>
      </c>
      <c r="D64" s="49"/>
      <c r="G64" s="89">
        <f t="shared" si="0"/>
        <v>0</v>
      </c>
      <c r="H64" s="35">
        <f t="shared" si="1"/>
        <v>0</v>
      </c>
      <c r="I64" s="39">
        <v>11</v>
      </c>
      <c r="K64" s="103">
        <v>100</v>
      </c>
      <c r="L64" s="89">
        <f>AVERAGE(X64,AO64,BF64,BW64,DE64,DV64,EM64,FD64,FU64,GL64)</f>
        <v>7.9777777777777779</v>
      </c>
      <c r="M64" s="35">
        <f t="shared" si="20"/>
        <v>797.77777777777783</v>
      </c>
      <c r="N64" s="35">
        <f t="shared" si="21"/>
        <v>797.77777777777783</v>
      </c>
      <c r="O64" s="97"/>
      <c r="P64" s="150"/>
      <c r="W64" s="11">
        <v>0</v>
      </c>
      <c r="X64" s="1">
        <v>9</v>
      </c>
      <c r="Y64" s="35">
        <f t="shared" si="3"/>
        <v>900</v>
      </c>
      <c r="Z64" s="35">
        <f t="shared" si="22"/>
        <v>0</v>
      </c>
      <c r="AA64" s="15">
        <f t="shared" si="80"/>
        <v>1.2545830370462714</v>
      </c>
      <c r="AB64" s="43">
        <f t="shared" si="81"/>
        <v>643.41134877659397</v>
      </c>
      <c r="AC64" s="43">
        <f t="shared" si="82"/>
        <v>512.84875514610019</v>
      </c>
      <c r="AD64" s="33"/>
      <c r="AH64" s="31"/>
      <c r="AO64" s="1">
        <v>8.5</v>
      </c>
      <c r="AP64" s="35">
        <f t="shared" si="4"/>
        <v>850</v>
      </c>
      <c r="AQ64" s="35">
        <f t="shared" si="23"/>
        <v>0</v>
      </c>
      <c r="AR64" s="15">
        <f t="shared" si="83"/>
        <v>1.203792935896324</v>
      </c>
      <c r="AS64" s="28">
        <f t="shared" si="37"/>
        <v>555.22151830677331</v>
      </c>
      <c r="AT64" s="28">
        <f t="shared" si="38"/>
        <v>461.22676230307388</v>
      </c>
      <c r="AU64" s="33"/>
      <c r="AY64" s="31"/>
      <c r="BG64" s="35">
        <f t="shared" si="5"/>
        <v>0</v>
      </c>
      <c r="BH64" s="35">
        <f t="shared" si="24"/>
        <v>0</v>
      </c>
      <c r="BI64" s="15">
        <f t="shared" si="39"/>
        <v>0.95101788273309362</v>
      </c>
      <c r="BJ64" s="28">
        <f t="shared" si="40"/>
        <v>351.95192060084247</v>
      </c>
      <c r="BK64" s="28">
        <f t="shared" si="41"/>
        <v>370.07918251692746</v>
      </c>
      <c r="BL64" s="33"/>
      <c r="BP64" s="31"/>
      <c r="BW64" s="1">
        <v>9.8000000000000007</v>
      </c>
      <c r="BX64" s="35">
        <f t="shared" si="6"/>
        <v>980.00000000000011</v>
      </c>
      <c r="BY64" s="35">
        <f t="shared" si="25"/>
        <v>0</v>
      </c>
      <c r="BZ64" s="15">
        <f t="shared" si="42"/>
        <v>1.1700409884362446</v>
      </c>
      <c r="CA64" s="28">
        <f t="shared" si="43"/>
        <v>606.31010006615566</v>
      </c>
      <c r="CB64" s="28">
        <f t="shared" si="44"/>
        <v>518.19560687056514</v>
      </c>
      <c r="CC64" s="33"/>
      <c r="CG64" s="31"/>
      <c r="CN64" s="1">
        <v>1</v>
      </c>
      <c r="CO64" s="35">
        <f t="shared" si="7"/>
        <v>100</v>
      </c>
      <c r="CP64" s="35">
        <f t="shared" si="26"/>
        <v>0</v>
      </c>
      <c r="CQ64" s="15">
        <f t="shared" si="45"/>
        <v>1.0498036360556089</v>
      </c>
      <c r="CR64" s="28">
        <f t="shared" si="46"/>
        <v>289.37490152173814</v>
      </c>
      <c r="CS64" s="28">
        <f t="shared" si="47"/>
        <v>275.64669389886711</v>
      </c>
      <c r="CT64" s="33"/>
      <c r="CX64" s="31"/>
      <c r="DE64" s="1">
        <v>7</v>
      </c>
      <c r="DF64" s="35">
        <f t="shared" si="8"/>
        <v>700</v>
      </c>
      <c r="DG64" s="35">
        <f t="shared" si="27"/>
        <v>0</v>
      </c>
      <c r="DH64" s="15">
        <f t="shared" si="48"/>
        <v>1.1300147725772263</v>
      </c>
      <c r="DI64" s="28">
        <f t="shared" si="49"/>
        <v>478.14304428922082</v>
      </c>
      <c r="DJ64" s="28">
        <f t="shared" si="50"/>
        <v>423.12990581416852</v>
      </c>
      <c r="DK64" s="33"/>
      <c r="DO64" s="31"/>
      <c r="DV64" s="1">
        <v>7.5</v>
      </c>
      <c r="DW64" s="35">
        <f t="shared" si="9"/>
        <v>750</v>
      </c>
      <c r="DX64" s="35">
        <f t="shared" si="28"/>
        <v>0</v>
      </c>
      <c r="DY64" s="15">
        <f t="shared" si="51"/>
        <v>1.0938975406133302</v>
      </c>
      <c r="DZ64" s="28">
        <f t="shared" si="52"/>
        <v>457.3424845590531</v>
      </c>
      <c r="EA64" s="28">
        <f t="shared" si="53"/>
        <v>418.08530285444169</v>
      </c>
      <c r="EB64" s="33"/>
      <c r="EF64" s="31"/>
      <c r="EM64" s="1">
        <v>6</v>
      </c>
      <c r="EN64" s="35">
        <f t="shared" si="10"/>
        <v>600</v>
      </c>
      <c r="EO64" s="35">
        <f t="shared" si="29"/>
        <v>0</v>
      </c>
      <c r="EP64" s="15">
        <f t="shared" si="85"/>
        <v>1.0923508130595525</v>
      </c>
      <c r="EQ64" s="28">
        <f t="shared" si="54"/>
        <v>496.0640153177589</v>
      </c>
      <c r="ER64" s="28">
        <f t="shared" si="55"/>
        <v>454.12518523086828</v>
      </c>
      <c r="ES64" s="33"/>
      <c r="EW64" s="31"/>
      <c r="FD64" s="1">
        <v>7</v>
      </c>
      <c r="FE64" s="35">
        <f t="shared" si="11"/>
        <v>700</v>
      </c>
      <c r="FF64" s="35">
        <f t="shared" si="30"/>
        <v>0</v>
      </c>
      <c r="FG64" s="15">
        <f t="shared" si="56"/>
        <v>1.1283412419708259</v>
      </c>
      <c r="FH64" s="28">
        <f t="shared" si="57"/>
        <v>545.78742517749117</v>
      </c>
      <c r="FI64" s="28">
        <f t="shared" si="58"/>
        <v>483.70776931293176</v>
      </c>
      <c r="FJ64" s="33"/>
      <c r="FN64" s="31"/>
      <c r="FU64" s="1">
        <v>8</v>
      </c>
      <c r="FV64" s="35">
        <f t="shared" si="12"/>
        <v>800</v>
      </c>
      <c r="FW64" s="35">
        <f t="shared" si="31"/>
        <v>0</v>
      </c>
      <c r="FX64" s="15">
        <f t="shared" si="87"/>
        <v>1.1019045174082478</v>
      </c>
      <c r="FY64" s="28">
        <f t="shared" si="59"/>
        <v>545.13851033592027</v>
      </c>
      <c r="FZ64" s="28">
        <f t="shared" si="60"/>
        <v>494.72390912610297</v>
      </c>
      <c r="GA64" s="33"/>
      <c r="GE64" s="31"/>
      <c r="GL64" s="1">
        <v>9</v>
      </c>
      <c r="GM64" s="35">
        <f t="shared" si="13"/>
        <v>900</v>
      </c>
      <c r="GN64" s="35">
        <f t="shared" si="32"/>
        <v>0</v>
      </c>
      <c r="GO64" s="15">
        <f t="shared" si="77"/>
        <v>1.1314765946135055</v>
      </c>
      <c r="GP64" s="28">
        <f t="shared" si="61"/>
        <v>607.88998688304571</v>
      </c>
      <c r="GQ64" s="28">
        <f t="shared" si="62"/>
        <v>537.25369996777647</v>
      </c>
      <c r="GR64" s="33"/>
      <c r="GV64" s="31"/>
      <c r="HD64" s="35">
        <f t="shared" si="14"/>
        <v>0</v>
      </c>
      <c r="HE64" s="35">
        <f t="shared" si="33"/>
        <v>0</v>
      </c>
      <c r="HF64" s="15">
        <f t="shared" si="63"/>
        <v>0.85879295627289443</v>
      </c>
      <c r="HG64" s="28">
        <f t="shared" si="64"/>
        <v>180.81987726685452</v>
      </c>
      <c r="HH64" s="28">
        <f t="shared" si="65"/>
        <v>210.55118809031811</v>
      </c>
      <c r="HI64" s="33"/>
      <c r="HM64" s="31"/>
      <c r="HU64" s="35">
        <f t="shared" si="15"/>
        <v>0</v>
      </c>
      <c r="HV64" s="35">
        <f t="shared" si="34"/>
        <v>0</v>
      </c>
      <c r="HW64" s="15">
        <f t="shared" si="66"/>
        <v>0.20469211768445819</v>
      </c>
      <c r="HX64" s="28">
        <f t="shared" si="67"/>
        <v>18.994589510119354</v>
      </c>
      <c r="HY64" s="28">
        <f t="shared" si="68"/>
        <v>92.795901107439519</v>
      </c>
      <c r="HZ64" s="33"/>
      <c r="ID64" s="31"/>
      <c r="II64" s="12"/>
      <c r="IL64" s="35">
        <f t="shared" si="16"/>
        <v>0</v>
      </c>
      <c r="IM64" s="35">
        <f t="shared" si="17"/>
        <v>5999.7285575827573</v>
      </c>
      <c r="IN64" s="15">
        <f t="shared" si="69"/>
        <v>0.38425740166915073</v>
      </c>
      <c r="IO64" s="28">
        <f t="shared" si="70"/>
        <v>39.793941460585081</v>
      </c>
      <c r="IP64" s="28">
        <f t="shared" si="71"/>
        <v>103.56063744699976</v>
      </c>
      <c r="IQ64" s="33"/>
      <c r="IU64" s="31"/>
      <c r="JC64" s="35">
        <f t="shared" si="18"/>
        <v>0</v>
      </c>
      <c r="JD64" s="35">
        <f t="shared" si="19"/>
        <v>2638.882486489455</v>
      </c>
      <c r="JE64" s="15" t="e">
        <f t="shared" si="72"/>
        <v>#DIV/0!</v>
      </c>
      <c r="JF64" s="28">
        <f t="shared" si="73"/>
        <v>0</v>
      </c>
      <c r="JG64" s="28">
        <f t="shared" si="74"/>
        <v>0</v>
      </c>
      <c r="JH64" s="33"/>
      <c r="JL64" s="31"/>
      <c r="JR64" s="99"/>
      <c r="JS64" s="99"/>
      <c r="JT64" s="99"/>
      <c r="JU64" s="99"/>
      <c r="JV64" s="99"/>
      <c r="JW64" s="99"/>
      <c r="JX64" s="99"/>
      <c r="JY64" s="99"/>
      <c r="JZ64" s="99"/>
      <c r="KA64" s="99"/>
      <c r="KB64" s="99"/>
      <c r="KC64" s="99"/>
      <c r="KD64" s="99"/>
      <c r="KE64" s="99"/>
      <c r="KF64" s="99"/>
      <c r="KG64" s="99"/>
      <c r="KH64" s="99"/>
      <c r="KI64" s="99"/>
      <c r="KJ64" s="99"/>
      <c r="KK64" s="99"/>
      <c r="KL64" s="99"/>
      <c r="KM64" s="99"/>
      <c r="KN64" s="99"/>
      <c r="KO64" s="99"/>
      <c r="KP64" s="99"/>
      <c r="KQ64" s="99"/>
      <c r="KR64" s="99"/>
      <c r="KS64" s="99"/>
      <c r="KT64" s="99"/>
      <c r="KU64" s="99"/>
      <c r="KV64" s="99"/>
      <c r="KW64" s="99"/>
      <c r="KX64" s="99"/>
      <c r="KY64" s="99"/>
      <c r="KZ64" s="99"/>
      <c r="LA64" s="99"/>
      <c r="LB64" s="99"/>
      <c r="LC64" s="99"/>
      <c r="LD64" s="99"/>
      <c r="LE64" s="99"/>
      <c r="LF64" s="99"/>
      <c r="LG64" s="99"/>
      <c r="LH64" s="99"/>
      <c r="LI64" s="99"/>
      <c r="LJ64" s="99"/>
      <c r="LK64" s="99"/>
      <c r="LL64" s="99"/>
      <c r="LM64" s="99"/>
      <c r="LN64" s="99"/>
      <c r="LO64" s="99"/>
      <c r="LP64" s="99"/>
      <c r="LQ64" s="99"/>
      <c r="LR64" s="99"/>
      <c r="LS64" s="99"/>
      <c r="LT64" s="99"/>
      <c r="LU64" s="99"/>
      <c r="LV64" s="99"/>
      <c r="LW64" s="99"/>
      <c r="LX64" s="99"/>
      <c r="LY64" s="99"/>
      <c r="LZ64" s="99"/>
      <c r="MA64" s="99"/>
      <c r="MB64" s="99"/>
      <c r="MC64" s="99"/>
      <c r="MD64" s="99"/>
      <c r="ME64" s="99"/>
      <c r="MF64" s="99"/>
    </row>
    <row r="65" spans="1:344" ht="17.25" customHeight="1" x14ac:dyDescent="0.25">
      <c r="A65" s="156"/>
      <c r="B65" s="81" t="s">
        <v>6</v>
      </c>
      <c r="C65" s="82">
        <v>45199</v>
      </c>
      <c r="D65" s="49">
        <v>12</v>
      </c>
      <c r="F65" s="103">
        <v>60</v>
      </c>
      <c r="G65" s="89">
        <f t="shared" si="0"/>
        <v>2.5454545454545454</v>
      </c>
      <c r="H65" s="35">
        <f t="shared" si="1"/>
        <v>152.72727272727272</v>
      </c>
      <c r="I65" s="39"/>
      <c r="L65" s="89">
        <f t="shared" si="2"/>
        <v>4</v>
      </c>
      <c r="M65" s="35">
        <f t="shared" si="20"/>
        <v>0</v>
      </c>
      <c r="N65" s="35">
        <f t="shared" si="21"/>
        <v>152.72727272727272</v>
      </c>
      <c r="O65" s="97"/>
      <c r="P65" s="150"/>
      <c r="W65" s="11">
        <v>3</v>
      </c>
      <c r="X65" s="1">
        <v>0</v>
      </c>
      <c r="Y65" s="35">
        <f t="shared" si="3"/>
        <v>180</v>
      </c>
      <c r="Z65" s="35">
        <f t="shared" si="22"/>
        <v>0</v>
      </c>
      <c r="AA65" s="15">
        <f t="shared" si="80"/>
        <v>1.07688371051414</v>
      </c>
      <c r="AB65" s="43">
        <f t="shared" si="81"/>
        <v>527.55851158244548</v>
      </c>
      <c r="AC65" s="43">
        <f t="shared" si="82"/>
        <v>489.89366858430014</v>
      </c>
      <c r="AD65" s="33"/>
      <c r="AH65" s="31"/>
      <c r="AN65" s="11">
        <v>1</v>
      </c>
      <c r="AP65" s="35">
        <f t="shared" si="4"/>
        <v>60</v>
      </c>
      <c r="AQ65" s="35">
        <f t="shared" si="23"/>
        <v>0</v>
      </c>
      <c r="AR65" s="15">
        <f t="shared" si="83"/>
        <v>0.99506450695878768</v>
      </c>
      <c r="AS65" s="28">
        <f t="shared" si="37"/>
        <v>431.41613873007998</v>
      </c>
      <c r="AT65" s="28">
        <f t="shared" si="38"/>
        <v>433.55595110975838</v>
      </c>
      <c r="AU65" s="33"/>
      <c r="AY65" s="31"/>
      <c r="BE65" s="11">
        <v>2</v>
      </c>
      <c r="BF65" s="1">
        <v>8</v>
      </c>
      <c r="BG65" s="35">
        <f>(BE65*$F65)+BF65*100</f>
        <v>920</v>
      </c>
      <c r="BH65" s="35">
        <f t="shared" si="24"/>
        <v>0</v>
      </c>
      <c r="BI65" s="15">
        <f t="shared" si="39"/>
        <v>1.2106818193203481</v>
      </c>
      <c r="BJ65" s="28">
        <f t="shared" si="40"/>
        <v>493.96394045063187</v>
      </c>
      <c r="BK65" s="28">
        <f t="shared" si="41"/>
        <v>408.00475613644966</v>
      </c>
      <c r="BL65" s="33"/>
      <c r="BP65" s="31"/>
      <c r="BV65" s="11">
        <v>2</v>
      </c>
      <c r="BX65" s="35">
        <f t="shared" si="6"/>
        <v>120</v>
      </c>
      <c r="BY65" s="35">
        <f t="shared" si="25"/>
        <v>0</v>
      </c>
      <c r="BZ65" s="15">
        <f t="shared" si="42"/>
        <v>0.98777083353550788</v>
      </c>
      <c r="CA65" s="28">
        <f t="shared" si="43"/>
        <v>484.73257504961674</v>
      </c>
      <c r="CB65" s="28">
        <f t="shared" si="44"/>
        <v>490.73384087949165</v>
      </c>
      <c r="CC65" s="33"/>
      <c r="CG65" s="31"/>
      <c r="CM65" s="11">
        <v>2</v>
      </c>
      <c r="CO65" s="35">
        <f t="shared" si="7"/>
        <v>120</v>
      </c>
      <c r="CP65" s="35">
        <f t="shared" si="26"/>
        <v>0</v>
      </c>
      <c r="CQ65" s="15">
        <f t="shared" si="45"/>
        <v>0.93250123299804633</v>
      </c>
      <c r="CR65" s="28">
        <f t="shared" si="46"/>
        <v>247.0311761413036</v>
      </c>
      <c r="CS65" s="28">
        <f t="shared" si="47"/>
        <v>264.91243914722111</v>
      </c>
      <c r="CT65" s="33"/>
      <c r="CX65" s="31"/>
      <c r="DD65" s="11">
        <v>2</v>
      </c>
      <c r="DF65" s="35">
        <f t="shared" si="8"/>
        <v>120</v>
      </c>
      <c r="DG65" s="35">
        <f t="shared" si="27"/>
        <v>0</v>
      </c>
      <c r="DH65" s="15">
        <f t="shared" si="48"/>
        <v>0.96614548491238639</v>
      </c>
      <c r="DI65" s="28">
        <f t="shared" si="49"/>
        <v>388.60728321691562</v>
      </c>
      <c r="DJ65" s="28">
        <f t="shared" si="50"/>
        <v>402.22439506836378</v>
      </c>
      <c r="DK65" s="33"/>
      <c r="DO65" s="31"/>
      <c r="DU65" s="11">
        <v>2</v>
      </c>
      <c r="DW65" s="35">
        <f t="shared" si="9"/>
        <v>120</v>
      </c>
      <c r="DX65" s="35">
        <f t="shared" si="28"/>
        <v>0</v>
      </c>
      <c r="DY65" s="15">
        <f t="shared" si="51"/>
        <v>0.93831666924539925</v>
      </c>
      <c r="DZ65" s="28">
        <f t="shared" si="52"/>
        <v>373.00686341928986</v>
      </c>
      <c r="EA65" s="28">
        <f t="shared" si="53"/>
        <v>397.52769576103191</v>
      </c>
      <c r="EB65" s="33"/>
      <c r="EF65" s="31"/>
      <c r="EL65" s="11">
        <v>3</v>
      </c>
      <c r="EN65" s="35">
        <f t="shared" si="10"/>
        <v>180</v>
      </c>
      <c r="EO65" s="35">
        <f t="shared" si="29"/>
        <v>0</v>
      </c>
      <c r="EP65" s="15">
        <f t="shared" si="85"/>
        <v>0.95824643042039093</v>
      </c>
      <c r="EQ65" s="28">
        <f t="shared" si="54"/>
        <v>417.04801148831916</v>
      </c>
      <c r="ER65" s="28">
        <f t="shared" si="55"/>
        <v>435.22000004253249</v>
      </c>
      <c r="ES65" s="33"/>
      <c r="EW65" s="31"/>
      <c r="FC65" s="11">
        <v>3</v>
      </c>
      <c r="FE65" s="35">
        <f t="shared" si="11"/>
        <v>180</v>
      </c>
      <c r="FF65" s="35">
        <f t="shared" si="30"/>
        <v>0</v>
      </c>
      <c r="FG65" s="15">
        <f t="shared" si="56"/>
        <v>0.98180094812947649</v>
      </c>
      <c r="FH65" s="28">
        <f t="shared" si="57"/>
        <v>454.34056888311841</v>
      </c>
      <c r="FI65" s="28">
        <f t="shared" si="58"/>
        <v>462.76240591203987</v>
      </c>
      <c r="FJ65" s="33"/>
      <c r="FN65" s="31"/>
      <c r="FT65" s="11">
        <v>4</v>
      </c>
      <c r="FV65" s="35">
        <f t="shared" si="12"/>
        <v>240</v>
      </c>
      <c r="FW65" s="35">
        <f t="shared" si="31"/>
        <v>0</v>
      </c>
      <c r="FX65" s="15">
        <f t="shared" si="87"/>
        <v>0.9825993023263383</v>
      </c>
      <c r="FY65" s="28">
        <f t="shared" si="59"/>
        <v>468.8538827519402</v>
      </c>
      <c r="FZ65" s="28">
        <f t="shared" si="60"/>
        <v>477.15674297947515</v>
      </c>
      <c r="GA65" s="33"/>
      <c r="GE65" s="31"/>
      <c r="GK65" s="11">
        <v>4</v>
      </c>
      <c r="GM65" s="35">
        <f t="shared" si="13"/>
        <v>240</v>
      </c>
      <c r="GN65" s="35">
        <f t="shared" si="32"/>
        <v>0</v>
      </c>
      <c r="GO65" s="15">
        <f t="shared" si="77"/>
        <v>0.99838229499248299</v>
      </c>
      <c r="GP65" s="28">
        <f t="shared" si="61"/>
        <v>515.91749016228425</v>
      </c>
      <c r="GQ65" s="28">
        <f t="shared" si="62"/>
        <v>516.75344479758496</v>
      </c>
      <c r="GR65" s="33"/>
      <c r="GV65" s="31"/>
      <c r="HD65" s="35">
        <f t="shared" si="14"/>
        <v>0</v>
      </c>
      <c r="HE65" s="35">
        <f t="shared" si="33"/>
        <v>0</v>
      </c>
      <c r="HF65" s="15">
        <f t="shared" si="63"/>
        <v>0.69180543699760944</v>
      </c>
      <c r="HG65" s="28">
        <f t="shared" si="64"/>
        <v>135.61490795014089</v>
      </c>
      <c r="HH65" s="28">
        <f t="shared" si="65"/>
        <v>196.03041649788236</v>
      </c>
      <c r="HI65" s="33"/>
      <c r="HM65" s="31"/>
      <c r="HU65" s="35">
        <f t="shared" si="15"/>
        <v>0</v>
      </c>
      <c r="HV65" s="35">
        <f t="shared" si="34"/>
        <v>0</v>
      </c>
      <c r="HW65" s="15">
        <f t="shared" si="66"/>
        <v>0.16489087257914689</v>
      </c>
      <c r="HX65" s="28">
        <f t="shared" si="67"/>
        <v>14.245942132589516</v>
      </c>
      <c r="HY65" s="28">
        <f t="shared" si="68"/>
        <v>86.396183789685068</v>
      </c>
      <c r="HZ65" s="33"/>
      <c r="ID65" s="31"/>
      <c r="II65" s="12"/>
      <c r="IL65" s="35">
        <f t="shared" si="16"/>
        <v>0</v>
      </c>
      <c r="IM65" s="35">
        <f t="shared" si="17"/>
        <v>4515.5628170965319</v>
      </c>
      <c r="IN65" s="15">
        <f t="shared" si="69"/>
        <v>0.309540684677927</v>
      </c>
      <c r="IO65" s="28">
        <f t="shared" si="70"/>
        <v>29.845456095438813</v>
      </c>
      <c r="IP65" s="28">
        <f t="shared" si="71"/>
        <v>96.418524519620462</v>
      </c>
      <c r="IQ65" s="33"/>
      <c r="IU65" s="31"/>
      <c r="JC65" s="35">
        <f t="shared" si="18"/>
        <v>0</v>
      </c>
      <c r="JD65" s="35">
        <f t="shared" si="19"/>
        <v>2435.484404000314</v>
      </c>
      <c r="JE65" s="15" t="e">
        <f t="shared" si="72"/>
        <v>#DIV/0!</v>
      </c>
      <c r="JF65" s="28">
        <f t="shared" si="73"/>
        <v>0</v>
      </c>
      <c r="JG65" s="28">
        <f t="shared" si="74"/>
        <v>0</v>
      </c>
      <c r="JH65" s="33"/>
      <c r="JL65" s="31"/>
      <c r="JR65" s="99"/>
      <c r="JS65" s="99"/>
      <c r="JT65" s="99"/>
      <c r="JU65" s="99"/>
      <c r="JV65" s="99"/>
      <c r="JW65" s="99"/>
      <c r="JX65" s="99"/>
      <c r="JY65" s="99"/>
      <c r="JZ65" s="99"/>
      <c r="KA65" s="99"/>
      <c r="KB65" s="99"/>
      <c r="KC65" s="99"/>
      <c r="KD65" s="99"/>
      <c r="KE65" s="99"/>
      <c r="KF65" s="99"/>
      <c r="KG65" s="99"/>
      <c r="KH65" s="99"/>
      <c r="KI65" s="99"/>
      <c r="KJ65" s="99"/>
      <c r="KK65" s="99"/>
      <c r="KL65" s="99"/>
      <c r="KM65" s="99"/>
      <c r="KN65" s="99"/>
      <c r="KO65" s="99"/>
      <c r="KP65" s="99"/>
      <c r="KQ65" s="99"/>
      <c r="KR65" s="99"/>
      <c r="KS65" s="99"/>
      <c r="KT65" s="99"/>
      <c r="KU65" s="99"/>
      <c r="KV65" s="99"/>
      <c r="KW65" s="99"/>
      <c r="KX65" s="99"/>
      <c r="KY65" s="99"/>
      <c r="KZ65" s="99"/>
      <c r="LA65" s="99"/>
      <c r="LB65" s="99"/>
      <c r="LC65" s="99"/>
      <c r="LD65" s="99"/>
      <c r="LE65" s="99"/>
      <c r="LF65" s="99"/>
      <c r="LG65" s="99"/>
      <c r="LH65" s="99"/>
      <c r="LI65" s="99"/>
      <c r="LJ65" s="99"/>
      <c r="LK65" s="99"/>
      <c r="LL65" s="99"/>
      <c r="LM65" s="99"/>
      <c r="LN65" s="99"/>
      <c r="LO65" s="99"/>
      <c r="LP65" s="99"/>
      <c r="LQ65" s="99"/>
      <c r="LR65" s="99"/>
      <c r="LS65" s="99"/>
      <c r="LT65" s="99"/>
      <c r="LU65" s="99"/>
      <c r="LV65" s="99"/>
      <c r="LW65" s="99"/>
      <c r="LX65" s="99"/>
      <c r="LY65" s="99"/>
      <c r="LZ65" s="99"/>
      <c r="MA65" s="99"/>
      <c r="MB65" s="99"/>
      <c r="MC65" s="99"/>
      <c r="MD65" s="99"/>
      <c r="ME65" s="99"/>
      <c r="MF65" s="99"/>
    </row>
    <row r="66" spans="1:344" ht="17.25" customHeight="1" x14ac:dyDescent="0.25">
      <c r="A66" s="157"/>
      <c r="B66" s="92" t="s">
        <v>7</v>
      </c>
      <c r="C66" s="93">
        <v>45200</v>
      </c>
      <c r="D66" s="51"/>
      <c r="E66" s="48"/>
      <c r="F66" s="104"/>
      <c r="G66" s="37">
        <f t="shared" si="0"/>
        <v>0</v>
      </c>
      <c r="H66" s="26">
        <f t="shared" si="1"/>
        <v>0</v>
      </c>
      <c r="I66" s="48">
        <v>11</v>
      </c>
      <c r="J66" s="48"/>
      <c r="K66" s="104">
        <v>100</v>
      </c>
      <c r="L66" s="37">
        <f>AVERAGE(X66,AO66,BW66,CN66,DE66,DV66,EM66,FD66,FU66,GL66)</f>
        <v>7.42</v>
      </c>
      <c r="M66" s="26">
        <f t="shared" si="20"/>
        <v>742</v>
      </c>
      <c r="N66" s="26">
        <f t="shared" si="21"/>
        <v>742</v>
      </c>
      <c r="O66" s="98"/>
      <c r="P66" s="151"/>
      <c r="W66" s="13">
        <v>0</v>
      </c>
      <c r="X66" s="2">
        <v>9</v>
      </c>
      <c r="Y66" s="26">
        <f t="shared" si="3"/>
        <v>900</v>
      </c>
      <c r="Z66" s="26">
        <f t="shared" si="22"/>
        <v>0</v>
      </c>
      <c r="AA66" s="16">
        <f t="shared" si="80"/>
        <v>1.1977935083209246</v>
      </c>
      <c r="AB66" s="44">
        <f t="shared" si="81"/>
        <v>620.66888368683408</v>
      </c>
      <c r="AC66" s="44">
        <f t="shared" si="82"/>
        <v>518.17686385434843</v>
      </c>
      <c r="AD66" s="34"/>
      <c r="AE66" s="4"/>
      <c r="AF66" s="5"/>
      <c r="AG66" s="6"/>
      <c r="AH66" s="32"/>
      <c r="AI66" s="3"/>
      <c r="AJ66" s="4"/>
      <c r="AK66" s="5"/>
      <c r="AL66" s="6"/>
      <c r="AM66" s="14"/>
      <c r="AN66" s="13"/>
      <c r="AO66" s="2">
        <v>7</v>
      </c>
      <c r="AP66" s="26">
        <f t="shared" si="4"/>
        <v>700</v>
      </c>
      <c r="AQ66" s="26">
        <f t="shared" si="23"/>
        <v>0</v>
      </c>
      <c r="AR66" s="16">
        <f t="shared" si="83"/>
        <v>1.1031809274719384</v>
      </c>
      <c r="AS66" s="29">
        <f t="shared" si="37"/>
        <v>498.56210404755996</v>
      </c>
      <c r="AT66" s="29">
        <f t="shared" si="38"/>
        <v>451.93140275736124</v>
      </c>
      <c r="AU66" s="34"/>
      <c r="AV66" s="4"/>
      <c r="AW66" s="5"/>
      <c r="AX66" s="6"/>
      <c r="AY66" s="32"/>
      <c r="AZ66" s="3"/>
      <c r="BA66" s="4"/>
      <c r="BB66" s="5"/>
      <c r="BC66" s="6"/>
      <c r="BD66" s="14"/>
      <c r="BE66" s="13"/>
      <c r="BF66" s="2">
        <v>2</v>
      </c>
      <c r="BG66" s="26">
        <f t="shared" si="5"/>
        <v>200</v>
      </c>
      <c r="BH66" s="26">
        <f t="shared" si="24"/>
        <v>0</v>
      </c>
      <c r="BI66" s="16">
        <f t="shared" si="39"/>
        <v>1.0681130468056759</v>
      </c>
      <c r="BJ66" s="29">
        <f t="shared" si="40"/>
        <v>420.47295533797387</v>
      </c>
      <c r="BK66" s="29">
        <f t="shared" si="41"/>
        <v>393.65960054083246</v>
      </c>
      <c r="BL66" s="34"/>
      <c r="BM66" s="4"/>
      <c r="BN66" s="5"/>
      <c r="BO66" s="6"/>
      <c r="BP66" s="32"/>
      <c r="BQ66" s="3"/>
      <c r="BR66" s="4"/>
      <c r="BS66" s="5"/>
      <c r="BT66" s="6"/>
      <c r="BU66" s="14"/>
      <c r="BV66" s="13"/>
      <c r="BW66" s="2">
        <v>7</v>
      </c>
      <c r="BX66" s="26">
        <f t="shared" si="6"/>
        <v>700</v>
      </c>
      <c r="BY66" s="26">
        <f t="shared" si="25"/>
        <v>0</v>
      </c>
      <c r="BZ66" s="16">
        <f t="shared" si="42"/>
        <v>1.0660841033995756</v>
      </c>
      <c r="CA66" s="29">
        <f t="shared" si="43"/>
        <v>538.54943128721254</v>
      </c>
      <c r="CB66" s="29">
        <f t="shared" si="44"/>
        <v>505.16598978435428</v>
      </c>
      <c r="CC66" s="34"/>
      <c r="CD66" s="4"/>
      <c r="CE66" s="5"/>
      <c r="CF66" s="6"/>
      <c r="CG66" s="32"/>
      <c r="CH66" s="3"/>
      <c r="CI66" s="4"/>
      <c r="CJ66" s="5"/>
      <c r="CK66" s="6"/>
      <c r="CL66" s="14"/>
      <c r="CM66" s="13"/>
      <c r="CN66" s="2">
        <v>7.5</v>
      </c>
      <c r="CO66" s="26">
        <f t="shared" si="7"/>
        <v>750</v>
      </c>
      <c r="CP66" s="26">
        <f t="shared" si="26"/>
        <v>0</v>
      </c>
      <c r="CQ66" s="16">
        <f t="shared" si="45"/>
        <v>1.2493797566158948</v>
      </c>
      <c r="CR66" s="29">
        <f t="shared" si="46"/>
        <v>372.7733821059777</v>
      </c>
      <c r="CS66" s="29">
        <f t="shared" si="47"/>
        <v>298.36675368879207</v>
      </c>
      <c r="CT66" s="34"/>
      <c r="CU66" s="4"/>
      <c r="CV66" s="5"/>
      <c r="CW66" s="6"/>
      <c r="CX66" s="32"/>
      <c r="CY66" s="3"/>
      <c r="CZ66" s="4"/>
      <c r="DA66" s="5"/>
      <c r="DB66" s="6"/>
      <c r="DC66" s="14"/>
      <c r="DD66" s="13"/>
      <c r="DE66" s="2">
        <v>7.7</v>
      </c>
      <c r="DF66" s="26">
        <f t="shared" si="8"/>
        <v>770</v>
      </c>
      <c r="DG66" s="26">
        <f t="shared" si="27"/>
        <v>0</v>
      </c>
      <c r="DH66" s="16">
        <f t="shared" si="48"/>
        <v>1.1318259684926066</v>
      </c>
      <c r="DI66" s="29">
        <f t="shared" si="49"/>
        <v>483.9554624126867</v>
      </c>
      <c r="DJ66" s="29">
        <f t="shared" si="50"/>
        <v>427.58822989123524</v>
      </c>
      <c r="DK66" s="34"/>
      <c r="DL66" s="4"/>
      <c r="DM66" s="5"/>
      <c r="DN66" s="6"/>
      <c r="DO66" s="32"/>
      <c r="DP66" s="3"/>
      <c r="DQ66" s="4"/>
      <c r="DR66" s="5"/>
      <c r="DS66" s="6"/>
      <c r="DT66" s="14"/>
      <c r="DU66" s="13"/>
      <c r="DV66" s="2">
        <v>7</v>
      </c>
      <c r="DW66" s="26">
        <f t="shared" si="9"/>
        <v>700</v>
      </c>
      <c r="DX66" s="26">
        <f t="shared" si="28"/>
        <v>0</v>
      </c>
      <c r="DY66" s="16">
        <f t="shared" si="51"/>
        <v>1.0869224392728474</v>
      </c>
      <c r="DZ66" s="29">
        <f t="shared" si="52"/>
        <v>454.75514756446739</v>
      </c>
      <c r="EA66" s="29">
        <f t="shared" si="53"/>
        <v>418.38785467406416</v>
      </c>
      <c r="EB66" s="34"/>
      <c r="EC66" s="4"/>
      <c r="ED66" s="5"/>
      <c r="EE66" s="6"/>
      <c r="EF66" s="32"/>
      <c r="EG66" s="3"/>
      <c r="EH66" s="4"/>
      <c r="EI66" s="5"/>
      <c r="EJ66" s="6"/>
      <c r="EK66" s="14"/>
      <c r="EL66" s="13"/>
      <c r="EM66" s="2">
        <v>6</v>
      </c>
      <c r="EN66" s="26">
        <f t="shared" si="10"/>
        <v>600</v>
      </c>
      <c r="EO66" s="26">
        <f t="shared" si="29"/>
        <v>0</v>
      </c>
      <c r="EP66" s="16">
        <f t="shared" si="85"/>
        <v>1.0362795479463962</v>
      </c>
      <c r="EQ66" s="29">
        <f t="shared" si="54"/>
        <v>462.78600861623937</v>
      </c>
      <c r="ER66" s="29">
        <f t="shared" si="55"/>
        <v>446.58413797063372</v>
      </c>
      <c r="ES66" s="34"/>
      <c r="ET66" s="4"/>
      <c r="EU66" s="5"/>
      <c r="EV66" s="6"/>
      <c r="EW66" s="32"/>
      <c r="EX66" s="3"/>
      <c r="EY66" s="4"/>
      <c r="EZ66" s="5"/>
      <c r="FA66" s="6"/>
      <c r="FB66" s="14"/>
      <c r="FC66" s="13"/>
      <c r="FD66" s="2">
        <v>7</v>
      </c>
      <c r="FE66" s="26">
        <f t="shared" si="11"/>
        <v>700</v>
      </c>
      <c r="FF66" s="26">
        <f t="shared" si="30"/>
        <v>0</v>
      </c>
      <c r="FG66" s="16">
        <f t="shared" si="56"/>
        <v>1.0764558579237629</v>
      </c>
      <c r="FH66" s="29">
        <f t="shared" si="57"/>
        <v>515.75542666233878</v>
      </c>
      <c r="FI66" s="29">
        <f t="shared" si="58"/>
        <v>479.12361929741644</v>
      </c>
      <c r="FJ66" s="34"/>
      <c r="FK66" s="4"/>
      <c r="FL66" s="5"/>
      <c r="FM66" s="6"/>
      <c r="FN66" s="32"/>
      <c r="FO66" s="3"/>
      <c r="FP66" s="4"/>
      <c r="FQ66" s="5"/>
      <c r="FR66" s="6"/>
      <c r="FS66" s="14"/>
      <c r="FT66" s="13"/>
      <c r="FU66" s="2">
        <v>7</v>
      </c>
      <c r="FV66" s="26">
        <f t="shared" si="12"/>
        <v>700</v>
      </c>
      <c r="FW66" s="26">
        <f t="shared" si="31"/>
        <v>0</v>
      </c>
      <c r="FX66" s="16">
        <f t="shared" si="87"/>
        <v>1.0692658275957461</v>
      </c>
      <c r="FY66" s="29">
        <f t="shared" si="59"/>
        <v>526.64041206395518</v>
      </c>
      <c r="FZ66" s="29">
        <f t="shared" si="60"/>
        <v>492.52524346364925</v>
      </c>
      <c r="GA66" s="34"/>
      <c r="GB66" s="4"/>
      <c r="GC66" s="5"/>
      <c r="GD66" s="6"/>
      <c r="GE66" s="32"/>
      <c r="GF66" s="3"/>
      <c r="GG66" s="4"/>
      <c r="GH66" s="5"/>
      <c r="GI66" s="6"/>
      <c r="GJ66" s="14"/>
      <c r="GK66" s="13"/>
      <c r="GL66" s="2">
        <v>9</v>
      </c>
      <c r="GM66" s="26">
        <f t="shared" si="13"/>
        <v>900</v>
      </c>
      <c r="GN66" s="26">
        <f t="shared" si="32"/>
        <v>0</v>
      </c>
      <c r="GO66" s="16">
        <f t="shared" si="77"/>
        <v>1.1265756084849103</v>
      </c>
      <c r="GP66" s="29">
        <f t="shared" si="61"/>
        <v>611.93811762171322</v>
      </c>
      <c r="GQ66" s="29">
        <f t="shared" si="62"/>
        <v>543.18424170809635</v>
      </c>
      <c r="GR66" s="34"/>
      <c r="GS66" s="4"/>
      <c r="GT66" s="5"/>
      <c r="GU66" s="6"/>
      <c r="GV66" s="32"/>
      <c r="GW66" s="3"/>
      <c r="GX66" s="4"/>
      <c r="GY66" s="5"/>
      <c r="GZ66" s="6"/>
      <c r="HA66" s="14"/>
      <c r="HB66" s="13"/>
      <c r="HC66" s="2"/>
      <c r="HD66" s="26">
        <f t="shared" si="14"/>
        <v>0</v>
      </c>
      <c r="HE66" s="26">
        <f t="shared" si="33"/>
        <v>0</v>
      </c>
      <c r="HF66" s="16">
        <f t="shared" si="63"/>
        <v>0.55728771313696313</v>
      </c>
      <c r="HG66" s="29">
        <f t="shared" si="64"/>
        <v>101.71118096260567</v>
      </c>
      <c r="HH66" s="29">
        <f t="shared" si="65"/>
        <v>182.51107742906288</v>
      </c>
      <c r="HI66" s="34"/>
      <c r="HJ66" s="4"/>
      <c r="HK66" s="5"/>
      <c r="HL66" s="6"/>
      <c r="HM66" s="32"/>
      <c r="HN66" s="3"/>
      <c r="HO66" s="4"/>
      <c r="HP66" s="5"/>
      <c r="HQ66" s="6"/>
      <c r="HR66" s="14"/>
      <c r="HS66" s="13"/>
      <c r="HT66" s="2"/>
      <c r="HU66" s="26">
        <f t="shared" si="15"/>
        <v>0</v>
      </c>
      <c r="HV66" s="26">
        <f t="shared" si="34"/>
        <v>0</v>
      </c>
      <c r="HW66" s="16">
        <f t="shared" si="66"/>
        <v>0.13282875846653497</v>
      </c>
      <c r="HX66" s="29">
        <f t="shared" si="67"/>
        <v>10.684456599442136</v>
      </c>
      <c r="HY66" s="29">
        <f t="shared" si="68"/>
        <v>80.437826286948166</v>
      </c>
      <c r="HZ66" s="34"/>
      <c r="IA66" s="4"/>
      <c r="IB66" s="5"/>
      <c r="IC66" s="6"/>
      <c r="ID66" s="32"/>
      <c r="IE66" s="3"/>
      <c r="IF66" s="4"/>
      <c r="IG66" s="5"/>
      <c r="IH66" s="6"/>
      <c r="II66" s="14"/>
      <c r="IJ66" s="13"/>
      <c r="IK66" s="2"/>
      <c r="IL66" s="26">
        <f t="shared" si="16"/>
        <v>0</v>
      </c>
      <c r="IM66" s="26">
        <f t="shared" si="17"/>
        <v>5383.225926380821</v>
      </c>
      <c r="IN66" s="16">
        <f t="shared" si="69"/>
        <v>0.24935221821277459</v>
      </c>
      <c r="IO66" s="29">
        <f t="shared" si="70"/>
        <v>22.384092071579111</v>
      </c>
      <c r="IP66" s="29">
        <f t="shared" si="71"/>
        <v>89.768971104474218</v>
      </c>
      <c r="IQ66" s="34"/>
      <c r="IR66" s="4"/>
      <c r="IS66" s="5"/>
      <c r="IT66" s="6"/>
      <c r="IU66" s="32"/>
      <c r="IV66" s="3"/>
      <c r="IW66" s="4"/>
      <c r="IX66" s="5"/>
      <c r="IY66" s="6"/>
      <c r="IZ66" s="14"/>
      <c r="JA66" s="13"/>
      <c r="JB66" s="2"/>
      <c r="JC66" s="26">
        <f t="shared" si="18"/>
        <v>0</v>
      </c>
      <c r="JD66" s="26">
        <f t="shared" si="19"/>
        <v>3736.6754361377189</v>
      </c>
      <c r="JE66" s="16" t="e">
        <f t="shared" si="72"/>
        <v>#DIV/0!</v>
      </c>
      <c r="JF66" s="29">
        <f t="shared" si="73"/>
        <v>0</v>
      </c>
      <c r="JG66" s="29">
        <f t="shared" si="74"/>
        <v>0</v>
      </c>
      <c r="JH66" s="34"/>
      <c r="JI66" s="4"/>
      <c r="JJ66" s="5"/>
      <c r="JK66" s="6"/>
      <c r="JL66" s="32"/>
      <c r="JM66" s="3"/>
      <c r="JN66" s="4"/>
      <c r="JO66" s="5"/>
      <c r="JP66" s="6"/>
      <c r="JQ66" s="14"/>
      <c r="JR66" s="99"/>
      <c r="JS66" s="99"/>
      <c r="JT66" s="99"/>
      <c r="JU66" s="99"/>
      <c r="JV66" s="99"/>
      <c r="JW66" s="99"/>
      <c r="JX66" s="99"/>
      <c r="JY66" s="99"/>
      <c r="JZ66" s="99"/>
      <c r="KA66" s="99"/>
      <c r="KB66" s="99"/>
      <c r="KC66" s="99"/>
      <c r="KD66" s="99"/>
      <c r="KE66" s="99"/>
      <c r="KF66" s="99"/>
      <c r="KG66" s="99"/>
      <c r="KH66" s="99"/>
      <c r="KI66" s="99"/>
      <c r="KJ66" s="99"/>
      <c r="KK66" s="99"/>
      <c r="KL66" s="99"/>
      <c r="KM66" s="99"/>
      <c r="KN66" s="99"/>
      <c r="KO66" s="99"/>
      <c r="KP66" s="99"/>
      <c r="KQ66" s="99"/>
      <c r="KR66" s="99"/>
      <c r="KS66" s="99"/>
      <c r="KT66" s="99"/>
      <c r="KU66" s="99"/>
      <c r="KV66" s="99"/>
      <c r="KW66" s="99"/>
      <c r="KX66" s="99"/>
      <c r="KY66" s="99"/>
      <c r="KZ66" s="99"/>
      <c r="LA66" s="99"/>
      <c r="LB66" s="99"/>
      <c r="LC66" s="99"/>
      <c r="LD66" s="99"/>
      <c r="LE66" s="99"/>
      <c r="LF66" s="99"/>
      <c r="LG66" s="99"/>
      <c r="LH66" s="99"/>
      <c r="LI66" s="99"/>
      <c r="LJ66" s="99"/>
      <c r="LK66" s="99"/>
      <c r="LL66" s="99"/>
      <c r="LM66" s="99"/>
      <c r="LN66" s="99"/>
      <c r="LO66" s="99"/>
      <c r="LP66" s="99"/>
      <c r="LQ66" s="99"/>
      <c r="LR66" s="99"/>
      <c r="LS66" s="99"/>
      <c r="LT66" s="99"/>
      <c r="LU66" s="99"/>
      <c r="LV66" s="99"/>
      <c r="LW66" s="99"/>
      <c r="LX66" s="99"/>
      <c r="LY66" s="99"/>
      <c r="LZ66" s="99"/>
      <c r="MA66" s="99"/>
      <c r="MB66" s="99"/>
      <c r="MC66" s="99"/>
      <c r="MD66" s="99"/>
      <c r="ME66" s="99"/>
      <c r="MF66" s="99"/>
    </row>
    <row r="67" spans="1:344" ht="17.25" customHeight="1" x14ac:dyDescent="0.25">
      <c r="A67" s="155" t="s">
        <v>15</v>
      </c>
      <c r="B67" s="79" t="s">
        <v>1</v>
      </c>
      <c r="C67" s="80">
        <v>45201</v>
      </c>
      <c r="D67" s="50"/>
      <c r="G67" s="36">
        <f t="shared" si="0"/>
        <v>0</v>
      </c>
      <c r="H67" s="27">
        <f t="shared" si="1"/>
        <v>0</v>
      </c>
      <c r="I67" s="47"/>
      <c r="K67" s="105"/>
      <c r="L67" s="89">
        <f t="shared" si="2"/>
        <v>0</v>
      </c>
      <c r="M67" s="27">
        <f t="shared" si="20"/>
        <v>0</v>
      </c>
      <c r="N67" s="35">
        <f t="shared" si="21"/>
        <v>0</v>
      </c>
      <c r="O67" s="97"/>
      <c r="P67" s="149">
        <f t="shared" ref="P67" si="91">SUM(N67:N73)</f>
        <v>3328.5708333333337</v>
      </c>
      <c r="W67" s="11">
        <v>0</v>
      </c>
      <c r="X67" s="1">
        <v>0</v>
      </c>
      <c r="Y67" s="27">
        <f t="shared" si="3"/>
        <v>0</v>
      </c>
      <c r="Z67" s="27">
        <f t="shared" si="22"/>
        <v>0</v>
      </c>
      <c r="AA67" s="15">
        <f t="shared" si="80"/>
        <v>0.96488921503630032</v>
      </c>
      <c r="AB67" s="43">
        <f t="shared" si="81"/>
        <v>465.50166276512556</v>
      </c>
      <c r="AC67" s="43">
        <f t="shared" si="82"/>
        <v>482.4405284161175</v>
      </c>
      <c r="AD67" s="33"/>
      <c r="AH67" s="31"/>
      <c r="AN67" s="86"/>
      <c r="AO67" s="87"/>
      <c r="AP67" s="27">
        <f t="shared" si="4"/>
        <v>0</v>
      </c>
      <c r="AQ67" s="27">
        <f t="shared" si="23"/>
        <v>0</v>
      </c>
      <c r="AR67" s="15">
        <f t="shared" si="83"/>
        <v>0.88867352490795049</v>
      </c>
      <c r="AS67" s="28">
        <f t="shared" si="37"/>
        <v>373.92157803567</v>
      </c>
      <c r="AT67" s="28">
        <f t="shared" si="38"/>
        <v>420.76371980857772</v>
      </c>
      <c r="AU67" s="33"/>
      <c r="AY67" s="31"/>
      <c r="BG67" s="27">
        <f t="shared" si="5"/>
        <v>0</v>
      </c>
      <c r="BH67" s="27">
        <f t="shared" si="24"/>
        <v>0</v>
      </c>
      <c r="BI67" s="15">
        <f t="shared" si="39"/>
        <v>0.86042439881568333</v>
      </c>
      <c r="BJ67" s="28">
        <f t="shared" si="40"/>
        <v>315.3547165034804</v>
      </c>
      <c r="BK67" s="28">
        <f t="shared" si="41"/>
        <v>366.5106625724992</v>
      </c>
      <c r="BL67" s="33"/>
      <c r="BP67" s="31"/>
      <c r="BX67" s="27">
        <f t="shared" si="6"/>
        <v>0</v>
      </c>
      <c r="BY67" s="27">
        <f t="shared" si="25"/>
        <v>0</v>
      </c>
      <c r="BZ67" s="15">
        <f t="shared" si="42"/>
        <v>0.85878997218299158</v>
      </c>
      <c r="CA67" s="28">
        <f t="shared" si="43"/>
        <v>403.91207346540943</v>
      </c>
      <c r="CB67" s="28">
        <f t="shared" si="44"/>
        <v>470.32695600612294</v>
      </c>
      <c r="CC67" s="33"/>
      <c r="CG67" s="31"/>
      <c r="CO67" s="27">
        <f t="shared" si="7"/>
        <v>0</v>
      </c>
      <c r="CP67" s="27">
        <f t="shared" si="26"/>
        <v>0</v>
      </c>
      <c r="CQ67" s="15">
        <f t="shared" si="45"/>
        <v>1.006444803940582</v>
      </c>
      <c r="CR67" s="28">
        <f t="shared" si="46"/>
        <v>279.58003657948325</v>
      </c>
      <c r="CS67" s="28">
        <f t="shared" si="47"/>
        <v>277.78973619301331</v>
      </c>
      <c r="CT67" s="33"/>
      <c r="CX67" s="31"/>
      <c r="DF67" s="27">
        <f t="shared" si="8"/>
        <v>0</v>
      </c>
      <c r="DG67" s="27">
        <f t="shared" si="27"/>
        <v>0</v>
      </c>
      <c r="DH67" s="15">
        <f t="shared" si="48"/>
        <v>0.91174869684126658</v>
      </c>
      <c r="DI67" s="28">
        <f t="shared" si="49"/>
        <v>362.96659680951501</v>
      </c>
      <c r="DJ67" s="28">
        <f t="shared" si="50"/>
        <v>398.09938645046037</v>
      </c>
      <c r="DK67" s="33"/>
      <c r="DO67" s="31"/>
      <c r="DW67" s="27">
        <f t="shared" si="9"/>
        <v>0</v>
      </c>
      <c r="DX67" s="27">
        <f t="shared" si="28"/>
        <v>0</v>
      </c>
      <c r="DY67" s="15">
        <f t="shared" si="51"/>
        <v>0.87557640941423831</v>
      </c>
      <c r="DZ67" s="28">
        <f t="shared" si="52"/>
        <v>341.06636067335057</v>
      </c>
      <c r="EA67" s="28">
        <f t="shared" si="53"/>
        <v>389.53351986895626</v>
      </c>
      <c r="EB67" s="33"/>
      <c r="EF67" s="31"/>
      <c r="EN67" s="27">
        <f t="shared" si="10"/>
        <v>0</v>
      </c>
      <c r="EO67" s="27">
        <f t="shared" si="29"/>
        <v>0</v>
      </c>
      <c r="EP67" s="15">
        <f t="shared" si="85"/>
        <v>0.83478074695681925</v>
      </c>
      <c r="EQ67" s="28">
        <f t="shared" si="54"/>
        <v>347.08950646217954</v>
      </c>
      <c r="ER67" s="28">
        <f t="shared" si="55"/>
        <v>415.78523190369344</v>
      </c>
      <c r="ES67" s="33"/>
      <c r="EW67" s="31"/>
      <c r="FE67" s="27">
        <f t="shared" si="11"/>
        <v>0</v>
      </c>
      <c r="FF67" s="27">
        <f t="shared" si="30"/>
        <v>0</v>
      </c>
      <c r="FG67" s="15">
        <f t="shared" si="56"/>
        <v>0.86714499666080902</v>
      </c>
      <c r="FH67" s="28">
        <f t="shared" si="57"/>
        <v>386.81656999675408</v>
      </c>
      <c r="FI67" s="28">
        <f t="shared" si="58"/>
        <v>446.08061107000839</v>
      </c>
      <c r="FJ67" s="33"/>
      <c r="FN67" s="31"/>
      <c r="FV67" s="27">
        <f t="shared" si="12"/>
        <v>0</v>
      </c>
      <c r="FW67" s="27">
        <f t="shared" si="31"/>
        <v>0</v>
      </c>
      <c r="FX67" s="15">
        <f t="shared" si="87"/>
        <v>0.86135302778546208</v>
      </c>
      <c r="FY67" s="28">
        <f t="shared" si="59"/>
        <v>394.98030904796639</v>
      </c>
      <c r="FZ67" s="28">
        <f t="shared" si="60"/>
        <v>458.55798529374238</v>
      </c>
      <c r="GA67" s="33"/>
      <c r="GE67" s="31"/>
      <c r="GM67" s="27">
        <f t="shared" si="13"/>
        <v>0</v>
      </c>
      <c r="GN67" s="27">
        <f t="shared" si="32"/>
        <v>0</v>
      </c>
      <c r="GO67" s="15">
        <f t="shared" si="77"/>
        <v>0.90751924016840002</v>
      </c>
      <c r="GP67" s="28">
        <f t="shared" si="61"/>
        <v>458.95358821628491</v>
      </c>
      <c r="GQ67" s="28">
        <f t="shared" si="62"/>
        <v>505.72325952133104</v>
      </c>
      <c r="GR67" s="33"/>
      <c r="GV67" s="31"/>
      <c r="HD67" s="27">
        <f t="shared" si="14"/>
        <v>0</v>
      </c>
      <c r="HE67" s="27">
        <f t="shared" si="33"/>
        <v>0</v>
      </c>
      <c r="HF67" s="15">
        <f t="shared" si="63"/>
        <v>0.44892621336033145</v>
      </c>
      <c r="HG67" s="28">
        <f t="shared" si="64"/>
        <v>76.283385721954247</v>
      </c>
      <c r="HH67" s="28">
        <f t="shared" si="65"/>
        <v>169.92410657188611</v>
      </c>
      <c r="HI67" s="33"/>
      <c r="HM67" s="31"/>
      <c r="HU67" s="27">
        <f t="shared" si="15"/>
        <v>0</v>
      </c>
      <c r="HV67" s="27">
        <f t="shared" si="34"/>
        <v>0</v>
      </c>
      <c r="HW67" s="15">
        <f t="shared" si="66"/>
        <v>0.10700094432026427</v>
      </c>
      <c r="HX67" s="28">
        <f t="shared" si="67"/>
        <v>8.0133424495816019</v>
      </c>
      <c r="HY67" s="28">
        <f t="shared" si="68"/>
        <v>74.890389991296573</v>
      </c>
      <c r="HZ67" s="33"/>
      <c r="ID67" s="31"/>
      <c r="II67" s="12"/>
      <c r="IL67" s="27">
        <f t="shared" si="16"/>
        <v>0</v>
      </c>
      <c r="IM67" s="27">
        <f t="shared" si="17"/>
        <v>3969.8594438088016</v>
      </c>
      <c r="IN67" s="15">
        <f t="shared" si="69"/>
        <v>0.20086706467140172</v>
      </c>
      <c r="IO67" s="28">
        <f t="shared" si="70"/>
        <v>16.788069053684332</v>
      </c>
      <c r="IP67" s="28">
        <f t="shared" si="71"/>
        <v>83.578007580027716</v>
      </c>
      <c r="IQ67" s="33"/>
      <c r="IU67" s="31"/>
      <c r="JC67" s="27">
        <f t="shared" si="18"/>
        <v>0</v>
      </c>
      <c r="JD67" s="27">
        <f t="shared" si="19"/>
        <v>2510.2881616948216</v>
      </c>
      <c r="JE67" s="15" t="e">
        <f t="shared" si="72"/>
        <v>#DIV/0!</v>
      </c>
      <c r="JF67" s="28">
        <f t="shared" si="73"/>
        <v>0</v>
      </c>
      <c r="JG67" s="28">
        <f t="shared" si="74"/>
        <v>0</v>
      </c>
      <c r="JH67" s="33"/>
      <c r="JL67" s="31"/>
      <c r="JR67" s="99"/>
      <c r="JS67" s="99"/>
      <c r="JT67" s="99"/>
      <c r="JU67" s="99"/>
      <c r="JV67" s="99"/>
      <c r="JW67" s="99"/>
      <c r="JX67" s="99"/>
      <c r="JY67" s="99"/>
      <c r="JZ67" s="99"/>
      <c r="KA67" s="99"/>
      <c r="KB67" s="99"/>
      <c r="KC67" s="99"/>
      <c r="KD67" s="99"/>
      <c r="KE67" s="99"/>
      <c r="KF67" s="99"/>
      <c r="KG67" s="99"/>
      <c r="KH67" s="99"/>
      <c r="KI67" s="99"/>
      <c r="KJ67" s="99"/>
      <c r="KK67" s="99"/>
      <c r="KL67" s="99"/>
      <c r="KM67" s="99"/>
      <c r="KN67" s="99"/>
      <c r="KO67" s="99"/>
      <c r="KP67" s="99"/>
      <c r="KQ67" s="99"/>
      <c r="KR67" s="99"/>
      <c r="KS67" s="99"/>
      <c r="KT67" s="99"/>
      <c r="KU67" s="99"/>
      <c r="KV67" s="99"/>
      <c r="KW67" s="99"/>
      <c r="KX67" s="99"/>
      <c r="KY67" s="99"/>
      <c r="KZ67" s="99"/>
      <c r="LA67" s="99"/>
      <c r="LB67" s="99"/>
      <c r="LC67" s="99"/>
      <c r="LD67" s="99"/>
      <c r="LE67" s="99"/>
      <c r="LF67" s="99"/>
      <c r="LG67" s="99"/>
      <c r="LH67" s="99"/>
      <c r="LI67" s="99"/>
      <c r="LJ67" s="99"/>
      <c r="LK67" s="99"/>
      <c r="LL67" s="99"/>
      <c r="LM67" s="99"/>
      <c r="LN67" s="99"/>
      <c r="LO67" s="99"/>
      <c r="LP67" s="99"/>
      <c r="LQ67" s="99"/>
      <c r="LR67" s="99"/>
      <c r="LS67" s="99"/>
      <c r="LT67" s="99"/>
      <c r="LU67" s="99"/>
      <c r="LV67" s="99"/>
      <c r="LW67" s="99"/>
      <c r="LX67" s="99"/>
      <c r="LY67" s="99"/>
      <c r="LZ67" s="99"/>
      <c r="MA67" s="99"/>
      <c r="MB67" s="99"/>
      <c r="MC67" s="99"/>
      <c r="MD67" s="99"/>
      <c r="ME67" s="99"/>
      <c r="MF67" s="99"/>
    </row>
    <row r="68" spans="1:344" ht="17.25" customHeight="1" x14ac:dyDescent="0.25">
      <c r="A68" s="156"/>
      <c r="B68" s="81" t="s">
        <v>2</v>
      </c>
      <c r="C68" s="82">
        <v>45202</v>
      </c>
      <c r="D68" s="49">
        <v>12</v>
      </c>
      <c r="F68" s="103">
        <v>80</v>
      </c>
      <c r="G68" s="89">
        <f t="shared" si="0"/>
        <v>6.7777777777777777</v>
      </c>
      <c r="H68" s="35">
        <f t="shared" si="1"/>
        <v>542.22222222222217</v>
      </c>
      <c r="I68" s="39"/>
      <c r="L68" s="89">
        <f t="shared" si="2"/>
        <v>0</v>
      </c>
      <c r="M68" s="35">
        <f t="shared" si="20"/>
        <v>0</v>
      </c>
      <c r="N68" s="35">
        <f t="shared" si="21"/>
        <v>542.22222222222217</v>
      </c>
      <c r="O68" s="97"/>
      <c r="P68" s="150"/>
      <c r="W68" s="11">
        <v>7</v>
      </c>
      <c r="X68" s="1">
        <v>0</v>
      </c>
      <c r="Y68" s="35">
        <f t="shared" si="3"/>
        <v>560</v>
      </c>
      <c r="Z68" s="35">
        <f t="shared" si="22"/>
        <v>0</v>
      </c>
      <c r="AA68" s="15">
        <f t="shared" si="80"/>
        <v>1.0027405052783478</v>
      </c>
      <c r="AB68" s="43">
        <f t="shared" si="81"/>
        <v>489.12624707384418</v>
      </c>
      <c r="AC68" s="43">
        <f t="shared" si="82"/>
        <v>487.78945749086802</v>
      </c>
      <c r="AD68" s="33"/>
      <c r="AH68" s="31"/>
      <c r="AN68" s="86"/>
      <c r="AO68" s="87"/>
      <c r="AP68" s="35">
        <f t="shared" si="4"/>
        <v>0</v>
      </c>
      <c r="AQ68" s="35">
        <f t="shared" si="23"/>
        <v>0</v>
      </c>
      <c r="AR68" s="15">
        <f t="shared" si="83"/>
        <v>0.71587589506473803</v>
      </c>
      <c r="AS68" s="28">
        <f t="shared" si="37"/>
        <v>280.44118352675252</v>
      </c>
      <c r="AT68" s="28">
        <f t="shared" si="38"/>
        <v>391.74553223557234</v>
      </c>
      <c r="AU68" s="33"/>
      <c r="AY68" s="31"/>
      <c r="BE68" s="11">
        <v>7</v>
      </c>
      <c r="BG68" s="35">
        <f t="shared" si="5"/>
        <v>560</v>
      </c>
      <c r="BH68" s="35">
        <f t="shared" si="24"/>
        <v>0</v>
      </c>
      <c r="BI68" s="15">
        <f t="shared" si="39"/>
        <v>0.99121054195320513</v>
      </c>
      <c r="BJ68" s="28">
        <f t="shared" si="40"/>
        <v>376.5160373776103</v>
      </c>
      <c r="BK68" s="28">
        <f t="shared" si="41"/>
        <v>379.85475480887851</v>
      </c>
      <c r="BL68" s="33"/>
      <c r="BP68" s="31"/>
      <c r="BV68" s="11">
        <v>6.5</v>
      </c>
      <c r="BX68" s="35">
        <f t="shared" si="6"/>
        <v>520</v>
      </c>
      <c r="BY68" s="35">
        <f t="shared" si="25"/>
        <v>0</v>
      </c>
      <c r="BZ68" s="15">
        <f t="shared" si="42"/>
        <v>0.91383979547043326</v>
      </c>
      <c r="CA68" s="28">
        <f t="shared" si="43"/>
        <v>432.9340550990571</v>
      </c>
      <c r="CB68" s="28">
        <f t="shared" si="44"/>
        <v>473.75268317811447</v>
      </c>
      <c r="CC68" s="33"/>
      <c r="CG68" s="31"/>
      <c r="CM68" s="11">
        <v>7</v>
      </c>
      <c r="CO68" s="35">
        <f t="shared" si="7"/>
        <v>560</v>
      </c>
      <c r="CP68" s="35">
        <f t="shared" si="26"/>
        <v>0</v>
      </c>
      <c r="CQ68" s="15">
        <f t="shared" si="45"/>
        <v>1.1763904832859684</v>
      </c>
      <c r="CR68" s="28">
        <f t="shared" si="46"/>
        <v>349.68502743461244</v>
      </c>
      <c r="CS68" s="28">
        <f t="shared" si="47"/>
        <v>297.25251300728826</v>
      </c>
      <c r="CT68" s="33"/>
      <c r="CX68" s="31"/>
      <c r="DD68" s="11">
        <v>5.5</v>
      </c>
      <c r="DF68" s="35">
        <f t="shared" si="8"/>
        <v>440</v>
      </c>
      <c r="DG68" s="35">
        <f t="shared" si="27"/>
        <v>0</v>
      </c>
      <c r="DH68" s="15">
        <f t="shared" si="48"/>
        <v>0.95320536872154749</v>
      </c>
      <c r="DI68" s="28">
        <f t="shared" si="49"/>
        <v>382.22494760713624</v>
      </c>
      <c r="DJ68" s="28">
        <f t="shared" si="50"/>
        <v>400.98908393663555</v>
      </c>
      <c r="DK68" s="33"/>
      <c r="DO68" s="31"/>
      <c r="DU68" s="86"/>
      <c r="DV68" s="87"/>
      <c r="DW68" s="35">
        <f t="shared" si="9"/>
        <v>0</v>
      </c>
      <c r="DX68" s="35">
        <f t="shared" si="28"/>
        <v>0</v>
      </c>
      <c r="DY68" s="15">
        <f t="shared" si="51"/>
        <v>0.70532544091702531</v>
      </c>
      <c r="DZ68" s="28">
        <f t="shared" si="52"/>
        <v>255.79977050501293</v>
      </c>
      <c r="EA68" s="28">
        <f t="shared" si="53"/>
        <v>362.66913918833859</v>
      </c>
      <c r="EB68" s="33"/>
      <c r="EF68" s="31"/>
      <c r="EL68" s="11">
        <v>7</v>
      </c>
      <c r="EN68" s="35">
        <f t="shared" si="10"/>
        <v>560</v>
      </c>
      <c r="EO68" s="35">
        <f t="shared" si="29"/>
        <v>0</v>
      </c>
      <c r="EP68" s="15">
        <f t="shared" si="85"/>
        <v>0.94030516105779383</v>
      </c>
      <c r="EQ68" s="28">
        <f t="shared" si="54"/>
        <v>400.31712984663466</v>
      </c>
      <c r="ER68" s="28">
        <f t="shared" si="55"/>
        <v>425.73107797930084</v>
      </c>
      <c r="ES68" s="33"/>
      <c r="EW68" s="31"/>
      <c r="FC68" s="11">
        <v>8</v>
      </c>
      <c r="FE68" s="35">
        <f t="shared" si="11"/>
        <v>640</v>
      </c>
      <c r="FF68" s="35">
        <f t="shared" si="30"/>
        <v>0</v>
      </c>
      <c r="FG68" s="15">
        <f t="shared" si="56"/>
        <v>0.97966732867255335</v>
      </c>
      <c r="FH68" s="28">
        <f t="shared" si="57"/>
        <v>450.11242749756559</v>
      </c>
      <c r="FI68" s="28">
        <f t="shared" si="58"/>
        <v>459.45436203069744</v>
      </c>
      <c r="FJ68" s="33"/>
      <c r="FN68" s="31"/>
      <c r="FT68" s="11">
        <v>5</v>
      </c>
      <c r="FV68" s="35">
        <f t="shared" si="12"/>
        <v>400</v>
      </c>
      <c r="FW68" s="35">
        <f t="shared" si="31"/>
        <v>0</v>
      </c>
      <c r="FX68" s="15">
        <f t="shared" si="87"/>
        <v>0.87176728103364265</v>
      </c>
      <c r="FY68" s="28">
        <f t="shared" si="59"/>
        <v>396.2352317859748</v>
      </c>
      <c r="FZ68" s="28">
        <f t="shared" si="60"/>
        <v>454.51950354934638</v>
      </c>
      <c r="GA68" s="33"/>
      <c r="GE68" s="31"/>
      <c r="GK68" s="11">
        <v>8</v>
      </c>
      <c r="GM68" s="35">
        <f t="shared" si="13"/>
        <v>640</v>
      </c>
      <c r="GN68" s="35">
        <f t="shared" si="32"/>
        <v>0</v>
      </c>
      <c r="GO68" s="15">
        <f t="shared" si="77"/>
        <v>0.97908956592241936</v>
      </c>
      <c r="GP68" s="28">
        <f t="shared" si="61"/>
        <v>504.21519116221367</v>
      </c>
      <c r="GQ68" s="28">
        <f t="shared" si="62"/>
        <v>514.98372438192894</v>
      </c>
      <c r="GR68" s="33"/>
      <c r="GV68" s="31"/>
      <c r="HB68" s="11">
        <v>6</v>
      </c>
      <c r="HD68" s="35">
        <f t="shared" si="14"/>
        <v>480</v>
      </c>
      <c r="HE68" s="35">
        <f t="shared" si="33"/>
        <v>0</v>
      </c>
      <c r="HF68" s="15">
        <f t="shared" si="63"/>
        <v>0.92631743737122285</v>
      </c>
      <c r="HG68" s="28">
        <f t="shared" si="64"/>
        <v>177.2125392914657</v>
      </c>
      <c r="HH68" s="28">
        <f t="shared" si="65"/>
        <v>191.3086509462388</v>
      </c>
      <c r="HI68" s="33"/>
      <c r="HM68" s="31"/>
      <c r="HU68" s="35">
        <f t="shared" si="15"/>
        <v>0</v>
      </c>
      <c r="HV68" s="35">
        <f t="shared" si="34"/>
        <v>0</v>
      </c>
      <c r="HW68" s="15">
        <f t="shared" si="66"/>
        <v>8.6195205146879575E-2</v>
      </c>
      <c r="HX68" s="28">
        <f t="shared" si="67"/>
        <v>6.0100068371862019</v>
      </c>
      <c r="HY68" s="28">
        <f t="shared" si="68"/>
        <v>69.725535509138183</v>
      </c>
      <c r="HZ68" s="33"/>
      <c r="ID68" s="31"/>
      <c r="II68" s="12"/>
      <c r="IL68" s="35">
        <f t="shared" si="16"/>
        <v>0</v>
      </c>
      <c r="IM68" s="35">
        <f t="shared" si="17"/>
        <v>4623.2411556732113</v>
      </c>
      <c r="IN68" s="15">
        <f t="shared" si="69"/>
        <v>0.16180957987418476</v>
      </c>
      <c r="IO68" s="28">
        <f t="shared" si="70"/>
        <v>12.591051790263249</v>
      </c>
      <c r="IP68" s="28">
        <f t="shared" si="71"/>
        <v>77.814007057267176</v>
      </c>
      <c r="IQ68" s="33"/>
      <c r="IU68" s="31"/>
      <c r="JC68" s="35">
        <f t="shared" si="18"/>
        <v>0</v>
      </c>
      <c r="JD68" s="35">
        <f t="shared" si="19"/>
        <v>3448.5318462247487</v>
      </c>
      <c r="JE68" s="15" t="e">
        <f t="shared" si="72"/>
        <v>#DIV/0!</v>
      </c>
      <c r="JF68" s="28">
        <f t="shared" si="73"/>
        <v>0</v>
      </c>
      <c r="JG68" s="28">
        <f t="shared" si="74"/>
        <v>0</v>
      </c>
      <c r="JH68" s="33"/>
      <c r="JL68" s="31"/>
      <c r="JR68" s="99"/>
      <c r="JS68" s="99"/>
      <c r="JT68" s="99"/>
      <c r="JU68" s="99"/>
      <c r="JV68" s="99"/>
      <c r="JW68" s="99"/>
      <c r="JX68" s="99"/>
      <c r="JY68" s="99"/>
      <c r="JZ68" s="99"/>
      <c r="KA68" s="99"/>
      <c r="KB68" s="99"/>
      <c r="KC68" s="99"/>
      <c r="KD68" s="99"/>
      <c r="KE68" s="99"/>
      <c r="KF68" s="99"/>
      <c r="KG68" s="99"/>
      <c r="KH68" s="99"/>
      <c r="KI68" s="99"/>
      <c r="KJ68" s="99"/>
      <c r="KK68" s="99"/>
      <c r="KL68" s="99"/>
      <c r="KM68" s="99"/>
      <c r="KN68" s="99"/>
      <c r="KO68" s="99"/>
      <c r="KP68" s="99"/>
      <c r="KQ68" s="99"/>
      <c r="KR68" s="99"/>
      <c r="KS68" s="99"/>
      <c r="KT68" s="99"/>
      <c r="KU68" s="99"/>
      <c r="KV68" s="99"/>
      <c r="KW68" s="99"/>
      <c r="KX68" s="99"/>
      <c r="KY68" s="99"/>
      <c r="KZ68" s="99"/>
      <c r="LA68" s="99"/>
      <c r="LB68" s="99"/>
      <c r="LC68" s="99"/>
      <c r="LD68" s="99"/>
      <c r="LE68" s="99"/>
      <c r="LF68" s="99"/>
      <c r="LG68" s="99"/>
      <c r="LH68" s="99"/>
      <c r="LI68" s="99"/>
      <c r="LJ68" s="99"/>
      <c r="LK68" s="99"/>
      <c r="LL68" s="99"/>
      <c r="LM68" s="99"/>
      <c r="LN68" s="99"/>
      <c r="LO68" s="99"/>
      <c r="LP68" s="99"/>
      <c r="LQ68" s="99"/>
      <c r="LR68" s="99"/>
      <c r="LS68" s="99"/>
      <c r="LT68" s="99"/>
      <c r="LU68" s="99"/>
      <c r="LV68" s="99"/>
      <c r="LW68" s="99"/>
      <c r="LX68" s="99"/>
      <c r="LY68" s="99"/>
      <c r="LZ68" s="99"/>
      <c r="MA68" s="99"/>
      <c r="MB68" s="99"/>
      <c r="MC68" s="99"/>
      <c r="MD68" s="99"/>
      <c r="ME68" s="99"/>
      <c r="MF68" s="99"/>
    </row>
    <row r="69" spans="1:344" ht="17.25" customHeight="1" x14ac:dyDescent="0.25">
      <c r="A69" s="156"/>
      <c r="B69" s="81" t="s">
        <v>3</v>
      </c>
      <c r="C69" s="82">
        <v>45203</v>
      </c>
      <c r="D69" s="49" t="s">
        <v>89</v>
      </c>
      <c r="F69" s="103">
        <v>45</v>
      </c>
      <c r="G69" s="89">
        <f t="shared" si="0"/>
        <v>3.5</v>
      </c>
      <c r="H69" s="35">
        <f t="shared" si="1"/>
        <v>157.5</v>
      </c>
      <c r="I69" s="39">
        <v>12</v>
      </c>
      <c r="K69" s="103">
        <v>110</v>
      </c>
      <c r="L69" s="89">
        <f t="shared" si="2"/>
        <v>7.5922222222222224</v>
      </c>
      <c r="M69" s="35">
        <f t="shared" si="20"/>
        <v>835.1444444444445</v>
      </c>
      <c r="N69" s="35">
        <f t="shared" si="21"/>
        <v>992.6444444444445</v>
      </c>
      <c r="O69" s="97"/>
      <c r="P69" s="150"/>
      <c r="W69" s="11">
        <v>3.5</v>
      </c>
      <c r="X69" s="1">
        <v>9</v>
      </c>
      <c r="Y69" s="35">
        <f t="shared" si="3"/>
        <v>1147.5</v>
      </c>
      <c r="Z69" s="35">
        <f t="shared" si="22"/>
        <v>0</v>
      </c>
      <c r="AA69" s="15">
        <f t="shared" si="80"/>
        <v>1.2258315101925017</v>
      </c>
      <c r="AB69" s="43">
        <f t="shared" si="81"/>
        <v>653.71968530538311</v>
      </c>
      <c r="AC69" s="43">
        <f t="shared" si="82"/>
        <v>533.28673628460126</v>
      </c>
      <c r="AD69" s="33"/>
      <c r="AH69" s="31"/>
      <c r="AN69" s="86"/>
      <c r="AO69" s="87"/>
      <c r="AP69" s="35">
        <f t="shared" si="4"/>
        <v>0</v>
      </c>
      <c r="AQ69" s="35">
        <f t="shared" si="23"/>
        <v>0</v>
      </c>
      <c r="AR69" s="15">
        <f t="shared" si="83"/>
        <v>0.57667780435770566</v>
      </c>
      <c r="AS69" s="28">
        <f t="shared" si="37"/>
        <v>210.33088764506439</v>
      </c>
      <c r="AT69" s="28">
        <f t="shared" si="38"/>
        <v>364.72859897794666</v>
      </c>
      <c r="AU69" s="33"/>
      <c r="AY69" s="31"/>
      <c r="BE69" s="11">
        <v>3.5</v>
      </c>
      <c r="BF69" s="1">
        <v>9</v>
      </c>
      <c r="BG69" s="35">
        <f t="shared" si="5"/>
        <v>1147.5</v>
      </c>
      <c r="BH69" s="35">
        <f t="shared" si="24"/>
        <v>0</v>
      </c>
      <c r="BI69" s="15">
        <f t="shared" si="39"/>
        <v>1.3153131797408031</v>
      </c>
      <c r="BJ69" s="28">
        <f t="shared" si="40"/>
        <v>569.2620280332078</v>
      </c>
      <c r="BK69" s="28">
        <f t="shared" si="41"/>
        <v>432.7958062013696</v>
      </c>
      <c r="BL69" s="33"/>
      <c r="BP69" s="31"/>
      <c r="BV69" s="11">
        <v>3.5</v>
      </c>
      <c r="BW69" s="1">
        <v>7</v>
      </c>
      <c r="BX69" s="35">
        <f t="shared" si="6"/>
        <v>927.5</v>
      </c>
      <c r="BY69" s="35">
        <f t="shared" si="25"/>
        <v>0</v>
      </c>
      <c r="BZ69" s="15">
        <f t="shared" si="42"/>
        <v>1.1020302712933239</v>
      </c>
      <c r="CA69" s="28">
        <f t="shared" si="43"/>
        <v>556.57554132429277</v>
      </c>
      <c r="CB69" s="28">
        <f t="shared" si="44"/>
        <v>505.04560157962379</v>
      </c>
      <c r="CC69" s="33"/>
      <c r="CG69" s="31"/>
      <c r="CM69" s="11">
        <v>3.5</v>
      </c>
      <c r="CN69" s="1">
        <v>8.5</v>
      </c>
      <c r="CO69" s="35">
        <f t="shared" si="7"/>
        <v>1092.5</v>
      </c>
      <c r="CP69" s="35">
        <f t="shared" si="26"/>
        <v>0</v>
      </c>
      <c r="CQ69" s="15">
        <f t="shared" si="45"/>
        <v>1.5205710818632445</v>
      </c>
      <c r="CR69" s="28">
        <f t="shared" si="46"/>
        <v>535.38877057595937</v>
      </c>
      <c r="CS69" s="28">
        <f t="shared" si="47"/>
        <v>352.09716728264766</v>
      </c>
      <c r="CT69" s="33"/>
      <c r="CX69" s="31"/>
      <c r="DD69" s="11">
        <v>3.5</v>
      </c>
      <c r="DE69" s="1">
        <v>5.5</v>
      </c>
      <c r="DF69" s="35">
        <f t="shared" si="8"/>
        <v>762.5</v>
      </c>
      <c r="DG69" s="35">
        <f t="shared" si="27"/>
        <v>0</v>
      </c>
      <c r="DH69" s="15">
        <f t="shared" si="48"/>
        <v>1.1206159240402307</v>
      </c>
      <c r="DI69" s="28">
        <f t="shared" si="49"/>
        <v>477.29371070535217</v>
      </c>
      <c r="DJ69" s="28">
        <f t="shared" si="50"/>
        <v>425.92087125135038</v>
      </c>
      <c r="DK69" s="33"/>
      <c r="DO69" s="31"/>
      <c r="DU69" s="86"/>
      <c r="DV69" s="87"/>
      <c r="DW69" s="35">
        <f t="shared" si="9"/>
        <v>0</v>
      </c>
      <c r="DX69" s="35">
        <f t="shared" si="28"/>
        <v>0</v>
      </c>
      <c r="DY69" s="15">
        <f t="shared" si="51"/>
        <v>0.5681788274053815</v>
      </c>
      <c r="DZ69" s="28">
        <f t="shared" si="52"/>
        <v>191.8498278787597</v>
      </c>
      <c r="EA69" s="28">
        <f t="shared" si="53"/>
        <v>337.65747441672903</v>
      </c>
      <c r="EB69" s="33"/>
      <c r="EF69" s="31"/>
      <c r="EL69" s="11">
        <v>3.5</v>
      </c>
      <c r="EM69" s="1">
        <v>7</v>
      </c>
      <c r="EN69" s="35">
        <f t="shared" si="10"/>
        <v>927.5</v>
      </c>
      <c r="EO69" s="35">
        <f t="shared" si="29"/>
        <v>0</v>
      </c>
      <c r="EP69" s="15">
        <f t="shared" si="85"/>
        <v>1.1559231571705237</v>
      </c>
      <c r="EQ69" s="28">
        <f t="shared" si="54"/>
        <v>532.11284738497602</v>
      </c>
      <c r="ER69" s="28">
        <f t="shared" si="55"/>
        <v>460.33583122210763</v>
      </c>
      <c r="ES69" s="33"/>
      <c r="EW69" s="31"/>
      <c r="FC69" s="11">
        <v>3.5</v>
      </c>
      <c r="FD69" s="1">
        <v>8</v>
      </c>
      <c r="FE69" s="35">
        <f t="shared" si="11"/>
        <v>1037.5</v>
      </c>
      <c r="FF69" s="35">
        <f t="shared" si="30"/>
        <v>0</v>
      </c>
      <c r="FG69" s="15">
        <f t="shared" si="56"/>
        <v>1.1955455912331492</v>
      </c>
      <c r="FH69" s="28">
        <f t="shared" si="57"/>
        <v>596.95932062317422</v>
      </c>
      <c r="FI69" s="28">
        <f t="shared" si="58"/>
        <v>499.31957844237348</v>
      </c>
      <c r="FJ69" s="33"/>
      <c r="FN69" s="31"/>
      <c r="FT69" s="11">
        <v>3.5</v>
      </c>
      <c r="FU69" s="1">
        <v>6</v>
      </c>
      <c r="FV69" s="35">
        <f t="shared" si="12"/>
        <v>817.5</v>
      </c>
      <c r="FW69" s="35">
        <f t="shared" si="31"/>
        <v>0</v>
      </c>
      <c r="FX69" s="15">
        <f t="shared" si="87"/>
        <v>1.0458735511229831</v>
      </c>
      <c r="FY69" s="28">
        <f t="shared" si="59"/>
        <v>501.55142383948112</v>
      </c>
      <c r="FZ69" s="28">
        <f t="shared" si="60"/>
        <v>479.55264123559834</v>
      </c>
      <c r="GA69" s="33"/>
      <c r="GE69" s="31"/>
      <c r="GK69" s="11">
        <v>3.5</v>
      </c>
      <c r="GL69" s="1">
        <v>8.33</v>
      </c>
      <c r="GM69" s="35">
        <f t="shared" si="13"/>
        <v>1073.8</v>
      </c>
      <c r="GN69" s="35">
        <f t="shared" si="32"/>
        <v>0</v>
      </c>
      <c r="GO69" s="15">
        <f t="shared" si="77"/>
        <v>1.1681748596806916</v>
      </c>
      <c r="GP69" s="28">
        <f t="shared" si="61"/>
        <v>646.61139337166026</v>
      </c>
      <c r="GQ69" s="28">
        <f t="shared" si="62"/>
        <v>553.52277787283037</v>
      </c>
      <c r="GR69" s="33"/>
      <c r="GV69" s="31"/>
      <c r="HB69" s="11">
        <v>3.5</v>
      </c>
      <c r="HC69" s="1">
        <v>6</v>
      </c>
      <c r="HD69" s="35">
        <f t="shared" si="14"/>
        <v>817.5</v>
      </c>
      <c r="HE69" s="35">
        <f t="shared" si="33"/>
        <v>0</v>
      </c>
      <c r="HF69" s="15">
        <f t="shared" si="63"/>
        <v>1.4383482252634232</v>
      </c>
      <c r="HG69" s="28">
        <f t="shared" si="64"/>
        <v>337.28440446859929</v>
      </c>
      <c r="HH69" s="28">
        <f t="shared" si="65"/>
        <v>234.49426122580854</v>
      </c>
      <c r="HI69" s="33"/>
      <c r="HM69" s="31"/>
      <c r="HS69" s="11">
        <v>3.5</v>
      </c>
      <c r="HT69" s="1">
        <v>6</v>
      </c>
      <c r="HU69" s="35">
        <f t="shared" si="15"/>
        <v>817.5</v>
      </c>
      <c r="HV69" s="35">
        <f t="shared" si="34"/>
        <v>0</v>
      </c>
      <c r="HW69" s="15">
        <f t="shared" si="66"/>
        <v>1.7220863093179264</v>
      </c>
      <c r="HX69" s="28">
        <f t="shared" si="67"/>
        <v>208.88250512788966</v>
      </c>
      <c r="HY69" s="28">
        <f t="shared" si="68"/>
        <v>121.29618823264589</v>
      </c>
      <c r="HZ69" s="33"/>
      <c r="ID69" s="31"/>
      <c r="II69" s="12"/>
      <c r="IL69" s="35">
        <f t="shared" si="16"/>
        <v>0</v>
      </c>
      <c r="IM69" s="35">
        <f t="shared" si="17"/>
        <v>5682.33626400917</v>
      </c>
      <c r="IN69" s="15">
        <f t="shared" si="69"/>
        <v>0.13034660600975992</v>
      </c>
      <c r="IO69" s="28">
        <f t="shared" si="70"/>
        <v>9.4432888426974362</v>
      </c>
      <c r="IP69" s="28">
        <f t="shared" si="71"/>
        <v>72.44752381193841</v>
      </c>
      <c r="IQ69" s="33"/>
      <c r="IU69" s="31"/>
      <c r="JC69" s="35">
        <f t="shared" si="18"/>
        <v>0</v>
      </c>
      <c r="JD69" s="35">
        <f t="shared" si="19"/>
        <v>4999.1026319626653</v>
      </c>
      <c r="JE69" s="15" t="e">
        <f t="shared" si="72"/>
        <v>#DIV/0!</v>
      </c>
      <c r="JF69" s="28">
        <f t="shared" si="73"/>
        <v>0</v>
      </c>
      <c r="JG69" s="28">
        <f t="shared" si="74"/>
        <v>0</v>
      </c>
      <c r="JH69" s="33"/>
      <c r="JL69" s="31"/>
      <c r="JR69" s="99"/>
      <c r="JS69" s="99"/>
      <c r="JT69" s="99"/>
      <c r="JU69" s="99"/>
      <c r="JV69" s="99"/>
      <c r="JW69" s="99"/>
      <c r="JX69" s="99"/>
      <c r="JY69" s="99"/>
      <c r="JZ69" s="99"/>
      <c r="KA69" s="99"/>
      <c r="KB69" s="99"/>
      <c r="KC69" s="99"/>
      <c r="KD69" s="99"/>
      <c r="KE69" s="99"/>
      <c r="KF69" s="99"/>
      <c r="KG69" s="99"/>
      <c r="KH69" s="99"/>
      <c r="KI69" s="99"/>
      <c r="KJ69" s="99"/>
      <c r="KK69" s="99"/>
      <c r="KL69" s="99"/>
      <c r="KM69" s="99"/>
      <c r="KN69" s="99"/>
      <c r="KO69" s="99"/>
      <c r="KP69" s="99"/>
      <c r="KQ69" s="99"/>
      <c r="KR69" s="99"/>
      <c r="KS69" s="99"/>
      <c r="KT69" s="99"/>
      <c r="KU69" s="99"/>
      <c r="KV69" s="99"/>
      <c r="KW69" s="99"/>
      <c r="KX69" s="99"/>
      <c r="KY69" s="99"/>
      <c r="KZ69" s="99"/>
      <c r="LA69" s="99"/>
      <c r="LB69" s="99"/>
      <c r="LC69" s="99"/>
      <c r="LD69" s="99"/>
      <c r="LE69" s="99"/>
      <c r="LF69" s="99"/>
      <c r="LG69" s="99"/>
      <c r="LH69" s="99"/>
      <c r="LI69" s="99"/>
      <c r="LJ69" s="99"/>
      <c r="LK69" s="99"/>
      <c r="LL69" s="99"/>
      <c r="LM69" s="99"/>
      <c r="LN69" s="99"/>
      <c r="LO69" s="99"/>
      <c r="LP69" s="99"/>
      <c r="LQ69" s="99"/>
      <c r="LR69" s="99"/>
      <c r="LS69" s="99"/>
      <c r="LT69" s="99"/>
      <c r="LU69" s="99"/>
      <c r="LV69" s="99"/>
      <c r="LW69" s="99"/>
      <c r="LX69" s="99"/>
      <c r="LY69" s="99"/>
      <c r="LZ69" s="99"/>
      <c r="MA69" s="99"/>
      <c r="MB69" s="99"/>
      <c r="MC69" s="99"/>
      <c r="MD69" s="99"/>
      <c r="ME69" s="99"/>
      <c r="MF69" s="99"/>
    </row>
    <row r="70" spans="1:344" ht="17.25" customHeight="1" x14ac:dyDescent="0.25">
      <c r="A70" s="156"/>
      <c r="B70" s="81" t="s">
        <v>4</v>
      </c>
      <c r="C70" s="82">
        <v>45204</v>
      </c>
      <c r="D70" s="49">
        <v>10</v>
      </c>
      <c r="F70" s="103">
        <v>55</v>
      </c>
      <c r="G70" s="89">
        <f t="shared" si="0"/>
        <v>5.8624999999999998</v>
      </c>
      <c r="H70" s="35">
        <f t="shared" si="1"/>
        <v>322.4375</v>
      </c>
      <c r="I70" s="39"/>
      <c r="L70" s="89">
        <f t="shared" si="2"/>
        <v>0</v>
      </c>
      <c r="M70" s="35">
        <f t="shared" si="20"/>
        <v>0</v>
      </c>
      <c r="N70" s="35">
        <f t="shared" si="21"/>
        <v>322.4375</v>
      </c>
      <c r="O70" s="97"/>
      <c r="P70" s="150"/>
      <c r="W70" s="11">
        <v>6</v>
      </c>
      <c r="X70" s="1">
        <v>0</v>
      </c>
      <c r="Y70" s="35">
        <f t="shared" si="3"/>
        <v>330</v>
      </c>
      <c r="Z70" s="35">
        <f t="shared" si="22"/>
        <v>0</v>
      </c>
      <c r="AA70" s="15">
        <f t="shared" si="80"/>
        <v>1.1030737685863303</v>
      </c>
      <c r="AB70" s="43">
        <f t="shared" si="81"/>
        <v>572.78976397903739</v>
      </c>
      <c r="AC70" s="43">
        <f t="shared" si="82"/>
        <v>519.26696136842179</v>
      </c>
      <c r="AD70" s="33"/>
      <c r="AH70" s="31"/>
      <c r="AN70" s="86"/>
      <c r="AO70" s="87"/>
      <c r="AP70" s="35">
        <f t="shared" si="4"/>
        <v>0</v>
      </c>
      <c r="AQ70" s="35">
        <f t="shared" si="23"/>
        <v>0</v>
      </c>
      <c r="AR70" s="15">
        <f t="shared" si="83"/>
        <v>0.46454600906592952</v>
      </c>
      <c r="AS70" s="28">
        <f t="shared" si="37"/>
        <v>157.74816573379829</v>
      </c>
      <c r="AT70" s="28">
        <f t="shared" si="38"/>
        <v>339.57490249670894</v>
      </c>
      <c r="AU70" s="33"/>
      <c r="AY70" s="31"/>
      <c r="BE70" s="11">
        <v>7.5</v>
      </c>
      <c r="BG70" s="35">
        <f t="shared" si="5"/>
        <v>412.5</v>
      </c>
      <c r="BH70" s="35">
        <f t="shared" si="24"/>
        <v>0</v>
      </c>
      <c r="BI70" s="15">
        <f t="shared" si="39"/>
        <v>1.2287350920456268</v>
      </c>
      <c r="BJ70" s="28">
        <f t="shared" si="40"/>
        <v>530.07152102490591</v>
      </c>
      <c r="BK70" s="28">
        <f t="shared" si="41"/>
        <v>431.39609542886132</v>
      </c>
      <c r="BL70" s="33"/>
      <c r="BP70" s="31"/>
      <c r="BX70" s="35">
        <f t="shared" si="6"/>
        <v>0</v>
      </c>
      <c r="BY70" s="35">
        <f t="shared" si="25"/>
        <v>0</v>
      </c>
      <c r="BZ70" s="15">
        <f t="shared" si="42"/>
        <v>0.88774660743073308</v>
      </c>
      <c r="CA70" s="28">
        <f t="shared" si="43"/>
        <v>417.43165599321958</v>
      </c>
      <c r="CB70" s="28">
        <f t="shared" si="44"/>
        <v>470.21487043620147</v>
      </c>
      <c r="CC70" s="33"/>
      <c r="CG70" s="31"/>
      <c r="CM70" s="11">
        <v>6</v>
      </c>
      <c r="CO70" s="35">
        <f t="shared" si="7"/>
        <v>330</v>
      </c>
      <c r="CP70" s="35">
        <f t="shared" si="26"/>
        <v>0</v>
      </c>
      <c r="CQ70" s="15">
        <f t="shared" si="45"/>
        <v>1.3807146234011498</v>
      </c>
      <c r="CR70" s="28">
        <f t="shared" si="46"/>
        <v>484.04157793196953</v>
      </c>
      <c r="CS70" s="28">
        <f t="shared" si="47"/>
        <v>350.57322471143056</v>
      </c>
      <c r="CT70" s="33"/>
      <c r="CX70" s="31"/>
      <c r="DD70" s="11">
        <v>4.4000000000000004</v>
      </c>
      <c r="DF70" s="35">
        <f t="shared" si="8"/>
        <v>242.00000000000003</v>
      </c>
      <c r="DG70" s="35">
        <f t="shared" si="27"/>
        <v>0</v>
      </c>
      <c r="DH70" s="15">
        <f t="shared" si="48"/>
        <v>1.0126649209375338</v>
      </c>
      <c r="DI70" s="28">
        <f t="shared" si="49"/>
        <v>418.47028302901413</v>
      </c>
      <c r="DJ70" s="28">
        <f t="shared" si="50"/>
        <v>413.23667323401583</v>
      </c>
      <c r="DK70" s="33"/>
      <c r="DO70" s="31"/>
      <c r="DU70" s="86"/>
      <c r="DV70" s="87"/>
      <c r="DW70" s="35">
        <f t="shared" si="9"/>
        <v>0</v>
      </c>
      <c r="DX70" s="35">
        <f t="shared" si="28"/>
        <v>0</v>
      </c>
      <c r="DY70" s="15">
        <f t="shared" si="51"/>
        <v>0.45769961096544626</v>
      </c>
      <c r="DZ70" s="28">
        <f t="shared" si="52"/>
        <v>143.88737090906977</v>
      </c>
      <c r="EA70" s="28">
        <f t="shared" si="53"/>
        <v>314.37075204316147</v>
      </c>
      <c r="EB70" s="33"/>
      <c r="EF70" s="31"/>
      <c r="EL70" s="11">
        <v>6</v>
      </c>
      <c r="EN70" s="35">
        <f t="shared" si="10"/>
        <v>330</v>
      </c>
      <c r="EO70" s="35">
        <f t="shared" si="29"/>
        <v>0</v>
      </c>
      <c r="EP70" s="15">
        <f t="shared" si="85"/>
        <v>1.0669938474566794</v>
      </c>
      <c r="EQ70" s="28">
        <f t="shared" si="54"/>
        <v>481.58463553873202</v>
      </c>
      <c r="ER70" s="28">
        <f t="shared" si="55"/>
        <v>451.34715320678987</v>
      </c>
      <c r="ES70" s="33"/>
      <c r="EW70" s="31"/>
      <c r="FC70" s="11">
        <v>5.5</v>
      </c>
      <c r="FE70" s="35">
        <f t="shared" si="11"/>
        <v>302.5</v>
      </c>
      <c r="FF70" s="35">
        <f t="shared" si="30"/>
        <v>0</v>
      </c>
      <c r="FG70" s="15">
        <f t="shared" si="56"/>
        <v>1.0774040144865473</v>
      </c>
      <c r="FH70" s="28">
        <f t="shared" si="57"/>
        <v>523.34449046738064</v>
      </c>
      <c r="FI70" s="28">
        <f t="shared" si="58"/>
        <v>485.74581441186496</v>
      </c>
      <c r="FJ70" s="33"/>
      <c r="FN70" s="31"/>
      <c r="FT70" s="11">
        <v>5</v>
      </c>
      <c r="FV70" s="35">
        <f t="shared" si="12"/>
        <v>275</v>
      </c>
      <c r="FW70" s="35">
        <f t="shared" si="31"/>
        <v>0</v>
      </c>
      <c r="FX70" s="15">
        <f t="shared" si="87"/>
        <v>0.95588744140454818</v>
      </c>
      <c r="FY70" s="28">
        <f t="shared" si="59"/>
        <v>444.91356787961081</v>
      </c>
      <c r="FZ70" s="28">
        <f t="shared" si="60"/>
        <v>465.445562529695</v>
      </c>
      <c r="GA70" s="33"/>
      <c r="GE70" s="31"/>
      <c r="GK70" s="11">
        <v>6.5</v>
      </c>
      <c r="GM70" s="35">
        <f t="shared" si="13"/>
        <v>357.5</v>
      </c>
      <c r="GN70" s="35">
        <f t="shared" si="32"/>
        <v>0</v>
      </c>
      <c r="GO70" s="15">
        <f t="shared" si="77"/>
        <v>1.0635728283670991</v>
      </c>
      <c r="GP70" s="28">
        <f t="shared" si="61"/>
        <v>574.33354502874522</v>
      </c>
      <c r="GQ70" s="28">
        <f t="shared" si="62"/>
        <v>540.0039656057387</v>
      </c>
      <c r="GR70" s="33"/>
      <c r="GV70" s="31"/>
      <c r="HB70" s="11">
        <v>6</v>
      </c>
      <c r="HD70" s="35">
        <f t="shared" si="14"/>
        <v>330</v>
      </c>
      <c r="HE70" s="35">
        <f t="shared" si="33"/>
        <v>0</v>
      </c>
      <c r="HF70" s="15">
        <f t="shared" si="63"/>
        <v>1.391497018571956</v>
      </c>
      <c r="HG70" s="28">
        <f t="shared" si="64"/>
        <v>335.46330335144944</v>
      </c>
      <c r="HH70" s="28">
        <f t="shared" si="65"/>
        <v>241.08086389989072</v>
      </c>
      <c r="HI70" s="33"/>
      <c r="HM70" s="31"/>
      <c r="HU70" s="35">
        <f t="shared" si="15"/>
        <v>0</v>
      </c>
      <c r="HV70" s="35">
        <f t="shared" si="34"/>
        <v>0</v>
      </c>
      <c r="HW70" s="15">
        <f t="shared" si="66"/>
        <v>1.3872361936172184</v>
      </c>
      <c r="HX70" s="28">
        <f t="shared" si="67"/>
        <v>156.66187884591724</v>
      </c>
      <c r="HY70" s="28">
        <f t="shared" si="68"/>
        <v>112.93093387177376</v>
      </c>
      <c r="HZ70" s="33"/>
      <c r="ID70" s="31"/>
      <c r="II70" s="12"/>
      <c r="IL70" s="35">
        <f t="shared" si="16"/>
        <v>0</v>
      </c>
      <c r="IM70" s="35">
        <f t="shared" si="17"/>
        <v>4023.4642159761779</v>
      </c>
      <c r="IN70" s="15">
        <f t="shared" si="69"/>
        <v>0.10500143261897328</v>
      </c>
      <c r="IO70" s="28">
        <f t="shared" si="70"/>
        <v>7.0824666320230776</v>
      </c>
      <c r="IP70" s="28">
        <f t="shared" si="71"/>
        <v>67.451142859390927</v>
      </c>
      <c r="IQ70" s="33"/>
      <c r="IU70" s="31"/>
      <c r="JC70" s="35">
        <f t="shared" si="18"/>
        <v>0</v>
      </c>
      <c r="JD70" s="35">
        <f t="shared" si="19"/>
        <v>4023.1745791552339</v>
      </c>
      <c r="JE70" s="15" t="e">
        <f t="shared" si="72"/>
        <v>#DIV/0!</v>
      </c>
      <c r="JF70" s="28">
        <f t="shared" si="73"/>
        <v>0</v>
      </c>
      <c r="JG70" s="28">
        <f t="shared" si="74"/>
        <v>0</v>
      </c>
      <c r="JH70" s="33"/>
      <c r="JL70" s="31"/>
      <c r="JR70" s="99"/>
      <c r="JS70" s="99"/>
      <c r="JT70" s="99"/>
      <c r="JU70" s="99"/>
      <c r="JV70" s="99"/>
      <c r="JW70" s="99"/>
      <c r="JX70" s="99"/>
      <c r="JY70" s="99"/>
      <c r="JZ70" s="99"/>
      <c r="KA70" s="99"/>
      <c r="KB70" s="99"/>
      <c r="KC70" s="99"/>
      <c r="KD70" s="99"/>
      <c r="KE70" s="99"/>
      <c r="KF70" s="99"/>
      <c r="KG70" s="99"/>
      <c r="KH70" s="99"/>
      <c r="KI70" s="99"/>
      <c r="KJ70" s="99"/>
      <c r="KK70" s="99"/>
      <c r="KL70" s="99"/>
      <c r="KM70" s="99"/>
      <c r="KN70" s="99"/>
      <c r="KO70" s="99"/>
      <c r="KP70" s="99"/>
      <c r="KQ70" s="99"/>
      <c r="KR70" s="99"/>
      <c r="KS70" s="99"/>
      <c r="KT70" s="99"/>
      <c r="KU70" s="99"/>
      <c r="KV70" s="99"/>
      <c r="KW70" s="99"/>
      <c r="KX70" s="99"/>
      <c r="KY70" s="99"/>
      <c r="KZ70" s="99"/>
      <c r="LA70" s="99"/>
      <c r="LB70" s="99"/>
      <c r="LC70" s="99"/>
      <c r="LD70" s="99"/>
      <c r="LE70" s="99"/>
      <c r="LF70" s="99"/>
      <c r="LG70" s="99"/>
      <c r="LH70" s="99"/>
      <c r="LI70" s="99"/>
      <c r="LJ70" s="99"/>
      <c r="LK70" s="99"/>
      <c r="LL70" s="99"/>
      <c r="LM70" s="99"/>
      <c r="LN70" s="99"/>
      <c r="LO70" s="99"/>
      <c r="LP70" s="99"/>
      <c r="LQ70" s="99"/>
      <c r="LR70" s="99"/>
      <c r="LS70" s="99"/>
      <c r="LT70" s="99"/>
      <c r="LU70" s="99"/>
      <c r="LV70" s="99"/>
      <c r="LW70" s="99"/>
      <c r="LX70" s="99"/>
      <c r="LY70" s="99"/>
      <c r="LZ70" s="99"/>
      <c r="MA70" s="99"/>
      <c r="MB70" s="99"/>
      <c r="MC70" s="99"/>
      <c r="MD70" s="99"/>
      <c r="ME70" s="99"/>
      <c r="MF70" s="99"/>
    </row>
    <row r="71" spans="1:344" ht="17.25" customHeight="1" x14ac:dyDescent="0.25">
      <c r="A71" s="156"/>
      <c r="B71" s="81" t="s">
        <v>5</v>
      </c>
      <c r="C71" s="82">
        <v>45205</v>
      </c>
      <c r="D71" s="49">
        <v>11</v>
      </c>
      <c r="F71" s="103">
        <v>60</v>
      </c>
      <c r="G71" s="89">
        <f t="shared" si="0"/>
        <v>6.2988888888888885</v>
      </c>
      <c r="H71" s="35">
        <f t="shared" si="1"/>
        <v>377.93333333333334</v>
      </c>
      <c r="I71" s="39"/>
      <c r="L71" s="89">
        <f t="shared" si="2"/>
        <v>0</v>
      </c>
      <c r="M71" s="35">
        <f t="shared" si="20"/>
        <v>0</v>
      </c>
      <c r="N71" s="35">
        <f t="shared" si="21"/>
        <v>377.93333333333334</v>
      </c>
      <c r="O71" s="97"/>
      <c r="P71" s="150"/>
      <c r="W71" s="11">
        <v>5.5</v>
      </c>
      <c r="X71" s="1">
        <v>0</v>
      </c>
      <c r="Y71" s="35">
        <f t="shared" si="3"/>
        <v>330</v>
      </c>
      <c r="Z71" s="35">
        <f t="shared" si="22"/>
        <v>0</v>
      </c>
      <c r="AA71" s="15">
        <f t="shared" si="80"/>
        <v>1.0116121931035726</v>
      </c>
      <c r="AB71" s="43">
        <f t="shared" si="81"/>
        <v>512.0923229842781</v>
      </c>
      <c r="AC71" s="43">
        <f t="shared" si="82"/>
        <v>506.21406748094444</v>
      </c>
      <c r="AD71" s="33"/>
      <c r="AH71" s="31"/>
      <c r="AN71" s="86"/>
      <c r="AO71" s="87"/>
      <c r="AP71" s="35">
        <f t="shared" si="4"/>
        <v>0</v>
      </c>
      <c r="AQ71" s="35">
        <f t="shared" si="23"/>
        <v>0</v>
      </c>
      <c r="AR71" s="15">
        <f t="shared" si="83"/>
        <v>0.37421761841422102</v>
      </c>
      <c r="AS71" s="28">
        <f t="shared" si="37"/>
        <v>118.31112430034872</v>
      </c>
      <c r="AT71" s="28">
        <f t="shared" si="38"/>
        <v>316.15594370383246</v>
      </c>
      <c r="AU71" s="33"/>
      <c r="AY71" s="31"/>
      <c r="BE71" s="11">
        <v>7.5</v>
      </c>
      <c r="BG71" s="35">
        <f t="shared" si="5"/>
        <v>450</v>
      </c>
      <c r="BH71" s="35">
        <f t="shared" si="24"/>
        <v>0</v>
      </c>
      <c r="BI71" s="15">
        <f t="shared" si="39"/>
        <v>1.178826555907784</v>
      </c>
      <c r="BJ71" s="28">
        <f t="shared" si="40"/>
        <v>510.05364076867943</v>
      </c>
      <c r="BK71" s="28">
        <f t="shared" si="41"/>
        <v>432.67912333031916</v>
      </c>
      <c r="BL71" s="33"/>
      <c r="BP71" s="31"/>
      <c r="BV71" s="11">
        <v>6</v>
      </c>
      <c r="BX71" s="35">
        <f t="shared" si="6"/>
        <v>360</v>
      </c>
      <c r="BY71" s="35">
        <f t="shared" si="25"/>
        <v>0</v>
      </c>
      <c r="BZ71" s="15">
        <f t="shared" si="42"/>
        <v>0.8712963229445404</v>
      </c>
      <c r="CA71" s="28">
        <f t="shared" si="43"/>
        <v>403.07374199491471</v>
      </c>
      <c r="CB71" s="28">
        <f t="shared" si="44"/>
        <v>462.61384488887722</v>
      </c>
      <c r="CC71" s="33"/>
      <c r="CG71" s="31"/>
      <c r="CM71" s="11">
        <v>6</v>
      </c>
      <c r="CO71" s="35">
        <f t="shared" si="7"/>
        <v>360</v>
      </c>
      <c r="CP71" s="35">
        <f t="shared" si="26"/>
        <v>0</v>
      </c>
      <c r="CQ71" s="15">
        <f t="shared" si="45"/>
        <v>1.28986636888289</v>
      </c>
      <c r="CR71" s="28">
        <f t="shared" si="46"/>
        <v>453.03118344897712</v>
      </c>
      <c r="CS71" s="28">
        <f t="shared" si="47"/>
        <v>351.22334714512499</v>
      </c>
      <c r="CT71" s="33"/>
      <c r="CX71" s="31"/>
      <c r="DD71" s="11">
        <v>5.69</v>
      </c>
      <c r="DF71" s="35">
        <f t="shared" si="8"/>
        <v>341.40000000000003</v>
      </c>
      <c r="DG71" s="35">
        <f t="shared" si="27"/>
        <v>0</v>
      </c>
      <c r="DH71" s="15">
        <f t="shared" si="48"/>
        <v>0.97776120843550474</v>
      </c>
      <c r="DI71" s="28">
        <f t="shared" si="49"/>
        <v>399.20271227176062</v>
      </c>
      <c r="DJ71" s="28">
        <f t="shared" si="50"/>
        <v>408.28241990753196</v>
      </c>
      <c r="DK71" s="33"/>
      <c r="DO71" s="31"/>
      <c r="DU71" s="86"/>
      <c r="DV71" s="87"/>
      <c r="DW71" s="35">
        <f t="shared" si="9"/>
        <v>0</v>
      </c>
      <c r="DX71" s="35">
        <f t="shared" si="28"/>
        <v>0</v>
      </c>
      <c r="DY71" s="15">
        <f t="shared" si="51"/>
        <v>0.3687024643888317</v>
      </c>
      <c r="DZ71" s="28">
        <f t="shared" si="52"/>
        <v>107.91552818180233</v>
      </c>
      <c r="EA71" s="28">
        <f t="shared" si="53"/>
        <v>292.69001052294345</v>
      </c>
      <c r="EB71" s="33"/>
      <c r="EF71" s="31"/>
      <c r="EL71" s="11">
        <v>7</v>
      </c>
      <c r="EN71" s="35">
        <f t="shared" si="10"/>
        <v>420</v>
      </c>
      <c r="EO71" s="35">
        <f t="shared" si="29"/>
        <v>0</v>
      </c>
      <c r="EP71" s="15">
        <f t="shared" si="85"/>
        <v>1.0378534133188073</v>
      </c>
      <c r="EQ71" s="28">
        <f t="shared" si="54"/>
        <v>466.188476654049</v>
      </c>
      <c r="ER71" s="28">
        <f t="shared" si="55"/>
        <v>449.1852805718388</v>
      </c>
      <c r="ES71" s="33"/>
      <c r="EW71" s="31"/>
      <c r="FC71" s="11">
        <v>6</v>
      </c>
      <c r="FE71" s="35">
        <f t="shared" si="11"/>
        <v>360</v>
      </c>
      <c r="FF71" s="35">
        <f t="shared" si="30"/>
        <v>0</v>
      </c>
      <c r="FG71" s="15">
        <f t="shared" si="56"/>
        <v>1.0113916962780427</v>
      </c>
      <c r="FH71" s="28">
        <f t="shared" si="57"/>
        <v>482.50836785053548</v>
      </c>
      <c r="FI71" s="28">
        <f t="shared" si="58"/>
        <v>477.07368928001222</v>
      </c>
      <c r="FJ71" s="33"/>
      <c r="FN71" s="31"/>
      <c r="FT71" s="11">
        <v>6</v>
      </c>
      <c r="FV71" s="35">
        <f t="shared" si="12"/>
        <v>360</v>
      </c>
      <c r="FW71" s="35">
        <f t="shared" si="31"/>
        <v>0</v>
      </c>
      <c r="FX71" s="15">
        <f t="shared" si="87"/>
        <v>0.92472658880531511</v>
      </c>
      <c r="FY71" s="28">
        <f t="shared" si="59"/>
        <v>423.68517590970811</v>
      </c>
      <c r="FZ71" s="28">
        <f t="shared" si="60"/>
        <v>458.17345476902636</v>
      </c>
      <c r="GA71" s="33"/>
      <c r="GE71" s="31"/>
      <c r="GK71" s="11">
        <v>7</v>
      </c>
      <c r="GM71" s="35">
        <f t="shared" si="13"/>
        <v>420</v>
      </c>
      <c r="GN71" s="35">
        <f t="shared" si="32"/>
        <v>0</v>
      </c>
      <c r="GO71" s="15">
        <f t="shared" si="77"/>
        <v>1.0075646383310108</v>
      </c>
      <c r="GP71" s="28">
        <f t="shared" si="61"/>
        <v>535.75015877155897</v>
      </c>
      <c r="GQ71" s="28">
        <f t="shared" si="62"/>
        <v>531.72783004672226</v>
      </c>
      <c r="GR71" s="33"/>
      <c r="GV71" s="31"/>
      <c r="HB71" s="11">
        <v>5.5</v>
      </c>
      <c r="HD71" s="35">
        <f t="shared" si="14"/>
        <v>330</v>
      </c>
      <c r="HE71" s="35">
        <f t="shared" si="33"/>
        <v>0</v>
      </c>
      <c r="HF71" s="15">
        <f t="shared" si="63"/>
        <v>1.3514547485075752</v>
      </c>
      <c r="HG71" s="28">
        <f t="shared" si="64"/>
        <v>334.09747751358708</v>
      </c>
      <c r="HH71" s="28">
        <f t="shared" si="65"/>
        <v>247.21321811369134</v>
      </c>
      <c r="HI71" s="33"/>
      <c r="HM71" s="31"/>
      <c r="HU71" s="35">
        <f t="shared" si="15"/>
        <v>0</v>
      </c>
      <c r="HV71" s="35">
        <f t="shared" si="34"/>
        <v>0</v>
      </c>
      <c r="HW71" s="15">
        <f t="shared" si="66"/>
        <v>1.1174958226360927</v>
      </c>
      <c r="HX71" s="28">
        <f t="shared" si="67"/>
        <v>117.49640913443793</v>
      </c>
      <c r="HY71" s="28">
        <f t="shared" si="68"/>
        <v>105.14259360475488</v>
      </c>
      <c r="HZ71" s="33"/>
      <c r="ID71" s="31"/>
      <c r="II71" s="12"/>
      <c r="IL71" s="35">
        <f t="shared" si="16"/>
        <v>0</v>
      </c>
      <c r="IM71" s="35">
        <f t="shared" si="17"/>
        <v>4287.9780813928792</v>
      </c>
      <c r="IN71" s="15">
        <f t="shared" si="69"/>
        <v>8.4584487387506263E-2</v>
      </c>
      <c r="IO71" s="28">
        <f t="shared" si="70"/>
        <v>5.3118499740173082</v>
      </c>
      <c r="IP71" s="28">
        <f t="shared" si="71"/>
        <v>62.799339903570861</v>
      </c>
      <c r="IQ71" s="33"/>
      <c r="IU71" s="31"/>
      <c r="JC71" s="35">
        <f t="shared" si="18"/>
        <v>0</v>
      </c>
      <c r="JD71" s="35">
        <f t="shared" si="19"/>
        <v>3932.1110686281822</v>
      </c>
      <c r="JE71" s="15" t="e">
        <f t="shared" si="72"/>
        <v>#DIV/0!</v>
      </c>
      <c r="JF71" s="28">
        <f t="shared" si="73"/>
        <v>0</v>
      </c>
      <c r="JG71" s="28">
        <f t="shared" si="74"/>
        <v>0</v>
      </c>
      <c r="JH71" s="33"/>
      <c r="JL71" s="31"/>
      <c r="JR71" s="99"/>
      <c r="JS71" s="99"/>
      <c r="JT71" s="99"/>
      <c r="JU71" s="99"/>
      <c r="JV71" s="99"/>
      <c r="JW71" s="99"/>
      <c r="JX71" s="99"/>
      <c r="JY71" s="99"/>
      <c r="JZ71" s="99"/>
      <c r="KA71" s="99"/>
      <c r="KB71" s="99"/>
      <c r="KC71" s="99"/>
      <c r="KD71" s="99"/>
      <c r="KE71" s="99"/>
      <c r="KF71" s="99"/>
      <c r="KG71" s="99"/>
      <c r="KH71" s="99"/>
      <c r="KI71" s="99"/>
      <c r="KJ71" s="99"/>
      <c r="KK71" s="99"/>
      <c r="KL71" s="99"/>
      <c r="KM71" s="99"/>
      <c r="KN71" s="99"/>
      <c r="KO71" s="99"/>
      <c r="KP71" s="99"/>
      <c r="KQ71" s="99"/>
      <c r="KR71" s="99"/>
      <c r="KS71" s="99"/>
      <c r="KT71" s="99"/>
      <c r="KU71" s="99"/>
      <c r="KV71" s="99"/>
      <c r="KW71" s="99"/>
      <c r="KX71" s="99"/>
      <c r="KY71" s="99"/>
      <c r="KZ71" s="99"/>
      <c r="LA71" s="99"/>
      <c r="LB71" s="99"/>
      <c r="LC71" s="99"/>
      <c r="LD71" s="99"/>
      <c r="LE71" s="99"/>
      <c r="LF71" s="99"/>
      <c r="LG71" s="99"/>
      <c r="LH71" s="99"/>
      <c r="LI71" s="99"/>
      <c r="LJ71" s="99"/>
      <c r="LK71" s="99"/>
      <c r="LL71" s="99"/>
      <c r="LM71" s="99"/>
      <c r="LN71" s="99"/>
      <c r="LO71" s="99"/>
      <c r="LP71" s="99"/>
      <c r="LQ71" s="99"/>
      <c r="LR71" s="99"/>
      <c r="LS71" s="99"/>
      <c r="LT71" s="99"/>
      <c r="LU71" s="99"/>
      <c r="LV71" s="99"/>
      <c r="LW71" s="99"/>
      <c r="LX71" s="99"/>
      <c r="LY71" s="99"/>
      <c r="LZ71" s="99"/>
      <c r="MA71" s="99"/>
      <c r="MB71" s="99"/>
      <c r="MC71" s="99"/>
      <c r="MD71" s="99"/>
      <c r="ME71" s="99"/>
      <c r="MF71" s="99"/>
    </row>
    <row r="72" spans="1:344" ht="17.25" customHeight="1" x14ac:dyDescent="0.25">
      <c r="A72" s="156"/>
      <c r="B72" s="81" t="s">
        <v>6</v>
      </c>
      <c r="C72" s="82">
        <v>45206</v>
      </c>
      <c r="D72" s="49"/>
      <c r="G72" s="89">
        <f t="shared" si="0"/>
        <v>0</v>
      </c>
      <c r="H72" s="35">
        <f t="shared" si="1"/>
        <v>0</v>
      </c>
      <c r="I72" s="39">
        <v>10</v>
      </c>
      <c r="K72" s="103">
        <v>60</v>
      </c>
      <c r="L72" s="89">
        <f t="shared" si="2"/>
        <v>4.8888888888888893</v>
      </c>
      <c r="M72" s="35">
        <f t="shared" si="20"/>
        <v>293.33333333333337</v>
      </c>
      <c r="N72" s="35">
        <f t="shared" si="21"/>
        <v>293.33333333333337</v>
      </c>
      <c r="O72" s="97"/>
      <c r="P72" s="150"/>
      <c r="W72" s="11">
        <v>0</v>
      </c>
      <c r="X72" s="1">
        <v>4</v>
      </c>
      <c r="Y72" s="35">
        <f t="shared" si="3"/>
        <v>240</v>
      </c>
      <c r="Z72" s="35">
        <f t="shared" si="22"/>
        <v>0</v>
      </c>
      <c r="AA72" s="15">
        <f t="shared" si="80"/>
        <v>0.91024939509560088</v>
      </c>
      <c r="AB72" s="43">
        <f t="shared" si="81"/>
        <v>444.06924223820857</v>
      </c>
      <c r="AC72" s="43">
        <f t="shared" si="82"/>
        <v>487.85447662018964</v>
      </c>
      <c r="AD72" s="33"/>
      <c r="AH72" s="31"/>
      <c r="AN72" s="86"/>
      <c r="AO72" s="87"/>
      <c r="AP72" s="35">
        <f t="shared" si="4"/>
        <v>0</v>
      </c>
      <c r="AQ72" s="35">
        <f t="shared" si="23"/>
        <v>0</v>
      </c>
      <c r="AR72" s="15">
        <f t="shared" si="83"/>
        <v>0.30145308150034467</v>
      </c>
      <c r="AS72" s="28">
        <f t="shared" si="37"/>
        <v>88.733343225261535</v>
      </c>
      <c r="AT72" s="28">
        <f t="shared" si="38"/>
        <v>294.35208551736127</v>
      </c>
      <c r="AU72" s="33"/>
      <c r="AY72" s="31"/>
      <c r="BF72" s="1">
        <v>5</v>
      </c>
      <c r="BG72" s="35">
        <f t="shared" si="5"/>
        <v>300</v>
      </c>
      <c r="BH72" s="35">
        <f t="shared" si="24"/>
        <v>0</v>
      </c>
      <c r="BI72" s="15">
        <f t="shared" si="39"/>
        <v>1.0803047832518275</v>
      </c>
      <c r="BJ72" s="28">
        <f t="shared" si="40"/>
        <v>457.54023057650954</v>
      </c>
      <c r="BK72" s="28">
        <f t="shared" si="41"/>
        <v>423.52883896271089</v>
      </c>
      <c r="BL72" s="33"/>
      <c r="BP72" s="31"/>
      <c r="BW72" s="1">
        <v>4</v>
      </c>
      <c r="BX72" s="35">
        <f t="shared" si="6"/>
        <v>240</v>
      </c>
      <c r="BY72" s="35">
        <f t="shared" si="25"/>
        <v>0</v>
      </c>
      <c r="BZ72" s="15">
        <f t="shared" si="42"/>
        <v>0.81005312800186313</v>
      </c>
      <c r="CA72" s="28">
        <f t="shared" si="43"/>
        <v>362.30530649618606</v>
      </c>
      <c r="CB72" s="28">
        <f t="shared" si="44"/>
        <v>447.26116593102364</v>
      </c>
      <c r="CC72" s="33"/>
      <c r="CG72" s="31"/>
      <c r="CN72" s="1">
        <v>5.5</v>
      </c>
      <c r="CO72" s="35">
        <f t="shared" si="7"/>
        <v>330</v>
      </c>
      <c r="CP72" s="35">
        <f t="shared" si="26"/>
        <v>0</v>
      </c>
      <c r="CQ72" s="15">
        <f t="shared" si="45"/>
        <v>1.2073244178299574</v>
      </c>
      <c r="CR72" s="28">
        <f t="shared" si="46"/>
        <v>422.27338758673284</v>
      </c>
      <c r="CS72" s="28">
        <f t="shared" si="47"/>
        <v>349.75966803166807</v>
      </c>
      <c r="CT72" s="33"/>
      <c r="CX72" s="31"/>
      <c r="DE72" s="1">
        <v>3.5</v>
      </c>
      <c r="DF72" s="35">
        <f t="shared" si="8"/>
        <v>210</v>
      </c>
      <c r="DG72" s="35">
        <f t="shared" si="27"/>
        <v>0</v>
      </c>
      <c r="DH72" s="15">
        <f t="shared" si="48"/>
        <v>0.89177674827103659</v>
      </c>
      <c r="DI72" s="28">
        <f t="shared" si="49"/>
        <v>351.90203420382045</v>
      </c>
      <c r="DJ72" s="28">
        <f t="shared" si="50"/>
        <v>394.60777025873665</v>
      </c>
      <c r="DK72" s="33"/>
      <c r="DO72" s="31"/>
      <c r="DU72" s="86"/>
      <c r="DV72" s="87"/>
      <c r="DW72" s="35">
        <f t="shared" si="9"/>
        <v>0</v>
      </c>
      <c r="DX72" s="35">
        <f t="shared" si="28"/>
        <v>0</v>
      </c>
      <c r="DY72" s="15">
        <f t="shared" si="51"/>
        <v>0.29701031853544779</v>
      </c>
      <c r="DZ72" s="28">
        <f t="shared" si="52"/>
        <v>80.936646136351754</v>
      </c>
      <c r="EA72" s="28">
        <f t="shared" si="53"/>
        <v>272.50449255584391</v>
      </c>
      <c r="EB72" s="33"/>
      <c r="EF72" s="31"/>
      <c r="EM72" s="1">
        <v>6</v>
      </c>
      <c r="EN72" s="35">
        <f t="shared" si="10"/>
        <v>360</v>
      </c>
      <c r="EO72" s="35">
        <f t="shared" si="29"/>
        <v>0</v>
      </c>
      <c r="EP72" s="15">
        <f t="shared" si="85"/>
        <v>0.99234097225336881</v>
      </c>
      <c r="EQ72" s="28">
        <f t="shared" si="54"/>
        <v>439.64135749053673</v>
      </c>
      <c r="ER72" s="28">
        <f t="shared" si="55"/>
        <v>443.03457156688438</v>
      </c>
      <c r="ES72" s="33"/>
      <c r="EW72" s="31"/>
      <c r="FD72" s="1">
        <v>5</v>
      </c>
      <c r="FE72" s="35">
        <f t="shared" si="11"/>
        <v>300</v>
      </c>
      <c r="FF72" s="35">
        <f t="shared" si="30"/>
        <v>0</v>
      </c>
      <c r="FG72" s="15">
        <f t="shared" si="56"/>
        <v>0.93980912134406314</v>
      </c>
      <c r="FH72" s="28">
        <f t="shared" si="57"/>
        <v>436.88127588790161</v>
      </c>
      <c r="FI72" s="28">
        <f t="shared" si="58"/>
        <v>464.86171070897689</v>
      </c>
      <c r="FJ72" s="33"/>
      <c r="FN72" s="31"/>
      <c r="FU72" s="1">
        <v>5</v>
      </c>
      <c r="FV72" s="35">
        <f t="shared" si="12"/>
        <v>300</v>
      </c>
      <c r="FW72" s="35">
        <f t="shared" si="31"/>
        <v>0</v>
      </c>
      <c r="FX72" s="15">
        <f t="shared" si="87"/>
        <v>0.87814591808626707</v>
      </c>
      <c r="FY72" s="28">
        <f t="shared" si="59"/>
        <v>392.76388193228109</v>
      </c>
      <c r="FZ72" s="28">
        <f t="shared" si="60"/>
        <v>447.2649406470245</v>
      </c>
      <c r="GA72" s="33"/>
      <c r="GE72" s="31"/>
      <c r="GL72" s="1">
        <v>6</v>
      </c>
      <c r="GM72" s="35">
        <f t="shared" si="13"/>
        <v>360</v>
      </c>
      <c r="GN72" s="35">
        <f t="shared" si="32"/>
        <v>0</v>
      </c>
      <c r="GO72" s="15">
        <f t="shared" si="77"/>
        <v>0.94600356300789634</v>
      </c>
      <c r="GP72" s="28">
        <f t="shared" si="61"/>
        <v>491.81261907866923</v>
      </c>
      <c r="GQ72" s="28">
        <f t="shared" si="62"/>
        <v>519.88453142281037</v>
      </c>
      <c r="GR72" s="33"/>
      <c r="GV72" s="31"/>
      <c r="HD72" s="35">
        <f t="shared" si="14"/>
        <v>0</v>
      </c>
      <c r="HE72" s="35">
        <f t="shared" si="33"/>
        <v>0</v>
      </c>
      <c r="HF72" s="15">
        <f t="shared" si="63"/>
        <v>1.0886718807422133</v>
      </c>
      <c r="HG72" s="28">
        <f t="shared" si="64"/>
        <v>250.5731081351903</v>
      </c>
      <c r="HH72" s="28">
        <f t="shared" si="65"/>
        <v>230.1640306575747</v>
      </c>
      <c r="HI72" s="33"/>
      <c r="HM72" s="31"/>
      <c r="HU72" s="35">
        <f t="shared" si="15"/>
        <v>0</v>
      </c>
      <c r="HV72" s="35">
        <f t="shared" si="34"/>
        <v>0</v>
      </c>
      <c r="HW72" s="15">
        <f t="shared" si="66"/>
        <v>0.90020496823463014</v>
      </c>
      <c r="HX72" s="28">
        <f t="shared" si="67"/>
        <v>88.122306850828437</v>
      </c>
      <c r="HY72" s="28">
        <f t="shared" si="68"/>
        <v>97.891380252702817</v>
      </c>
      <c r="HZ72" s="33"/>
      <c r="ID72" s="31"/>
      <c r="II72" s="12"/>
      <c r="IL72" s="35">
        <f t="shared" si="16"/>
        <v>0</v>
      </c>
      <c r="IM72" s="35">
        <f t="shared" si="17"/>
        <v>3927.9572150238678</v>
      </c>
      <c r="IN72" s="15">
        <f t="shared" si="69"/>
        <v>6.8137503728824489E-2</v>
      </c>
      <c r="IO72" s="28">
        <f t="shared" si="70"/>
        <v>3.9838874805129811</v>
      </c>
      <c r="IP72" s="28">
        <f t="shared" si="71"/>
        <v>58.4683509447039</v>
      </c>
      <c r="IQ72" s="33"/>
      <c r="IU72" s="31"/>
      <c r="JC72" s="35">
        <f t="shared" si="18"/>
        <v>0</v>
      </c>
      <c r="JD72" s="35">
        <f t="shared" si="19"/>
        <v>3771.5138637587615</v>
      </c>
      <c r="JE72" s="15" t="e">
        <f t="shared" si="72"/>
        <v>#DIV/0!</v>
      </c>
      <c r="JF72" s="28">
        <f t="shared" si="73"/>
        <v>0</v>
      </c>
      <c r="JG72" s="28">
        <f t="shared" si="74"/>
        <v>0</v>
      </c>
      <c r="JH72" s="33"/>
      <c r="JL72" s="31"/>
      <c r="JR72" s="99"/>
      <c r="JS72" s="99"/>
      <c r="JT72" s="99"/>
      <c r="JU72" s="99"/>
      <c r="JV72" s="99"/>
      <c r="JW72" s="99"/>
      <c r="JX72" s="99"/>
      <c r="JY72" s="99"/>
      <c r="JZ72" s="99"/>
      <c r="KA72" s="99"/>
      <c r="KB72" s="99"/>
      <c r="KC72" s="99"/>
      <c r="KD72" s="99"/>
      <c r="KE72" s="99"/>
      <c r="KF72" s="99"/>
      <c r="KG72" s="99"/>
      <c r="KH72" s="99"/>
      <c r="KI72" s="99"/>
      <c r="KJ72" s="99"/>
      <c r="KK72" s="99"/>
      <c r="KL72" s="99"/>
      <c r="KM72" s="99"/>
      <c r="KN72" s="99"/>
      <c r="KO72" s="99"/>
      <c r="KP72" s="99"/>
      <c r="KQ72" s="99"/>
      <c r="KR72" s="99"/>
      <c r="KS72" s="99"/>
      <c r="KT72" s="99"/>
      <c r="KU72" s="99"/>
      <c r="KV72" s="99"/>
      <c r="KW72" s="99"/>
      <c r="KX72" s="99"/>
      <c r="KY72" s="99"/>
      <c r="KZ72" s="99"/>
      <c r="LA72" s="99"/>
      <c r="LB72" s="99"/>
      <c r="LC72" s="99"/>
      <c r="LD72" s="99"/>
      <c r="LE72" s="99"/>
      <c r="LF72" s="99"/>
      <c r="LG72" s="99"/>
      <c r="LH72" s="99"/>
      <c r="LI72" s="99"/>
      <c r="LJ72" s="99"/>
      <c r="LK72" s="99"/>
      <c r="LL72" s="99"/>
      <c r="LM72" s="99"/>
      <c r="LN72" s="99"/>
      <c r="LO72" s="99"/>
      <c r="LP72" s="99"/>
      <c r="LQ72" s="99"/>
      <c r="LR72" s="99"/>
      <c r="LS72" s="99"/>
      <c r="LT72" s="99"/>
      <c r="LU72" s="99"/>
      <c r="LV72" s="99"/>
      <c r="LW72" s="99"/>
      <c r="LX72" s="99"/>
      <c r="LY72" s="99"/>
      <c r="LZ72" s="99"/>
      <c r="MA72" s="99"/>
      <c r="MB72" s="99"/>
      <c r="MC72" s="99"/>
      <c r="MD72" s="99"/>
      <c r="ME72" s="99"/>
      <c r="MF72" s="99"/>
    </row>
    <row r="73" spans="1:344" ht="17.25" customHeight="1" x14ac:dyDescent="0.25">
      <c r="A73" s="157"/>
      <c r="B73" s="92" t="s">
        <v>7</v>
      </c>
      <c r="C73" s="93">
        <v>45207</v>
      </c>
      <c r="D73" s="51"/>
      <c r="E73" s="48"/>
      <c r="F73" s="104"/>
      <c r="G73" s="37">
        <f t="shared" si="0"/>
        <v>0</v>
      </c>
      <c r="H73" s="26">
        <f t="shared" si="1"/>
        <v>0</v>
      </c>
      <c r="I73" s="48">
        <v>10</v>
      </c>
      <c r="J73" s="48"/>
      <c r="K73" s="104">
        <v>100</v>
      </c>
      <c r="L73" s="37">
        <f t="shared" si="2"/>
        <v>8</v>
      </c>
      <c r="M73" s="26">
        <f t="shared" si="20"/>
        <v>800</v>
      </c>
      <c r="N73" s="26">
        <f t="shared" si="21"/>
        <v>800</v>
      </c>
      <c r="O73" s="98"/>
      <c r="P73" s="151"/>
      <c r="Q73" s="125"/>
      <c r="R73" s="115"/>
      <c r="S73" s="130"/>
      <c r="T73" s="110"/>
      <c r="U73" s="120"/>
      <c r="V73" s="23"/>
      <c r="W73" s="13">
        <v>0</v>
      </c>
      <c r="X73" s="2">
        <v>8</v>
      </c>
      <c r="Y73" s="26">
        <f t="shared" si="3"/>
        <v>800</v>
      </c>
      <c r="Z73" s="26">
        <f t="shared" si="22"/>
        <v>0</v>
      </c>
      <c r="AA73" s="16">
        <f t="shared" si="80"/>
        <v>1.0464684441359053</v>
      </c>
      <c r="AB73" s="44">
        <f t="shared" si="81"/>
        <v>533.0519316786565</v>
      </c>
      <c r="AC73" s="44">
        <f t="shared" si="82"/>
        <v>509.3817540946593</v>
      </c>
      <c r="AD73" s="34"/>
      <c r="AE73" s="4"/>
      <c r="AF73" s="5"/>
      <c r="AG73" s="6"/>
      <c r="AH73" s="32"/>
      <c r="AI73" s="3"/>
      <c r="AJ73" s="4"/>
      <c r="AK73" s="5"/>
      <c r="AL73" s="6"/>
      <c r="AM73" s="14"/>
      <c r="AN73" s="95"/>
      <c r="AO73" s="96"/>
      <c r="AP73" s="26">
        <f t="shared" si="4"/>
        <v>0</v>
      </c>
      <c r="AQ73" s="26">
        <f t="shared" si="23"/>
        <v>0</v>
      </c>
      <c r="AR73" s="16">
        <f t="shared" si="83"/>
        <v>0.24283720454194432</v>
      </c>
      <c r="AS73" s="29">
        <f t="shared" si="37"/>
        <v>66.550007418946151</v>
      </c>
      <c r="AT73" s="29">
        <f t="shared" si="38"/>
        <v>274.05194168857776</v>
      </c>
      <c r="AU73" s="34"/>
      <c r="AV73" s="4"/>
      <c r="AW73" s="5"/>
      <c r="AX73" s="6"/>
      <c r="AY73" s="32"/>
      <c r="AZ73" s="3"/>
      <c r="BA73" s="4"/>
      <c r="BB73" s="5"/>
      <c r="BC73" s="6"/>
      <c r="BD73" s="14"/>
      <c r="BE73" s="13"/>
      <c r="BF73" s="2">
        <v>8</v>
      </c>
      <c r="BG73" s="26">
        <f t="shared" si="5"/>
        <v>800</v>
      </c>
      <c r="BH73" s="26">
        <f t="shared" si="24"/>
        <v>0</v>
      </c>
      <c r="BI73" s="16">
        <f t="shared" si="39"/>
        <v>1.2083746297690812</v>
      </c>
      <c r="BJ73" s="29">
        <f t="shared" si="40"/>
        <v>543.15517293238213</v>
      </c>
      <c r="BK73" s="29">
        <f t="shared" si="41"/>
        <v>449.49236731011013</v>
      </c>
      <c r="BL73" s="34"/>
      <c r="BM73" s="4"/>
      <c r="BN73" s="5"/>
      <c r="BO73" s="6"/>
      <c r="BP73" s="32"/>
      <c r="BQ73" s="3"/>
      <c r="BR73" s="4"/>
      <c r="BS73" s="5"/>
      <c r="BT73" s="6"/>
      <c r="BU73" s="14"/>
      <c r="BV73" s="13"/>
      <c r="BW73" s="2">
        <v>8</v>
      </c>
      <c r="BX73" s="26">
        <f t="shared" si="6"/>
        <v>800</v>
      </c>
      <c r="BY73" s="26">
        <f t="shared" si="25"/>
        <v>0</v>
      </c>
      <c r="BZ73" s="16">
        <f t="shared" si="42"/>
        <v>1.0002989851391206</v>
      </c>
      <c r="CA73" s="29">
        <f t="shared" si="43"/>
        <v>471.72897987213958</v>
      </c>
      <c r="CB73" s="29">
        <f t="shared" si="44"/>
        <v>471.58798207371166</v>
      </c>
      <c r="CC73" s="34"/>
      <c r="CD73" s="4"/>
      <c r="CE73" s="5"/>
      <c r="CF73" s="6"/>
      <c r="CG73" s="32"/>
      <c r="CH73" s="3"/>
      <c r="CI73" s="4"/>
      <c r="CJ73" s="5"/>
      <c r="CK73" s="6"/>
      <c r="CL73" s="14"/>
      <c r="CM73" s="13"/>
      <c r="CN73" s="2">
        <v>8</v>
      </c>
      <c r="CO73" s="26">
        <f t="shared" si="7"/>
        <v>800</v>
      </c>
      <c r="CP73" s="26">
        <f t="shared" si="26"/>
        <v>0</v>
      </c>
      <c r="CQ73" s="16">
        <f t="shared" si="45"/>
        <v>1.3568552727483576</v>
      </c>
      <c r="CR73" s="29">
        <f t="shared" si="46"/>
        <v>516.7050406900496</v>
      </c>
      <c r="CS73" s="29">
        <f t="shared" si="47"/>
        <v>380.81072540879438</v>
      </c>
      <c r="CT73" s="34"/>
      <c r="CU73" s="4"/>
      <c r="CV73" s="5"/>
      <c r="CW73" s="6"/>
      <c r="CX73" s="32"/>
      <c r="CY73" s="3"/>
      <c r="CZ73" s="4"/>
      <c r="DA73" s="5"/>
      <c r="DB73" s="6"/>
      <c r="DC73" s="14"/>
      <c r="DD73" s="13"/>
      <c r="DE73" s="2">
        <v>8</v>
      </c>
      <c r="DF73" s="26">
        <f t="shared" si="8"/>
        <v>800</v>
      </c>
      <c r="DG73" s="26">
        <f t="shared" si="27"/>
        <v>0</v>
      </c>
      <c r="DH73" s="16">
        <f t="shared" si="48"/>
        <v>1.0978798217799299</v>
      </c>
      <c r="DI73" s="29">
        <f t="shared" si="49"/>
        <v>463.92652565286534</v>
      </c>
      <c r="DJ73" s="29">
        <f t="shared" si="50"/>
        <v>422.56585506847892</v>
      </c>
      <c r="DK73" s="34"/>
      <c r="DL73" s="4"/>
      <c r="DM73" s="5"/>
      <c r="DN73" s="6"/>
      <c r="DO73" s="32"/>
      <c r="DP73" s="3"/>
      <c r="DQ73" s="4"/>
      <c r="DR73" s="5"/>
      <c r="DS73" s="6"/>
      <c r="DT73" s="14"/>
      <c r="DU73" s="95"/>
      <c r="DV73" s="96"/>
      <c r="DW73" s="26">
        <f t="shared" si="9"/>
        <v>0</v>
      </c>
      <c r="DX73" s="26">
        <f t="shared" si="28"/>
        <v>0</v>
      </c>
      <c r="DY73" s="16">
        <f t="shared" si="51"/>
        <v>0.23925831215355514</v>
      </c>
      <c r="DZ73" s="29">
        <f t="shared" si="52"/>
        <v>60.702484602263816</v>
      </c>
      <c r="EA73" s="29">
        <f t="shared" si="53"/>
        <v>253.71107927613053</v>
      </c>
      <c r="EB73" s="34"/>
      <c r="EC73" s="4"/>
      <c r="ED73" s="5"/>
      <c r="EE73" s="6"/>
      <c r="EF73" s="32"/>
      <c r="EG73" s="3"/>
      <c r="EH73" s="4"/>
      <c r="EI73" s="5"/>
      <c r="EJ73" s="6"/>
      <c r="EK73" s="14"/>
      <c r="EL73" s="13"/>
      <c r="EM73" s="2">
        <v>8</v>
      </c>
      <c r="EN73" s="26">
        <f t="shared" si="10"/>
        <v>800</v>
      </c>
      <c r="EO73" s="26">
        <f t="shared" si="29"/>
        <v>0</v>
      </c>
      <c r="EP73" s="16">
        <f t="shared" si="85"/>
        <v>1.1327440591047941</v>
      </c>
      <c r="EQ73" s="29">
        <f t="shared" si="54"/>
        <v>529.73101811790252</v>
      </c>
      <c r="ER73" s="29">
        <f t="shared" si="55"/>
        <v>467.65287697606476</v>
      </c>
      <c r="ES73" s="34"/>
      <c r="ET73" s="4"/>
      <c r="EU73" s="5"/>
      <c r="EV73" s="6"/>
      <c r="EW73" s="32"/>
      <c r="EX73" s="3"/>
      <c r="EY73" s="4"/>
      <c r="EZ73" s="5"/>
      <c r="FA73" s="6"/>
      <c r="FB73" s="14"/>
      <c r="FC73" s="13"/>
      <c r="FD73" s="2">
        <v>8</v>
      </c>
      <c r="FE73" s="26">
        <f t="shared" si="11"/>
        <v>800</v>
      </c>
      <c r="FF73" s="26">
        <f t="shared" si="30"/>
        <v>0</v>
      </c>
      <c r="FG73" s="16">
        <f t="shared" si="56"/>
        <v>1.0813285218465127</v>
      </c>
      <c r="FH73" s="29">
        <f t="shared" si="57"/>
        <v>527.66095691592614</v>
      </c>
      <c r="FI73" s="29">
        <f t="shared" si="58"/>
        <v>487.97469617732327</v>
      </c>
      <c r="FJ73" s="34"/>
      <c r="FK73" s="4"/>
      <c r="FL73" s="5"/>
      <c r="FM73" s="6"/>
      <c r="FN73" s="32"/>
      <c r="FO73" s="3"/>
      <c r="FP73" s="4"/>
      <c r="FQ73" s="5"/>
      <c r="FR73" s="6"/>
      <c r="FS73" s="14"/>
      <c r="FT73" s="13"/>
      <c r="FU73" s="2">
        <v>8</v>
      </c>
      <c r="FV73" s="26">
        <f t="shared" si="12"/>
        <v>800</v>
      </c>
      <c r="FW73" s="26">
        <f t="shared" si="31"/>
        <v>0</v>
      </c>
      <c r="FX73" s="16">
        <f t="shared" si="87"/>
        <v>1.0487316144524059</v>
      </c>
      <c r="FY73" s="29">
        <f t="shared" si="59"/>
        <v>494.57291144921084</v>
      </c>
      <c r="FZ73" s="29">
        <f t="shared" si="60"/>
        <v>471.59149646447105</v>
      </c>
      <c r="GA73" s="34"/>
      <c r="GB73" s="4"/>
      <c r="GC73" s="5"/>
      <c r="GD73" s="6"/>
      <c r="GE73" s="32"/>
      <c r="GF73" s="3"/>
      <c r="GG73" s="4"/>
      <c r="GH73" s="5"/>
      <c r="GI73" s="6"/>
      <c r="GJ73" s="14"/>
      <c r="GK73" s="13"/>
      <c r="GL73" s="2">
        <v>8</v>
      </c>
      <c r="GM73" s="26">
        <f t="shared" si="13"/>
        <v>800</v>
      </c>
      <c r="GN73" s="26">
        <f t="shared" si="32"/>
        <v>0</v>
      </c>
      <c r="GO73" s="16">
        <f t="shared" si="77"/>
        <v>1.0550008689316706</v>
      </c>
      <c r="GP73" s="29">
        <f t="shared" si="61"/>
        <v>568.85946430900185</v>
      </c>
      <c r="GQ73" s="29">
        <f t="shared" si="62"/>
        <v>539.20283960054758</v>
      </c>
      <c r="GR73" s="34"/>
      <c r="GS73" s="4"/>
      <c r="GT73" s="5"/>
      <c r="GU73" s="6"/>
      <c r="GV73" s="32"/>
      <c r="GW73" s="3"/>
      <c r="GX73" s="4"/>
      <c r="GY73" s="5"/>
      <c r="GZ73" s="6"/>
      <c r="HA73" s="14"/>
      <c r="HB73" s="13"/>
      <c r="HC73" s="2"/>
      <c r="HD73" s="26">
        <f t="shared" si="14"/>
        <v>0</v>
      </c>
      <c r="HE73" s="26">
        <f t="shared" si="33"/>
        <v>0</v>
      </c>
      <c r="HF73" s="16">
        <f t="shared" si="63"/>
        <v>0.87698568170900515</v>
      </c>
      <c r="HG73" s="29">
        <f t="shared" si="64"/>
        <v>187.92983110139272</v>
      </c>
      <c r="HH73" s="29">
        <f t="shared" si="65"/>
        <v>214.29064923291438</v>
      </c>
      <c r="HI73" s="34"/>
      <c r="HJ73" s="4"/>
      <c r="HK73" s="5"/>
      <c r="HL73" s="6"/>
      <c r="HM73" s="32"/>
      <c r="HN73" s="3"/>
      <c r="HO73" s="4"/>
      <c r="HP73" s="5"/>
      <c r="HQ73" s="6"/>
      <c r="HR73" s="14"/>
      <c r="HS73" s="13"/>
      <c r="HT73" s="2"/>
      <c r="HU73" s="26">
        <f t="shared" si="15"/>
        <v>0</v>
      </c>
      <c r="HV73" s="26">
        <f t="shared" si="34"/>
        <v>0</v>
      </c>
      <c r="HW73" s="16">
        <f t="shared" si="66"/>
        <v>0.72516511330011879</v>
      </c>
      <c r="HX73" s="29">
        <f t="shared" si="67"/>
        <v>66.091730138121335</v>
      </c>
      <c r="HY73" s="29">
        <f t="shared" si="68"/>
        <v>91.140250580102617</v>
      </c>
      <c r="HZ73" s="34"/>
      <c r="IA73" s="4"/>
      <c r="IB73" s="5"/>
      <c r="IC73" s="6"/>
      <c r="ID73" s="32"/>
      <c r="IE73" s="3"/>
      <c r="IF73" s="4"/>
      <c r="IG73" s="5"/>
      <c r="IH73" s="6"/>
      <c r="II73" s="14"/>
      <c r="IJ73" s="13"/>
      <c r="IK73" s="2"/>
      <c r="IL73" s="26">
        <f t="shared" si="16"/>
        <v>0</v>
      </c>
      <c r="IM73" s="26">
        <f t="shared" si="17"/>
        <v>5047.8567268125335</v>
      </c>
      <c r="IN73" s="16">
        <f t="shared" si="69"/>
        <v>5.4888544670441949E-2</v>
      </c>
      <c r="IO73" s="29">
        <f t="shared" si="70"/>
        <v>2.9879156103847357</v>
      </c>
      <c r="IP73" s="29">
        <f t="shared" si="71"/>
        <v>54.436050879551907</v>
      </c>
      <c r="IQ73" s="34"/>
      <c r="IR73" s="4"/>
      <c r="IS73" s="5"/>
      <c r="IT73" s="6"/>
      <c r="IU73" s="32"/>
      <c r="IV73" s="3"/>
      <c r="IW73" s="4"/>
      <c r="IX73" s="5"/>
      <c r="IY73" s="6"/>
      <c r="IZ73" s="14"/>
      <c r="JA73" s="13"/>
      <c r="JB73" s="2"/>
      <c r="JC73" s="26">
        <f t="shared" si="18"/>
        <v>0</v>
      </c>
      <c r="JD73" s="26">
        <f t="shared" si="19"/>
        <v>4774.944355622416</v>
      </c>
      <c r="JE73" s="16" t="e">
        <f t="shared" si="72"/>
        <v>#DIV/0!</v>
      </c>
      <c r="JF73" s="29">
        <f t="shared" si="73"/>
        <v>0</v>
      </c>
      <c r="JG73" s="29">
        <f t="shared" si="74"/>
        <v>0</v>
      </c>
      <c r="JH73" s="34"/>
      <c r="JI73" s="4"/>
      <c r="JJ73" s="5"/>
      <c r="JK73" s="6"/>
      <c r="JL73" s="32"/>
      <c r="JM73" s="3"/>
      <c r="JN73" s="4"/>
      <c r="JO73" s="5"/>
      <c r="JP73" s="6"/>
      <c r="JQ73" s="14"/>
      <c r="JR73" s="99"/>
      <c r="JS73" s="99"/>
      <c r="JT73" s="99"/>
      <c r="JU73" s="99"/>
      <c r="JV73" s="99"/>
      <c r="JW73" s="99"/>
      <c r="JX73" s="99"/>
      <c r="JY73" s="99"/>
      <c r="JZ73" s="99"/>
      <c r="KA73" s="99"/>
      <c r="KB73" s="99"/>
      <c r="KC73" s="99"/>
      <c r="KD73" s="99"/>
      <c r="KE73" s="99"/>
      <c r="KF73" s="99"/>
      <c r="KG73" s="99"/>
      <c r="KH73" s="99"/>
      <c r="KI73" s="99"/>
      <c r="KJ73" s="99"/>
      <c r="KK73" s="99"/>
      <c r="KL73" s="99"/>
      <c r="KM73" s="99"/>
      <c r="KN73" s="99"/>
      <c r="KO73" s="99"/>
      <c r="KP73" s="99"/>
      <c r="KQ73" s="99"/>
      <c r="KR73" s="99"/>
      <c r="KS73" s="99"/>
      <c r="KT73" s="99"/>
      <c r="KU73" s="99"/>
      <c r="KV73" s="99"/>
      <c r="KW73" s="99"/>
      <c r="KX73" s="99"/>
      <c r="KY73" s="99"/>
      <c r="KZ73" s="99"/>
      <c r="LA73" s="99"/>
      <c r="LB73" s="99"/>
      <c r="LC73" s="99"/>
      <c r="LD73" s="99"/>
      <c r="LE73" s="99"/>
      <c r="LF73" s="99"/>
      <c r="LG73" s="99"/>
      <c r="LH73" s="99"/>
      <c r="LI73" s="99"/>
      <c r="LJ73" s="99"/>
      <c r="LK73" s="99"/>
      <c r="LL73" s="99"/>
      <c r="LM73" s="99"/>
      <c r="LN73" s="99"/>
      <c r="LO73" s="99"/>
      <c r="LP73" s="99"/>
      <c r="LQ73" s="99"/>
      <c r="LR73" s="99"/>
      <c r="LS73" s="99"/>
      <c r="LT73" s="99"/>
      <c r="LU73" s="99"/>
      <c r="LV73" s="99"/>
      <c r="LW73" s="99"/>
      <c r="LX73" s="99"/>
      <c r="LY73" s="99"/>
      <c r="LZ73" s="99"/>
      <c r="MA73" s="99"/>
      <c r="MB73" s="99"/>
      <c r="MC73" s="99"/>
      <c r="MD73" s="99"/>
      <c r="ME73" s="99"/>
      <c r="MF73" s="99"/>
    </row>
    <row r="74" spans="1:344" ht="17.25" customHeight="1" x14ac:dyDescent="0.25">
      <c r="A74" s="155" t="s">
        <v>16</v>
      </c>
      <c r="B74" s="79" t="s">
        <v>1</v>
      </c>
      <c r="C74" s="80">
        <v>45208</v>
      </c>
      <c r="D74" s="50"/>
      <c r="G74" s="36">
        <f t="shared" si="0"/>
        <v>0</v>
      </c>
      <c r="H74" s="27">
        <f t="shared" si="1"/>
        <v>0</v>
      </c>
      <c r="I74" s="47"/>
      <c r="K74" s="105"/>
      <c r="L74" s="89">
        <f t="shared" si="2"/>
        <v>0</v>
      </c>
      <c r="M74" s="27">
        <f t="shared" si="20"/>
        <v>0</v>
      </c>
      <c r="N74" s="35">
        <f t="shared" si="21"/>
        <v>0</v>
      </c>
      <c r="O74" s="97"/>
      <c r="P74" s="149">
        <f t="shared" ref="P74" si="92">SUM(N74:N80)</f>
        <v>3057.9411111111112</v>
      </c>
      <c r="W74" s="11">
        <v>0</v>
      </c>
      <c r="X74" s="1">
        <v>0</v>
      </c>
      <c r="Y74" s="27">
        <f t="shared" si="3"/>
        <v>0</v>
      </c>
      <c r="Z74" s="27">
        <f t="shared" si="22"/>
        <v>0</v>
      </c>
      <c r="AA74" s="15">
        <f t="shared" si="80"/>
        <v>0.8429884688872572</v>
      </c>
      <c r="AB74" s="43">
        <f t="shared" si="81"/>
        <v>399.78894875899238</v>
      </c>
      <c r="AC74" s="43">
        <f t="shared" si="82"/>
        <v>474.2519779502</v>
      </c>
      <c r="AD74" s="33"/>
      <c r="AH74" s="31"/>
      <c r="AN74" s="86"/>
      <c r="AO74" s="87"/>
      <c r="AP74" s="27">
        <f t="shared" si="4"/>
        <v>0</v>
      </c>
      <c r="AQ74" s="27">
        <f t="shared" si="23"/>
        <v>0</v>
      </c>
      <c r="AR74" s="15">
        <f t="shared" si="83"/>
        <v>0.19561885921434402</v>
      </c>
      <c r="AS74" s="28">
        <f t="shared" si="37"/>
        <v>49.91250556420961</v>
      </c>
      <c r="AT74" s="28">
        <f t="shared" si="38"/>
        <v>255.15180777902066</v>
      </c>
      <c r="AU74" s="33"/>
      <c r="AY74" s="31"/>
      <c r="BG74" s="27">
        <f t="shared" si="5"/>
        <v>0</v>
      </c>
      <c r="BH74" s="27">
        <f t="shared" si="24"/>
        <v>0</v>
      </c>
      <c r="BI74" s="15">
        <f t="shared" si="39"/>
        <v>0.97341289620287086</v>
      </c>
      <c r="BJ74" s="28">
        <f t="shared" si="40"/>
        <v>407.3663796992866</v>
      </c>
      <c r="BK74" s="28">
        <f t="shared" si="41"/>
        <v>418.49289370251631</v>
      </c>
      <c r="BL74" s="33"/>
      <c r="BP74" s="31"/>
      <c r="BX74" s="27">
        <f t="shared" si="6"/>
        <v>0</v>
      </c>
      <c r="BY74" s="27">
        <f t="shared" si="25"/>
        <v>0</v>
      </c>
      <c r="BZ74" s="15">
        <f t="shared" si="42"/>
        <v>0.80579640469540281</v>
      </c>
      <c r="CA74" s="28">
        <f t="shared" si="43"/>
        <v>353.79673490410471</v>
      </c>
      <c r="CB74" s="28">
        <f t="shared" si="44"/>
        <v>439.0646729651798</v>
      </c>
      <c r="CC74" s="33"/>
      <c r="CG74" s="31"/>
      <c r="CO74" s="27">
        <f t="shared" si="7"/>
        <v>0</v>
      </c>
      <c r="CP74" s="27">
        <f t="shared" si="26"/>
        <v>0</v>
      </c>
      <c r="CQ74" s="15">
        <f t="shared" si="45"/>
        <v>1.0930223030472881</v>
      </c>
      <c r="CR74" s="28">
        <f t="shared" si="46"/>
        <v>387.5287805175372</v>
      </c>
      <c r="CS74" s="28">
        <f t="shared" si="47"/>
        <v>354.54791675991203</v>
      </c>
      <c r="CT74" s="33"/>
      <c r="CX74" s="31"/>
      <c r="DF74" s="27">
        <f t="shared" si="8"/>
        <v>0</v>
      </c>
      <c r="DG74" s="27">
        <f t="shared" si="27"/>
        <v>0</v>
      </c>
      <c r="DH74" s="15">
        <f t="shared" si="48"/>
        <v>0.88440318976716581</v>
      </c>
      <c r="DI74" s="28">
        <f t="shared" si="49"/>
        <v>347.94489423964899</v>
      </c>
      <c r="DJ74" s="28">
        <f t="shared" si="50"/>
        <v>393.42338230513553</v>
      </c>
      <c r="DK74" s="33"/>
      <c r="DO74" s="31"/>
      <c r="DU74" s="86"/>
      <c r="DV74" s="87"/>
      <c r="DW74" s="27">
        <f t="shared" si="9"/>
        <v>0</v>
      </c>
      <c r="DX74" s="27">
        <f t="shared" si="28"/>
        <v>0</v>
      </c>
      <c r="DY74" s="15">
        <f t="shared" si="51"/>
        <v>0.19273586256814168</v>
      </c>
      <c r="DZ74" s="28">
        <f t="shared" si="52"/>
        <v>45.526863451697864</v>
      </c>
      <c r="EA74" s="28">
        <f t="shared" si="53"/>
        <v>236.21376346398358</v>
      </c>
      <c r="EB74" s="33"/>
      <c r="EF74" s="31"/>
      <c r="EN74" s="27">
        <f t="shared" si="10"/>
        <v>0</v>
      </c>
      <c r="EO74" s="27">
        <f t="shared" si="29"/>
        <v>0</v>
      </c>
      <c r="EP74" s="15">
        <f t="shared" si="85"/>
        <v>0.91248826983441755</v>
      </c>
      <c r="EQ74" s="28">
        <f t="shared" si="54"/>
        <v>397.29826358842689</v>
      </c>
      <c r="ER74" s="28">
        <f t="shared" si="55"/>
        <v>435.4009544259913</v>
      </c>
      <c r="ES74" s="33"/>
      <c r="EW74" s="31"/>
      <c r="FE74" s="27">
        <f t="shared" si="11"/>
        <v>0</v>
      </c>
      <c r="FF74" s="27">
        <f t="shared" si="30"/>
        <v>0</v>
      </c>
      <c r="FG74" s="15">
        <f t="shared" si="56"/>
        <v>0.87107019815413533</v>
      </c>
      <c r="FH74" s="28">
        <f t="shared" si="57"/>
        <v>395.7457176869446</v>
      </c>
      <c r="FI74" s="28">
        <f t="shared" si="58"/>
        <v>454.32126885474923</v>
      </c>
      <c r="FJ74" s="33"/>
      <c r="FN74" s="31"/>
      <c r="FV74" s="27">
        <f t="shared" si="12"/>
        <v>0</v>
      </c>
      <c r="FW74" s="27">
        <f t="shared" si="31"/>
        <v>0</v>
      </c>
      <c r="FX74" s="15">
        <f t="shared" si="87"/>
        <v>0.84481157830888265</v>
      </c>
      <c r="FY74" s="28">
        <f t="shared" si="59"/>
        <v>370.92968358690814</v>
      </c>
      <c r="FZ74" s="28">
        <f t="shared" si="60"/>
        <v>439.06794498416269</v>
      </c>
      <c r="GA74" s="33"/>
      <c r="GE74" s="31"/>
      <c r="GM74" s="27">
        <f t="shared" si="13"/>
        <v>0</v>
      </c>
      <c r="GN74" s="27">
        <f t="shared" si="32"/>
        <v>0</v>
      </c>
      <c r="GO74" s="15">
        <f t="shared" si="77"/>
        <v>0.84986181108384562</v>
      </c>
      <c r="GP74" s="28">
        <f t="shared" si="61"/>
        <v>426.64459823175139</v>
      </c>
      <c r="GQ74" s="28">
        <f t="shared" si="62"/>
        <v>502.01643686947534</v>
      </c>
      <c r="GR74" s="33"/>
      <c r="GV74" s="31"/>
      <c r="HD74" s="27">
        <f t="shared" si="14"/>
        <v>0</v>
      </c>
      <c r="HE74" s="27">
        <f t="shared" si="33"/>
        <v>0</v>
      </c>
      <c r="HF74" s="15">
        <f t="shared" si="63"/>
        <v>0.70646068804336537</v>
      </c>
      <c r="HG74" s="28">
        <f t="shared" si="64"/>
        <v>140.94737332604456</v>
      </c>
      <c r="HH74" s="28">
        <f t="shared" si="65"/>
        <v>199.51198376857545</v>
      </c>
      <c r="HI74" s="33"/>
      <c r="HM74" s="31"/>
      <c r="HU74" s="27">
        <f t="shared" si="15"/>
        <v>0</v>
      </c>
      <c r="HV74" s="27">
        <f t="shared" si="34"/>
        <v>0</v>
      </c>
      <c r="HW74" s="15">
        <f t="shared" si="66"/>
        <v>0.58416078571398466</v>
      </c>
      <c r="HX74" s="28">
        <f t="shared" si="67"/>
        <v>49.568797603591001</v>
      </c>
      <c r="HY74" s="28">
        <f t="shared" si="68"/>
        <v>84.854716057336915</v>
      </c>
      <c r="HZ74" s="33"/>
      <c r="ID74" s="31"/>
      <c r="II74" s="12"/>
      <c r="IL74" s="27">
        <f t="shared" si="16"/>
        <v>0</v>
      </c>
      <c r="IM74" s="27">
        <f t="shared" si="17"/>
        <v>3612.9276936564038</v>
      </c>
      <c r="IN74" s="15">
        <f t="shared" si="69"/>
        <v>4.4215772095633793E-2</v>
      </c>
      <c r="IO74" s="28">
        <f t="shared" si="70"/>
        <v>2.2409367077885518</v>
      </c>
      <c r="IP74" s="28">
        <f t="shared" si="71"/>
        <v>50.681840474065567</v>
      </c>
      <c r="IQ74" s="33"/>
      <c r="IU74" s="31"/>
      <c r="JC74" s="27">
        <f t="shared" si="18"/>
        <v>0</v>
      </c>
      <c r="JD74" s="27">
        <f t="shared" si="19"/>
        <v>3326.1337727788505</v>
      </c>
      <c r="JE74" s="15" t="e">
        <f t="shared" si="72"/>
        <v>#DIV/0!</v>
      </c>
      <c r="JF74" s="28">
        <f t="shared" si="73"/>
        <v>0</v>
      </c>
      <c r="JG74" s="28">
        <f t="shared" si="74"/>
        <v>0</v>
      </c>
      <c r="JH74" s="33"/>
      <c r="JL74" s="31"/>
      <c r="JR74" s="99"/>
      <c r="JS74" s="99"/>
      <c r="JT74" s="99"/>
      <c r="JU74" s="99"/>
      <c r="JV74" s="99"/>
      <c r="JW74" s="99"/>
      <c r="JX74" s="99"/>
      <c r="JY74" s="99"/>
      <c r="JZ74" s="99"/>
      <c r="KA74" s="99"/>
      <c r="KB74" s="99"/>
      <c r="KC74" s="99"/>
      <c r="KD74" s="99"/>
      <c r="KE74" s="99"/>
      <c r="KF74" s="99"/>
      <c r="KG74" s="99"/>
      <c r="KH74" s="99"/>
      <c r="KI74" s="99"/>
      <c r="KJ74" s="99"/>
      <c r="KK74" s="99"/>
      <c r="KL74" s="99"/>
      <c r="KM74" s="99"/>
      <c r="KN74" s="99"/>
      <c r="KO74" s="99"/>
      <c r="KP74" s="99"/>
      <c r="KQ74" s="99"/>
      <c r="KR74" s="99"/>
      <c r="KS74" s="99"/>
      <c r="KT74" s="99"/>
      <c r="KU74" s="99"/>
      <c r="KV74" s="99"/>
      <c r="KW74" s="99"/>
      <c r="KX74" s="99"/>
      <c r="KY74" s="99"/>
      <c r="KZ74" s="99"/>
      <c r="LA74" s="99"/>
      <c r="LB74" s="99"/>
      <c r="LC74" s="99"/>
      <c r="LD74" s="99"/>
      <c r="LE74" s="99"/>
      <c r="LF74" s="99"/>
      <c r="LG74" s="99"/>
      <c r="LH74" s="99"/>
      <c r="LI74" s="99"/>
      <c r="LJ74" s="99"/>
      <c r="LK74" s="99"/>
      <c r="LL74" s="99"/>
      <c r="LM74" s="99"/>
      <c r="LN74" s="99"/>
      <c r="LO74" s="99"/>
      <c r="LP74" s="99"/>
      <c r="LQ74" s="99"/>
      <c r="LR74" s="99"/>
      <c r="LS74" s="99"/>
      <c r="LT74" s="99"/>
      <c r="LU74" s="99"/>
      <c r="LV74" s="99"/>
      <c r="LW74" s="99"/>
      <c r="LX74" s="99"/>
      <c r="LY74" s="99"/>
      <c r="LZ74" s="99"/>
      <c r="MA74" s="99"/>
      <c r="MB74" s="99"/>
      <c r="MC74" s="99"/>
      <c r="MD74" s="99"/>
      <c r="ME74" s="99"/>
      <c r="MF74" s="99"/>
    </row>
    <row r="75" spans="1:344" ht="17.25" customHeight="1" x14ac:dyDescent="0.25">
      <c r="A75" s="156"/>
      <c r="B75" s="81" t="s">
        <v>2</v>
      </c>
      <c r="C75" s="82">
        <v>45209</v>
      </c>
      <c r="D75" s="49"/>
      <c r="G75" s="89">
        <f t="shared" ref="G75:G138" si="93">AVERAGE(W75,AN75,BE75,BV75,CM75,DD75,DU75,EL75,FC75,FT75,GK75,KI65)</f>
        <v>0</v>
      </c>
      <c r="H75" s="35">
        <f t="shared" ref="H75:H138" si="94">F75*G75</f>
        <v>0</v>
      </c>
      <c r="I75" s="39">
        <v>72</v>
      </c>
      <c r="K75" s="103">
        <v>72</v>
      </c>
      <c r="L75" s="89">
        <f t="shared" ref="L75:L138" si="95">AVERAGE(X75,AO75,BF75,BW75,CN75,DE75,DV75,EM75,FD75,FU75,GL75)</f>
        <v>6.5900000000000007</v>
      </c>
      <c r="M75" s="35">
        <f t="shared" si="20"/>
        <v>474.48000000000008</v>
      </c>
      <c r="N75" s="35">
        <f t="shared" si="21"/>
        <v>474.48000000000008</v>
      </c>
      <c r="O75" s="97"/>
      <c r="P75" s="150"/>
      <c r="W75" s="11">
        <v>0</v>
      </c>
      <c r="X75" s="1">
        <v>7.7</v>
      </c>
      <c r="Y75" s="35">
        <f t="shared" ref="Y75:Y138" si="96">(W75*F75)+X75*K75</f>
        <v>554.4</v>
      </c>
      <c r="Z75" s="35">
        <f t="shared" si="22"/>
        <v>0</v>
      </c>
      <c r="AA75" s="15">
        <f t="shared" si="80"/>
        <v>0.91384016532006318</v>
      </c>
      <c r="AB75" s="43">
        <f t="shared" si="81"/>
        <v>438.44171156924426</v>
      </c>
      <c r="AC75" s="43">
        <f t="shared" si="82"/>
        <v>479.77942774673789</v>
      </c>
      <c r="AD75" s="33"/>
      <c r="AH75" s="31"/>
      <c r="AN75" s="86"/>
      <c r="AO75" s="87"/>
      <c r="AP75" s="35">
        <f t="shared" ref="AP75:AP138" si="97">(AN75*$F75)+AO75*$K75</f>
        <v>0</v>
      </c>
      <c r="AQ75" s="35">
        <f t="shared" si="23"/>
        <v>0</v>
      </c>
      <c r="AR75" s="15">
        <f t="shared" si="83"/>
        <v>0.15758185881155493</v>
      </c>
      <c r="AS75" s="28">
        <f t="shared" si="37"/>
        <v>37.434379173157211</v>
      </c>
      <c r="AT75" s="28">
        <f t="shared" si="38"/>
        <v>237.55513138046751</v>
      </c>
      <c r="AU75" s="33"/>
      <c r="AY75" s="31"/>
      <c r="BF75" s="1">
        <v>7.5</v>
      </c>
      <c r="BG75" s="35">
        <f t="shared" ref="BG75:BG138" si="98">(BE75*$F75)+BF75*$K75</f>
        <v>540</v>
      </c>
      <c r="BH75" s="35">
        <f t="shared" si="24"/>
        <v>0</v>
      </c>
      <c r="BI75" s="15">
        <f t="shared" si="39"/>
        <v>1.0319816442352798</v>
      </c>
      <c r="BJ75" s="28">
        <f t="shared" si="40"/>
        <v>440.52478477446493</v>
      </c>
      <c r="BK75" s="28">
        <f t="shared" si="41"/>
        <v>426.87269413682554</v>
      </c>
      <c r="BL75" s="33"/>
      <c r="BP75" s="31"/>
      <c r="BW75" s="1">
        <v>4</v>
      </c>
      <c r="BX75" s="35">
        <f t="shared" ref="BX75:BX138" si="99">(BV75*$F75)+BW75*$K75</f>
        <v>288</v>
      </c>
      <c r="BY75" s="35">
        <f t="shared" si="25"/>
        <v>0</v>
      </c>
      <c r="BZ75" s="15">
        <f t="shared" si="42"/>
        <v>0.78700657630089565</v>
      </c>
      <c r="CA75" s="28">
        <f t="shared" si="43"/>
        <v>337.34755117807856</v>
      </c>
      <c r="CB75" s="28">
        <f t="shared" si="44"/>
        <v>428.64641965723638</v>
      </c>
      <c r="CC75" s="33"/>
      <c r="CG75" s="31"/>
      <c r="CN75" s="1">
        <v>7</v>
      </c>
      <c r="CO75" s="35">
        <f t="shared" ref="CO75:CO138" si="100">(CM75*$F75)+CN75*$K75</f>
        <v>504</v>
      </c>
      <c r="CP75" s="35">
        <f t="shared" si="26"/>
        <v>0</v>
      </c>
      <c r="CQ75" s="15">
        <f t="shared" si="45"/>
        <v>1.1419512806760295</v>
      </c>
      <c r="CR75" s="28">
        <f t="shared" si="46"/>
        <v>416.64658538815291</v>
      </c>
      <c r="CS75" s="28">
        <f t="shared" si="47"/>
        <v>364.85495698336638</v>
      </c>
      <c r="CT75" s="33"/>
      <c r="CX75" s="31"/>
      <c r="DE75" s="1">
        <v>6.2</v>
      </c>
      <c r="DF75" s="35">
        <f t="shared" ref="DF75:DF138" si="101">(DD75*$F75)+DE75*$K75</f>
        <v>446.40000000000003</v>
      </c>
      <c r="DG75" s="35">
        <f t="shared" si="27"/>
        <v>0</v>
      </c>
      <c r="DH75" s="15">
        <f t="shared" si="48"/>
        <v>0.93825309690886327</v>
      </c>
      <c r="DI75" s="28">
        <f t="shared" si="49"/>
        <v>372.55867067973679</v>
      </c>
      <c r="DJ75" s="28">
        <f t="shared" si="50"/>
        <v>397.07694214616066</v>
      </c>
      <c r="DK75" s="33"/>
      <c r="DO75" s="31"/>
      <c r="DV75" s="1">
        <v>5</v>
      </c>
      <c r="DW75" s="35">
        <f t="shared" ref="DW75:DW138" si="102">(DU75*$F75)+DV75*$K75</f>
        <v>360</v>
      </c>
      <c r="DX75" s="35">
        <f t="shared" si="28"/>
        <v>0</v>
      </c>
      <c r="DY75" s="15">
        <f t="shared" si="51"/>
        <v>0.5072309276918453</v>
      </c>
      <c r="DZ75" s="28">
        <f t="shared" si="52"/>
        <v>124.1451475887734</v>
      </c>
      <c r="EA75" s="28">
        <f t="shared" si="53"/>
        <v>244.75074529405367</v>
      </c>
      <c r="EB75" s="33"/>
      <c r="EF75" s="31"/>
      <c r="EM75" s="1">
        <v>7</v>
      </c>
      <c r="EN75" s="35">
        <f t="shared" ref="EN75:EN138" si="103">(EL75*$F75)+EM75*$K75</f>
        <v>504</v>
      </c>
      <c r="EO75" s="35">
        <f t="shared" si="29"/>
        <v>0</v>
      </c>
      <c r="EP75" s="15">
        <f t="shared" si="85"/>
        <v>0.96328776771826996</v>
      </c>
      <c r="EQ75" s="28">
        <f t="shared" si="54"/>
        <v>423.97369769132018</v>
      </c>
      <c r="ER75" s="28">
        <f t="shared" si="55"/>
        <v>440.13192308626776</v>
      </c>
      <c r="ES75" s="33"/>
      <c r="EW75" s="31"/>
      <c r="FD75" s="1">
        <v>7</v>
      </c>
      <c r="FE75" s="35">
        <f t="shared" ref="FE75:FE138" si="104">(FC75*$F75)+FD75*$K75</f>
        <v>504</v>
      </c>
      <c r="FF75" s="35">
        <f t="shared" si="30"/>
        <v>0</v>
      </c>
      <c r="FG75" s="15">
        <f t="shared" si="56"/>
        <v>0.92367384090842919</v>
      </c>
      <c r="FH75" s="28">
        <f t="shared" si="57"/>
        <v>422.80928826520847</v>
      </c>
      <c r="FI75" s="28">
        <f t="shared" si="58"/>
        <v>457.74738824407689</v>
      </c>
      <c r="FJ75" s="33"/>
      <c r="FN75" s="31"/>
      <c r="FU75" s="1">
        <v>7</v>
      </c>
      <c r="FV75" s="35">
        <f t="shared" ref="FV75:FV138" si="105">(FT75*$F75)+FU75*$K75</f>
        <v>504</v>
      </c>
      <c r="FW75" s="35">
        <f t="shared" si="31"/>
        <v>0</v>
      </c>
      <c r="FX75" s="15">
        <f t="shared" si="87"/>
        <v>0.91128596925783623</v>
      </c>
      <c r="FY75" s="28">
        <f t="shared" si="59"/>
        <v>404.19726269018111</v>
      </c>
      <c r="FZ75" s="28">
        <f t="shared" si="60"/>
        <v>443.54601774387561</v>
      </c>
      <c r="GA75" s="33"/>
      <c r="GE75" s="31"/>
      <c r="GL75" s="1">
        <v>7.5</v>
      </c>
      <c r="GM75" s="35">
        <f t="shared" ref="GM75:GM138" si="106">(GK75*$F75)+GL75*$K75</f>
        <v>540</v>
      </c>
      <c r="GN75" s="35">
        <f t="shared" si="32"/>
        <v>0</v>
      </c>
      <c r="GO75" s="15">
        <f t="shared" si="77"/>
        <v>0.90160720803202732</v>
      </c>
      <c r="GP75" s="28">
        <f t="shared" si="61"/>
        <v>454.98344867381354</v>
      </c>
      <c r="GQ75" s="28">
        <f t="shared" si="62"/>
        <v>504.63599294744256</v>
      </c>
      <c r="GR75" s="33"/>
      <c r="GV75" s="31"/>
      <c r="HD75" s="35">
        <f t="shared" ref="HD75:HD138" si="107">(HB75*$F75)+HC75*$K75</f>
        <v>0</v>
      </c>
      <c r="HE75" s="35">
        <f t="shared" si="33"/>
        <v>0</v>
      </c>
      <c r="HF75" s="15">
        <f t="shared" si="63"/>
        <v>0.56909333203493329</v>
      </c>
      <c r="HG75" s="28">
        <f t="shared" si="64"/>
        <v>105.71052999453342</v>
      </c>
      <c r="HH75" s="28">
        <f t="shared" si="65"/>
        <v>185.75253661212196</v>
      </c>
      <c r="HI75" s="33"/>
      <c r="HM75" s="31"/>
      <c r="HU75" s="35">
        <f t="shared" ref="HU75:HU138" si="108">(HS75*$F75)+HT75*$K75</f>
        <v>0</v>
      </c>
      <c r="HV75" s="35">
        <f t="shared" si="34"/>
        <v>0</v>
      </c>
      <c r="HW75" s="15">
        <f t="shared" si="66"/>
        <v>0.47057396626959869</v>
      </c>
      <c r="HX75" s="28">
        <f t="shared" si="67"/>
        <v>37.176598202693249</v>
      </c>
      <c r="HY75" s="28">
        <f t="shared" si="68"/>
        <v>79.002666674072302</v>
      </c>
      <c r="HZ75" s="33"/>
      <c r="ID75" s="31"/>
      <c r="II75" s="12"/>
      <c r="IL75" s="35">
        <f t="shared" ref="IL75:IL138" si="109">(IJ75*$F75)+IK75*$K75</f>
        <v>0</v>
      </c>
      <c r="IM75" s="35">
        <f t="shared" ref="IM75:IM138" si="110">(BX75*1+BY75*2+BZ75*3+CA75*4+CB75*5)+(CC75*1+CD75*2+CE75*3+CF75*4+CG75*5)</f>
        <v>3782.9833227273989</v>
      </c>
      <c r="IN75" s="15">
        <f t="shared" si="69"/>
        <v>3.5618260854816119E-2</v>
      </c>
      <c r="IO75" s="28">
        <f t="shared" si="70"/>
        <v>1.6807025308414139</v>
      </c>
      <c r="IP75" s="28">
        <f t="shared" si="71"/>
        <v>47.186541131026559</v>
      </c>
      <c r="IQ75" s="33"/>
      <c r="IU75" s="31"/>
      <c r="JC75" s="35">
        <f t="shared" ref="JC75:JC122" si="111">(JA75*$F75)+JB75*$K75</f>
        <v>0</v>
      </c>
      <c r="JD75" s="35">
        <f t="shared" ref="JD75:JD138" si="112">(CO75*1+CP75*2+CQ75*3+CR75*4+CS75*5)+(CT75*1+CU75*2+CV75*3+CW75*4+CX75*5)</f>
        <v>3998.2869803114713</v>
      </c>
      <c r="JE75" s="15" t="e">
        <f t="shared" si="72"/>
        <v>#DIV/0!</v>
      </c>
      <c r="JF75" s="28">
        <f t="shared" si="73"/>
        <v>0</v>
      </c>
      <c r="JG75" s="28">
        <f t="shared" si="74"/>
        <v>0</v>
      </c>
      <c r="JH75" s="33"/>
      <c r="JL75" s="31"/>
      <c r="JR75" s="99"/>
      <c r="JS75" s="99"/>
      <c r="JT75" s="99"/>
      <c r="JU75" s="99"/>
      <c r="JV75" s="99"/>
      <c r="JW75" s="99"/>
      <c r="JX75" s="99"/>
      <c r="JY75" s="99"/>
      <c r="JZ75" s="99"/>
      <c r="KA75" s="99"/>
      <c r="KB75" s="99"/>
      <c r="KC75" s="99"/>
      <c r="KD75" s="99"/>
      <c r="KE75" s="99"/>
      <c r="KF75" s="99"/>
      <c r="KG75" s="99"/>
      <c r="KH75" s="99"/>
      <c r="KI75" s="99"/>
      <c r="KJ75" s="99"/>
      <c r="KK75" s="99"/>
      <c r="KL75" s="99"/>
      <c r="KM75" s="99"/>
      <c r="KN75" s="99"/>
      <c r="KO75" s="99"/>
      <c r="KP75" s="99"/>
      <c r="KQ75" s="99"/>
      <c r="KR75" s="99"/>
      <c r="KS75" s="99"/>
      <c r="KT75" s="99"/>
      <c r="KU75" s="99"/>
      <c r="KV75" s="99"/>
      <c r="KW75" s="99"/>
      <c r="KX75" s="99"/>
      <c r="KY75" s="99"/>
      <c r="KZ75" s="99"/>
      <c r="LA75" s="99"/>
      <c r="LB75" s="99"/>
      <c r="LC75" s="99"/>
      <c r="LD75" s="99"/>
      <c r="LE75" s="99"/>
      <c r="LF75" s="99"/>
      <c r="LG75" s="99"/>
      <c r="LH75" s="99"/>
      <c r="LI75" s="99"/>
      <c r="LJ75" s="99"/>
      <c r="LK75" s="99"/>
      <c r="LL75" s="99"/>
      <c r="LM75" s="99"/>
      <c r="LN75" s="99"/>
      <c r="LO75" s="99"/>
      <c r="LP75" s="99"/>
      <c r="LQ75" s="99"/>
      <c r="LR75" s="99"/>
      <c r="LS75" s="99"/>
      <c r="LT75" s="99"/>
      <c r="LU75" s="99"/>
      <c r="LV75" s="99"/>
      <c r="LW75" s="99"/>
      <c r="LX75" s="99"/>
      <c r="LY75" s="99"/>
      <c r="LZ75" s="99"/>
      <c r="MA75" s="99"/>
      <c r="MB75" s="99"/>
      <c r="MC75" s="99"/>
      <c r="MD75" s="99"/>
      <c r="ME75" s="99"/>
      <c r="MF75" s="99"/>
    </row>
    <row r="76" spans="1:344" ht="17.25" customHeight="1" x14ac:dyDescent="0.25">
      <c r="A76" s="156"/>
      <c r="B76" s="81" t="s">
        <v>3</v>
      </c>
      <c r="C76" s="82">
        <v>45210</v>
      </c>
      <c r="D76" s="49">
        <v>11</v>
      </c>
      <c r="F76" s="103">
        <v>74</v>
      </c>
      <c r="G76" s="89">
        <f t="shared" si="93"/>
        <v>7.0055555555555555</v>
      </c>
      <c r="H76" s="35">
        <f t="shared" si="94"/>
        <v>518.41111111111115</v>
      </c>
      <c r="I76" s="39"/>
      <c r="L76" s="89">
        <f t="shared" si="95"/>
        <v>0</v>
      </c>
      <c r="M76" s="35">
        <f t="shared" ref="M76:M139" si="113">K76*L76</f>
        <v>0</v>
      </c>
      <c r="N76" s="35">
        <f t="shared" ref="N76:N139" si="114">H76+M76</f>
        <v>518.41111111111115</v>
      </c>
      <c r="O76" s="97"/>
      <c r="P76" s="150"/>
      <c r="V76" s="1"/>
      <c r="W76" s="11">
        <v>6</v>
      </c>
      <c r="X76" s="1">
        <v>0</v>
      </c>
      <c r="Y76" s="35">
        <f t="shared" si="96"/>
        <v>444</v>
      </c>
      <c r="Z76" s="35">
        <f t="shared" ref="Z76:Z139" si="115">(AD76*1+AE76*2+AF76*3+AG76*4+AH76*5)+(AI76*1+AJ76*2+AK76*3+AL76*4+AM76*5)</f>
        <v>0</v>
      </c>
      <c r="AA76" s="15">
        <f t="shared" si="80"/>
        <v>0.92147566649778834</v>
      </c>
      <c r="AB76" s="43">
        <f t="shared" si="81"/>
        <v>439.8312836769332</v>
      </c>
      <c r="AC76" s="43">
        <f t="shared" si="82"/>
        <v>477.31188100558359</v>
      </c>
      <c r="AD76" s="33"/>
      <c r="AH76" s="31"/>
      <c r="AN76" s="86"/>
      <c r="AO76" s="87"/>
      <c r="AP76" s="35">
        <f t="shared" si="97"/>
        <v>0</v>
      </c>
      <c r="AQ76" s="35">
        <f t="shared" ref="AQ76:AQ139" si="116">(AU76*1+AV76*2+AW76*3+AX76*4+AY76*5)+(AZ76*1+BA76*2+BB76*3+BC76*4+BD76*5)</f>
        <v>0</v>
      </c>
      <c r="AR76" s="15">
        <f t="shared" si="83"/>
        <v>0.12694094182041923</v>
      </c>
      <c r="AS76" s="28">
        <f t="shared" si="37"/>
        <v>28.075784379867908</v>
      </c>
      <c r="AT76" s="28">
        <f t="shared" si="38"/>
        <v>221.17201887146976</v>
      </c>
      <c r="AU76" s="33"/>
      <c r="AY76" s="31"/>
      <c r="BE76" s="11">
        <v>8</v>
      </c>
      <c r="BG76" s="35">
        <f t="shared" si="98"/>
        <v>592</v>
      </c>
      <c r="BH76" s="35">
        <f t="shared" ref="BH76:BH139" si="117">(BL76*1+BM76*2+BN76*3+BO76*4+BP76*5)+(BQ76*1+BR76*2+BS76*3+BT76*4+BU76*5)</f>
        <v>0</v>
      </c>
      <c r="BI76" s="15">
        <f t="shared" si="39"/>
        <v>1.0915728849846467</v>
      </c>
      <c r="BJ76" s="28">
        <f t="shared" si="40"/>
        <v>478.3935885808487</v>
      </c>
      <c r="BK76" s="28">
        <f t="shared" si="41"/>
        <v>438.26078419635485</v>
      </c>
      <c r="BL76" s="33"/>
      <c r="BP76" s="31"/>
      <c r="BV76" s="86"/>
      <c r="BW76" s="87"/>
      <c r="BX76" s="35">
        <f t="shared" si="99"/>
        <v>0</v>
      </c>
      <c r="BY76" s="35">
        <f t="shared" ref="BY76:BY139" si="118">(CC76*1+CD76*2+CE76*3+CF76*4+CG76*5)+(CH76*1+CI76*2+CJ76*3+CK76*4+CL76*5)</f>
        <v>0</v>
      </c>
      <c r="BZ76" s="15">
        <f t="shared" si="42"/>
        <v>0.63397751979794381</v>
      </c>
      <c r="CA76" s="28">
        <f t="shared" si="43"/>
        <v>253.01066338355892</v>
      </c>
      <c r="CB76" s="28">
        <f t="shared" si="44"/>
        <v>399.08459761190971</v>
      </c>
      <c r="CC76" s="33"/>
      <c r="CG76" s="31"/>
      <c r="CM76" s="11">
        <v>7</v>
      </c>
      <c r="CO76" s="35">
        <f t="shared" si="100"/>
        <v>518</v>
      </c>
      <c r="CP76" s="35">
        <f t="shared" ref="CP76:CP139" si="119">(CT76*1+CU76*2+CV76*3+CW76*4+CX76*5)+(CY76*1+CZ76*2+DA76*3+DB76*4+DC76*5)</f>
        <v>0</v>
      </c>
      <c r="CQ76" s="15">
        <f t="shared" si="45"/>
        <v>1.1773183179508229</v>
      </c>
      <c r="CR76" s="28">
        <f t="shared" si="46"/>
        <v>441.98493904111467</v>
      </c>
      <c r="CS76" s="28">
        <f t="shared" si="47"/>
        <v>375.41668408796181</v>
      </c>
      <c r="CT76" s="33"/>
      <c r="CX76" s="31"/>
      <c r="DD76" s="11">
        <v>5.05</v>
      </c>
      <c r="DF76" s="35">
        <f t="shared" si="101"/>
        <v>373.7</v>
      </c>
      <c r="DG76" s="35">
        <f t="shared" ref="DG76:DG139" si="120">(DK76*1+DL76*2+DM76*3+DN76*4+DO76*5)+(DP76*1+DQ76*2+DR76*3+DS76*4+DT76*5)</f>
        <v>0</v>
      </c>
      <c r="DH76" s="15">
        <f t="shared" si="48"/>
        <v>0.9427996127461945</v>
      </c>
      <c r="DI76" s="28">
        <f t="shared" si="49"/>
        <v>372.84400300980263</v>
      </c>
      <c r="DJ76" s="28">
        <f t="shared" si="50"/>
        <v>395.46473923952891</v>
      </c>
      <c r="DK76" s="33"/>
      <c r="DO76" s="31"/>
      <c r="DU76" s="11">
        <v>7</v>
      </c>
      <c r="DW76" s="35">
        <f t="shared" si="102"/>
        <v>518</v>
      </c>
      <c r="DX76" s="35">
        <f t="shared" ref="DX76:DX139" si="121">(EB76*1+EC76*2+ED76*3+EE76*4+EF76*5)+(EG76*1+EH76*2+EI76*3+EJ76*4+EK76*5)</f>
        <v>0</v>
      </c>
      <c r="DY76" s="15">
        <f t="shared" si="51"/>
        <v>0.84450926723314557</v>
      </c>
      <c r="DZ76" s="28">
        <f t="shared" si="52"/>
        <v>222.60886069158005</v>
      </c>
      <c r="EA76" s="28">
        <f t="shared" si="53"/>
        <v>263.59552148067064</v>
      </c>
      <c r="EB76" s="33"/>
      <c r="EF76" s="31"/>
      <c r="EL76" s="11">
        <v>8</v>
      </c>
      <c r="EN76" s="35">
        <f t="shared" si="103"/>
        <v>592</v>
      </c>
      <c r="EO76" s="35">
        <f t="shared" ref="EO76:EO139" si="122">(ES76*1+ET76*2+EU76*3+EV76*4+EW76*5)+(EX76*1+EY76*2+EZ76*3+FA76*4+FB76*5)</f>
        <v>0</v>
      </c>
      <c r="EP76" s="15">
        <f t="shared" si="85"/>
        <v>1.0341200603504308</v>
      </c>
      <c r="EQ76" s="28">
        <f t="shared" si="54"/>
        <v>465.98027326849012</v>
      </c>
      <c r="ER76" s="28">
        <f t="shared" si="55"/>
        <v>450.60558356307689</v>
      </c>
      <c r="ES76" s="33"/>
      <c r="EW76" s="31"/>
      <c r="FC76" s="11">
        <v>7</v>
      </c>
      <c r="FE76" s="35">
        <f t="shared" si="104"/>
        <v>518</v>
      </c>
      <c r="FF76" s="35">
        <f t="shared" ref="FF76:FF139" si="123">(FJ76*1+FK76*2+FL76*3+FM76*4+FN76*5)+(FO76*1+FP76*2+FQ76*3+FR76*4+FS76*5)</f>
        <v>0</v>
      </c>
      <c r="FG76" s="15">
        <f t="shared" si="56"/>
        <v>0.96688529157833858</v>
      </c>
      <c r="FH76" s="28">
        <f t="shared" si="57"/>
        <v>446.60696619890632</v>
      </c>
      <c r="FI76" s="28">
        <f t="shared" si="58"/>
        <v>461.90274077896811</v>
      </c>
      <c r="FJ76" s="33"/>
      <c r="FN76" s="31"/>
      <c r="FT76" s="11">
        <v>7</v>
      </c>
      <c r="FV76" s="35">
        <f t="shared" si="105"/>
        <v>518</v>
      </c>
      <c r="FW76" s="35">
        <f t="shared" ref="FW76:FW139" si="124">(GA76*1+GB76*2+GC76*3+GD76*4+GE76*5)+(GF76*1+GG76*2+GH76*3+GI76*4+GJ76*5)</f>
        <v>0</v>
      </c>
      <c r="FX76" s="15">
        <f t="shared" si="87"/>
        <v>0.96426673703997945</v>
      </c>
      <c r="FY76" s="28">
        <f t="shared" si="59"/>
        <v>432.64794701763583</v>
      </c>
      <c r="FZ76" s="28">
        <f t="shared" si="60"/>
        <v>448.68077514084968</v>
      </c>
      <c r="GA76" s="33"/>
      <c r="GE76" s="31"/>
      <c r="GK76" s="11">
        <v>8</v>
      </c>
      <c r="GM76" s="35">
        <f t="shared" si="106"/>
        <v>592</v>
      </c>
      <c r="GN76" s="35">
        <f t="shared" ref="GN76:GN139" si="125">(GR76*1+GS76*2+GT76*3+GU76*4+GV76*5)+(GW76*1+GX76*2+GY76*3+GZ76*4+HA76*5)</f>
        <v>0</v>
      </c>
      <c r="GO76" s="15">
        <f t="shared" si="77"/>
        <v>0.95804749861004646</v>
      </c>
      <c r="GP76" s="28">
        <f t="shared" si="61"/>
        <v>489.23758650536013</v>
      </c>
      <c r="GQ76" s="28">
        <f t="shared" si="62"/>
        <v>510.66109688210167</v>
      </c>
      <c r="GR76" s="33"/>
      <c r="GV76" s="31"/>
      <c r="HB76" s="11">
        <v>7</v>
      </c>
      <c r="HD76" s="35">
        <f t="shared" si="107"/>
        <v>518</v>
      </c>
      <c r="HE76" s="35">
        <f t="shared" ref="HE76:HE139" si="126">(HI76*1+HJ76*2+HK76*3+HL76*4+HM76*5)+(HN76*1+HO76*2+HP76*3+HQ76*4+HR76*5)</f>
        <v>0</v>
      </c>
      <c r="HF76" s="15">
        <f t="shared" si="63"/>
        <v>1.0005594712722901</v>
      </c>
      <c r="HG76" s="28">
        <f t="shared" si="64"/>
        <v>208.78289749590004</v>
      </c>
      <c r="HH76" s="28">
        <f t="shared" si="65"/>
        <v>208.66615477680318</v>
      </c>
      <c r="HI76" s="33"/>
      <c r="HM76" s="31"/>
      <c r="HU76" s="35">
        <f t="shared" si="108"/>
        <v>0</v>
      </c>
      <c r="HV76" s="35">
        <f t="shared" ref="HV76:HV139" si="127">(HZ76*1+IA76*2+IB76*3+IC76*4+ID76*5)+(IE76*1+IF76*2+IG76*3+IH76*4+II76*5)</f>
        <v>0</v>
      </c>
      <c r="HW76" s="15">
        <f t="shared" si="66"/>
        <v>0.37907347282828785</v>
      </c>
      <c r="HX76" s="28">
        <f t="shared" si="67"/>
        <v>27.882448652019939</v>
      </c>
      <c r="HY76" s="28">
        <f t="shared" si="68"/>
        <v>73.554206903446627</v>
      </c>
      <c r="HZ76" s="33"/>
      <c r="ID76" s="31"/>
      <c r="II76" s="12"/>
      <c r="IL76" s="35">
        <f t="shared" si="109"/>
        <v>0</v>
      </c>
      <c r="IM76" s="35">
        <f t="shared" si="110"/>
        <v>3009.3675741531779</v>
      </c>
      <c r="IN76" s="15">
        <f t="shared" si="69"/>
        <v>2.8692487910824092E-2</v>
      </c>
      <c r="IO76" s="28">
        <f t="shared" si="70"/>
        <v>1.2605268981310604</v>
      </c>
      <c r="IP76" s="28">
        <f t="shared" si="71"/>
        <v>43.932296915093694</v>
      </c>
      <c r="IQ76" s="33"/>
      <c r="IU76" s="31"/>
      <c r="JC76" s="35">
        <f t="shared" si="111"/>
        <v>0</v>
      </c>
      <c r="JD76" s="35">
        <f t="shared" si="112"/>
        <v>4166.5551315581206</v>
      </c>
      <c r="JE76" s="15" t="e">
        <f t="shared" si="72"/>
        <v>#DIV/0!</v>
      </c>
      <c r="JF76" s="28">
        <f t="shared" si="73"/>
        <v>0</v>
      </c>
      <c r="JG76" s="28">
        <f t="shared" si="74"/>
        <v>0</v>
      </c>
      <c r="JH76" s="33"/>
      <c r="JL76" s="31"/>
      <c r="JR76" s="99"/>
      <c r="JS76" s="99"/>
      <c r="JT76" s="99"/>
      <c r="JU76" s="99"/>
      <c r="JV76" s="99"/>
      <c r="JW76" s="99"/>
      <c r="JX76" s="99"/>
      <c r="JY76" s="99"/>
      <c r="JZ76" s="99"/>
      <c r="KA76" s="99"/>
      <c r="KB76" s="99"/>
      <c r="KC76" s="99"/>
      <c r="KD76" s="99"/>
      <c r="KE76" s="99"/>
      <c r="KF76" s="99"/>
      <c r="KG76" s="99"/>
      <c r="KH76" s="99"/>
      <c r="KI76" s="99"/>
      <c r="KJ76" s="99"/>
      <c r="KK76" s="99"/>
      <c r="KL76" s="99"/>
      <c r="KM76" s="99"/>
      <c r="KN76" s="99"/>
      <c r="KO76" s="99"/>
      <c r="KP76" s="99"/>
      <c r="KQ76" s="99"/>
      <c r="KR76" s="99"/>
      <c r="KS76" s="99"/>
      <c r="KT76" s="99"/>
      <c r="KU76" s="99"/>
      <c r="KV76" s="99"/>
      <c r="KW76" s="99"/>
      <c r="KX76" s="99"/>
      <c r="KY76" s="99"/>
      <c r="KZ76" s="99"/>
      <c r="LA76" s="99"/>
      <c r="LB76" s="99"/>
      <c r="LC76" s="99"/>
      <c r="LD76" s="99"/>
      <c r="LE76" s="99"/>
      <c r="LF76" s="99"/>
      <c r="LG76" s="99"/>
      <c r="LH76" s="99"/>
      <c r="LI76" s="99"/>
      <c r="LJ76" s="99"/>
      <c r="LK76" s="99"/>
      <c r="LL76" s="99"/>
      <c r="LM76" s="99"/>
      <c r="LN76" s="99"/>
      <c r="LO76" s="99"/>
      <c r="LP76" s="99"/>
      <c r="LQ76" s="99"/>
      <c r="LR76" s="99"/>
      <c r="LS76" s="99"/>
      <c r="LT76" s="99"/>
      <c r="LU76" s="99"/>
      <c r="LV76" s="99"/>
      <c r="LW76" s="99"/>
      <c r="LX76" s="99"/>
      <c r="LY76" s="99"/>
      <c r="LZ76" s="99"/>
      <c r="MA76" s="99"/>
      <c r="MB76" s="99"/>
      <c r="MC76" s="99"/>
      <c r="MD76" s="99"/>
      <c r="ME76" s="99"/>
      <c r="MF76" s="99"/>
    </row>
    <row r="77" spans="1:344" ht="17.25" customHeight="1" x14ac:dyDescent="0.25">
      <c r="A77" s="156"/>
      <c r="B77" s="81" t="s">
        <v>4</v>
      </c>
      <c r="C77" s="82">
        <v>45211</v>
      </c>
      <c r="D77" s="49">
        <v>10</v>
      </c>
      <c r="F77" s="103">
        <v>73</v>
      </c>
      <c r="G77" s="89">
        <f t="shared" si="93"/>
        <v>6.85</v>
      </c>
      <c r="H77" s="35">
        <f t="shared" si="94"/>
        <v>500.04999999999995</v>
      </c>
      <c r="I77" s="39"/>
      <c r="L77" s="89">
        <f t="shared" si="95"/>
        <v>0</v>
      </c>
      <c r="M77" s="35">
        <f t="shared" si="113"/>
        <v>0</v>
      </c>
      <c r="N77" s="35">
        <f t="shared" si="114"/>
        <v>500.04999999999995</v>
      </c>
      <c r="O77" s="97"/>
      <c r="P77" s="150"/>
      <c r="W77" s="11">
        <v>5.7</v>
      </c>
      <c r="X77" s="1">
        <v>0</v>
      </c>
      <c r="Y77" s="35">
        <f t="shared" si="96"/>
        <v>416.1</v>
      </c>
      <c r="Z77" s="35">
        <f t="shared" si="115"/>
        <v>0</v>
      </c>
      <c r="AA77" s="15">
        <f t="shared" ref="AA77:AA140" si="128">AB77/AC77</f>
        <v>0.91715766894651196</v>
      </c>
      <c r="AB77" s="43">
        <f t="shared" si="81"/>
        <v>433.89846275769992</v>
      </c>
      <c r="AC77" s="43">
        <f t="shared" si="82"/>
        <v>473.09037197071575</v>
      </c>
      <c r="AD77" s="33"/>
      <c r="AH77" s="31"/>
      <c r="AN77" s="86"/>
      <c r="AO77" s="87"/>
      <c r="AP77" s="35">
        <f t="shared" si="97"/>
        <v>0</v>
      </c>
      <c r="AQ77" s="35">
        <f t="shared" si="116"/>
        <v>0</v>
      </c>
      <c r="AR77" s="15">
        <f t="shared" ref="AR77:AR140" si="129">AS77/AT77</f>
        <v>0.10225798091089328</v>
      </c>
      <c r="AS77" s="28">
        <f t="shared" ref="AS77:AS140" si="130">AP77*(2/(7+1))+((1-(2/(7+1)))*AS76)</f>
        <v>21.05683828490093</v>
      </c>
      <c r="AT77" s="28">
        <f t="shared" ref="AT77:AT140" si="131">AP77*(2/(28+1))+((1-(2/(28+1)))*AT76)</f>
        <v>205.91877619067873</v>
      </c>
      <c r="AU77" s="33"/>
      <c r="AY77" s="31"/>
      <c r="BE77" s="11">
        <v>7.75</v>
      </c>
      <c r="BG77" s="35">
        <f t="shared" si="98"/>
        <v>565.75</v>
      </c>
      <c r="BH77" s="35">
        <f t="shared" si="117"/>
        <v>0</v>
      </c>
      <c r="BI77" s="15">
        <f t="shared" ref="BI77:BI140" si="132">BJ77/BK77</f>
        <v>1.1189557623148136</v>
      </c>
      <c r="BJ77" s="28">
        <f t="shared" ref="BJ77:BJ140" si="133">BG77*(2/(7+1))+((1-(2/(7+1)))*BJ76)</f>
        <v>500.23269143563653</v>
      </c>
      <c r="BK77" s="28">
        <f t="shared" ref="BK77:BK140" si="134">BG77*(2/(28+1))+((1-(2/(28+1)))*BK76)</f>
        <v>447.05314390695105</v>
      </c>
      <c r="BL77" s="33"/>
      <c r="BP77" s="31"/>
      <c r="BV77" s="86"/>
      <c r="BW77" s="87"/>
      <c r="BX77" s="35">
        <f t="shared" si="99"/>
        <v>0</v>
      </c>
      <c r="BY77" s="35">
        <f t="shared" si="118"/>
        <v>0</v>
      </c>
      <c r="BZ77" s="15">
        <f t="shared" ref="BZ77:BZ140" si="135">CA77/CB77</f>
        <v>0.51070411317056585</v>
      </c>
      <c r="CA77" s="28">
        <f t="shared" ref="CA77:CA140" si="136">BX77*(2/(7+1))+((1-(2/(7+1)))*CA76)</f>
        <v>189.75799753766918</v>
      </c>
      <c r="CB77" s="28">
        <f t="shared" ref="CB77:CB140" si="137">BX77*(2/(28+1))+((1-(2/(28+1)))*CB76)</f>
        <v>371.56152191453663</v>
      </c>
      <c r="CC77" s="33"/>
      <c r="CG77" s="31"/>
      <c r="CM77" s="11">
        <v>7.7</v>
      </c>
      <c r="CO77" s="35">
        <f t="shared" si="100"/>
        <v>562.1</v>
      </c>
      <c r="CP77" s="35">
        <f t="shared" si="119"/>
        <v>0</v>
      </c>
      <c r="CQ77" s="15">
        <f t="shared" ref="CQ77:CQ140" si="138">CR77/CS77</f>
        <v>1.2156172135525967</v>
      </c>
      <c r="CR77" s="28">
        <f t="shared" ref="CR77:CR140" si="139">CO77*(2/(7+1))+((1-(2/(7+1)))*CR76)</f>
        <v>472.01370428083601</v>
      </c>
      <c r="CS77" s="28">
        <f t="shared" ref="CS77:CS140" si="140">CO77*(2/(28+1))+((1-(2/(28+1)))*CS76)</f>
        <v>388.29139553017131</v>
      </c>
      <c r="CT77" s="33"/>
      <c r="CX77" s="31"/>
      <c r="DD77" s="11">
        <v>5.5</v>
      </c>
      <c r="DF77" s="35">
        <f t="shared" si="101"/>
        <v>401.5</v>
      </c>
      <c r="DG77" s="35">
        <f t="shared" si="120"/>
        <v>0</v>
      </c>
      <c r="DH77" s="15">
        <f t="shared" ref="DH77:DH140" si="141">DI77/DJ77</f>
        <v>0.95990471050430304</v>
      </c>
      <c r="DI77" s="28">
        <f t="shared" ref="DI77:DI140" si="142">DF77*(2/(7+1))+((1-(2/(7+1)))*DI76)</f>
        <v>380.00800225735196</v>
      </c>
      <c r="DJ77" s="28">
        <f t="shared" ref="DJ77:DJ140" si="143">DF77*(2/(28+1))+((1-(2/(28+1)))*DJ76)</f>
        <v>395.88096411956138</v>
      </c>
      <c r="DK77" s="33"/>
      <c r="DO77" s="31"/>
      <c r="DU77" s="11">
        <v>6</v>
      </c>
      <c r="DW77" s="35">
        <f t="shared" si="102"/>
        <v>438</v>
      </c>
      <c r="DX77" s="35">
        <f t="shared" si="121"/>
        <v>0</v>
      </c>
      <c r="DY77" s="15">
        <f t="shared" ref="DY77:DY140" si="144">DZ77/EA77</f>
        <v>1.0030230703114504</v>
      </c>
      <c r="DZ77" s="28">
        <f t="shared" ref="DZ77:DZ140" si="145">DW77*(2/(7+1))+((1-(2/(7+1)))*DZ76)</f>
        <v>276.45664551868504</v>
      </c>
      <c r="EA77" s="28">
        <f t="shared" ref="EA77:EA140" si="146">DW77*(2/(28+1))+((1-(2/(28+1)))*EA76)</f>
        <v>275.62341655096924</v>
      </c>
      <c r="EB77" s="33"/>
      <c r="EF77" s="31"/>
      <c r="EL77" s="11">
        <v>8.5</v>
      </c>
      <c r="EN77" s="35">
        <f t="shared" si="103"/>
        <v>620.5</v>
      </c>
      <c r="EO77" s="35">
        <f t="shared" si="122"/>
        <v>0</v>
      </c>
      <c r="EP77" s="15">
        <f t="shared" ref="EP77:EP140" si="147">EQ77/ER77</f>
        <v>1.0914681214571194</v>
      </c>
      <c r="EQ77" s="28">
        <f t="shared" ref="EQ77:EQ140" si="148">EN77*(2/(7+1))+((1-(2/(7+1)))*EQ76)</f>
        <v>504.61020495136756</v>
      </c>
      <c r="ER77" s="28">
        <f t="shared" ref="ER77:ER140" si="149">EN77*(2/(28+1))+((1-(2/(28+1)))*ER76)</f>
        <v>462.32243986907156</v>
      </c>
      <c r="ES77" s="33"/>
      <c r="EW77" s="31"/>
      <c r="FC77" s="11">
        <v>6</v>
      </c>
      <c r="FE77" s="35">
        <f t="shared" si="104"/>
        <v>438</v>
      </c>
      <c r="FF77" s="35">
        <f t="shared" si="123"/>
        <v>0</v>
      </c>
      <c r="FG77" s="15">
        <f t="shared" ref="FG77:FG140" si="150">FH77/FI77</f>
        <v>0.96567321136198803</v>
      </c>
      <c r="FH77" s="28">
        <f t="shared" ref="FH77:FH140" si="151">FE77*(2/(7+1))+((1-(2/(7+1)))*FH76)</f>
        <v>444.45522464917974</v>
      </c>
      <c r="FI77" s="28">
        <f t="shared" ref="FI77:FI140" si="152">FE77*(2/(28+1))+((1-(2/(28+1)))*FI76)</f>
        <v>460.25427589765997</v>
      </c>
      <c r="FJ77" s="33"/>
      <c r="FN77" s="31"/>
      <c r="FT77" s="11">
        <v>7</v>
      </c>
      <c r="FV77" s="35">
        <f t="shared" si="105"/>
        <v>511</v>
      </c>
      <c r="FW77" s="35">
        <f t="shared" si="124"/>
        <v>0</v>
      </c>
      <c r="FX77" s="15">
        <f t="shared" ref="FX77:FX140" si="153">FY77/FZ77</f>
        <v>0.99836042504506406</v>
      </c>
      <c r="FY77" s="28">
        <f t="shared" ref="FY77:FY140" si="154">FV77*(2/(7+1))+((1-(2/(7+1)))*FY76)</f>
        <v>452.23596026322684</v>
      </c>
      <c r="FZ77" s="28">
        <f t="shared" ref="FZ77:FZ140" si="155">FV77*(2/(28+1))+((1-(2/(28+1)))*FZ76)</f>
        <v>452.97865271734281</v>
      </c>
      <c r="GA77" s="33"/>
      <c r="GE77" s="31"/>
      <c r="GK77" s="11">
        <v>7.5</v>
      </c>
      <c r="GM77" s="35">
        <f t="shared" si="106"/>
        <v>547.5</v>
      </c>
      <c r="GN77" s="35">
        <f t="shared" si="125"/>
        <v>0</v>
      </c>
      <c r="GO77" s="15">
        <f t="shared" ref="GO77:GO140" si="156">GP77/GQ77</f>
        <v>0.98168649711843481</v>
      </c>
      <c r="GP77" s="28">
        <f t="shared" ref="GP77:GP140" si="157">GM77*(2/(7+1))+((1-(2/(7+1)))*GP76)</f>
        <v>503.80318987902012</v>
      </c>
      <c r="GQ77" s="28">
        <f t="shared" ref="GQ77:GQ140" si="158">GM77*(2/(28+1))+((1-(2/(28+1)))*GQ76)</f>
        <v>513.20171089023256</v>
      </c>
      <c r="GR77" s="33"/>
      <c r="GV77" s="31"/>
      <c r="HB77" s="11">
        <v>6</v>
      </c>
      <c r="HD77" s="35">
        <f t="shared" si="107"/>
        <v>438</v>
      </c>
      <c r="HE77" s="35">
        <f t="shared" si="126"/>
        <v>0</v>
      </c>
      <c r="HF77" s="15">
        <f t="shared" ref="HF77:HF140" si="159">HG77/HH77</f>
        <v>1.185337081891064</v>
      </c>
      <c r="HG77" s="28">
        <f t="shared" ref="HG77:HG140" si="160">HD77*(2/(7+1))+((1-(2/(7+1)))*HG76)</f>
        <v>266.08717312192505</v>
      </c>
      <c r="HH77" s="28">
        <f t="shared" ref="HH77:HH140" si="161">HD77*(2/(28+1))+((1-(2/(28+1)))*HH76)</f>
        <v>224.48228203357536</v>
      </c>
      <c r="HI77" s="33"/>
      <c r="HM77" s="31"/>
      <c r="HU77" s="35">
        <f t="shared" si="108"/>
        <v>0</v>
      </c>
      <c r="HV77" s="35">
        <f t="shared" si="127"/>
        <v>0</v>
      </c>
      <c r="HW77" s="15">
        <f t="shared" ref="HW77:HW140" si="162">HX77/HY77</f>
        <v>0.30536474200056518</v>
      </c>
      <c r="HX77" s="28">
        <f t="shared" ref="HX77:HX140" si="163">HU77*(2/(7+1))+((1-(2/(7+1)))*HX76)</f>
        <v>20.911836489014952</v>
      </c>
      <c r="HY77" s="28">
        <f t="shared" ref="HY77:HY140" si="164">HU77*(2/(28+1))+((1-(2/(28+1)))*HY76)</f>
        <v>68.481502979070996</v>
      </c>
      <c r="HZ77" s="33"/>
      <c r="ID77" s="31"/>
      <c r="II77" s="12"/>
      <c r="IL77" s="35">
        <f t="shared" si="109"/>
        <v>0</v>
      </c>
      <c r="IM77" s="35">
        <f t="shared" si="110"/>
        <v>2618.3717120628717</v>
      </c>
      <c r="IN77" s="15">
        <f t="shared" ref="IN77:IN140" si="165">IO77/IP77</f>
        <v>2.3113393039274961E-2</v>
      </c>
      <c r="IO77" s="28">
        <f t="shared" ref="IO77:IO140" si="166">IL77*(2/(7+1))+((1-(2/(7+1)))*IO76)</f>
        <v>0.94539517359829528</v>
      </c>
      <c r="IP77" s="28">
        <f t="shared" ref="IP77:IP140" si="167">IL77*(2/(28+1))+((1-(2/(28+1)))*IP76)</f>
        <v>40.902483334742406</v>
      </c>
      <c r="IQ77" s="33"/>
      <c r="IU77" s="31"/>
      <c r="JC77" s="35">
        <f t="shared" si="111"/>
        <v>0</v>
      </c>
      <c r="JD77" s="35">
        <f t="shared" si="112"/>
        <v>4395.258646414859</v>
      </c>
      <c r="JE77" s="15" t="e">
        <f t="shared" ref="JE77:JE140" si="168">JF77/JG77</f>
        <v>#DIV/0!</v>
      </c>
      <c r="JF77" s="28">
        <f t="shared" ref="JF77:JF140" si="169">JC77*(2/(7+1))+((1-(2/(7+1)))*JF76)</f>
        <v>0</v>
      </c>
      <c r="JG77" s="28">
        <f t="shared" ref="JG77:JG140" si="170">JC77*(2/(28+1))+((1-(2/(28+1)))*JG76)</f>
        <v>0</v>
      </c>
      <c r="JH77" s="33"/>
      <c r="JL77" s="31"/>
      <c r="JR77" s="99"/>
      <c r="JS77" s="99"/>
      <c r="JT77" s="99"/>
      <c r="JU77" s="99"/>
      <c r="JV77" s="99"/>
      <c r="JW77" s="99"/>
      <c r="JX77" s="99"/>
      <c r="JY77" s="99"/>
      <c r="JZ77" s="99"/>
      <c r="KA77" s="99"/>
      <c r="KB77" s="99"/>
      <c r="KC77" s="99"/>
      <c r="KD77" s="99"/>
      <c r="KE77" s="99"/>
      <c r="KF77" s="99"/>
      <c r="KG77" s="99"/>
      <c r="KH77" s="99"/>
      <c r="KI77" s="99"/>
      <c r="KJ77" s="99"/>
      <c r="KK77" s="99"/>
      <c r="KL77" s="99"/>
      <c r="KM77" s="99"/>
      <c r="KN77" s="99"/>
      <c r="KO77" s="99"/>
      <c r="KP77" s="99"/>
      <c r="KQ77" s="99"/>
      <c r="KR77" s="99"/>
      <c r="KS77" s="99"/>
      <c r="KT77" s="99"/>
      <c r="KU77" s="99"/>
      <c r="KV77" s="99"/>
      <c r="KW77" s="99"/>
      <c r="KX77" s="99"/>
      <c r="KY77" s="99"/>
      <c r="KZ77" s="99"/>
      <c r="LA77" s="99"/>
      <c r="LB77" s="99"/>
      <c r="LC77" s="99"/>
      <c r="LD77" s="99"/>
      <c r="LE77" s="99"/>
      <c r="LF77" s="99"/>
      <c r="LG77" s="99"/>
      <c r="LH77" s="99"/>
      <c r="LI77" s="99"/>
      <c r="LJ77" s="99"/>
      <c r="LK77" s="99"/>
      <c r="LL77" s="99"/>
      <c r="LM77" s="99"/>
      <c r="LN77" s="99"/>
      <c r="LO77" s="99"/>
      <c r="LP77" s="99"/>
      <c r="LQ77" s="99"/>
      <c r="LR77" s="99"/>
      <c r="LS77" s="99"/>
      <c r="LT77" s="99"/>
      <c r="LU77" s="99"/>
      <c r="LV77" s="99"/>
      <c r="LW77" s="99"/>
      <c r="LX77" s="99"/>
      <c r="LY77" s="99"/>
      <c r="LZ77" s="99"/>
      <c r="MA77" s="99"/>
      <c r="MB77" s="99"/>
      <c r="MC77" s="99"/>
      <c r="MD77" s="99"/>
      <c r="ME77" s="99"/>
      <c r="MF77" s="99"/>
    </row>
    <row r="78" spans="1:344" ht="17.25" customHeight="1" x14ac:dyDescent="0.25">
      <c r="A78" s="156"/>
      <c r="B78" s="81" t="s">
        <v>5</v>
      </c>
      <c r="C78" s="82">
        <v>45212</v>
      </c>
      <c r="D78" s="49">
        <v>10</v>
      </c>
      <c r="F78" s="103">
        <v>60</v>
      </c>
      <c r="G78" s="89">
        <f t="shared" si="93"/>
        <v>7</v>
      </c>
      <c r="H78" s="35">
        <f t="shared" si="94"/>
        <v>420</v>
      </c>
      <c r="I78" s="39"/>
      <c r="L78" s="89">
        <f t="shared" si="95"/>
        <v>0</v>
      </c>
      <c r="M78" s="35">
        <f t="shared" si="113"/>
        <v>0</v>
      </c>
      <c r="N78" s="35">
        <f t="shared" si="114"/>
        <v>420</v>
      </c>
      <c r="O78" s="97"/>
      <c r="P78" s="150"/>
      <c r="W78" s="11">
        <v>6.5</v>
      </c>
      <c r="X78" s="1">
        <v>0</v>
      </c>
      <c r="Y78" s="35">
        <f t="shared" si="96"/>
        <v>390</v>
      </c>
      <c r="Z78" s="35">
        <f t="shared" si="115"/>
        <v>0</v>
      </c>
      <c r="AA78" s="15">
        <f t="shared" si="128"/>
        <v>0.90492092973289084</v>
      </c>
      <c r="AB78" s="43">
        <f t="shared" si="81"/>
        <v>422.92384706827494</v>
      </c>
      <c r="AC78" s="43">
        <f t="shared" si="82"/>
        <v>467.3600014899767</v>
      </c>
      <c r="AD78" s="33"/>
      <c r="AH78" s="31"/>
      <c r="AN78" s="86"/>
      <c r="AO78" s="87"/>
      <c r="AP78" s="35">
        <f t="shared" si="97"/>
        <v>0</v>
      </c>
      <c r="AQ78" s="35">
        <f t="shared" si="116"/>
        <v>0</v>
      </c>
      <c r="AR78" s="15">
        <f t="shared" si="129"/>
        <v>8.2374484622664029E-2</v>
      </c>
      <c r="AS78" s="28">
        <f t="shared" si="130"/>
        <v>15.792628713675697</v>
      </c>
      <c r="AT78" s="28">
        <f t="shared" si="131"/>
        <v>191.71748128097673</v>
      </c>
      <c r="AU78" s="33"/>
      <c r="AY78" s="31"/>
      <c r="BE78" s="11">
        <v>8</v>
      </c>
      <c r="BG78" s="35">
        <f t="shared" si="98"/>
        <v>480</v>
      </c>
      <c r="BH78" s="35">
        <f t="shared" si="117"/>
        <v>0</v>
      </c>
      <c r="BI78" s="15">
        <f t="shared" si="132"/>
        <v>1.1020400443210268</v>
      </c>
      <c r="BJ78" s="28">
        <f t="shared" si="133"/>
        <v>495.17451857672739</v>
      </c>
      <c r="BK78" s="28">
        <f t="shared" si="134"/>
        <v>449.32534087888547</v>
      </c>
      <c r="BL78" s="33"/>
      <c r="BP78" s="31"/>
      <c r="BV78" s="86"/>
      <c r="BW78" s="87"/>
      <c r="BX78" s="35">
        <f t="shared" si="99"/>
        <v>0</v>
      </c>
      <c r="BY78" s="35">
        <f t="shared" si="118"/>
        <v>0</v>
      </c>
      <c r="BZ78" s="15">
        <f t="shared" si="135"/>
        <v>0.41140053560962248</v>
      </c>
      <c r="CA78" s="28">
        <f t="shared" si="136"/>
        <v>142.31849815325188</v>
      </c>
      <c r="CB78" s="28">
        <f t="shared" si="137"/>
        <v>345.93658936870651</v>
      </c>
      <c r="CC78" s="33"/>
      <c r="CG78" s="31"/>
      <c r="CM78" s="11">
        <v>8</v>
      </c>
      <c r="CO78" s="35">
        <f t="shared" si="100"/>
        <v>480</v>
      </c>
      <c r="CP78" s="35">
        <f t="shared" si="119"/>
        <v>0</v>
      </c>
      <c r="CQ78" s="15">
        <f t="shared" si="138"/>
        <v>1.2011933773889503</v>
      </c>
      <c r="CR78" s="28">
        <f t="shared" si="139"/>
        <v>474.01027821062701</v>
      </c>
      <c r="CS78" s="28">
        <f t="shared" si="140"/>
        <v>394.61612687291813</v>
      </c>
      <c r="CT78" s="33"/>
      <c r="CX78" s="31"/>
      <c r="DD78" s="11">
        <v>5</v>
      </c>
      <c r="DF78" s="35">
        <f t="shared" si="101"/>
        <v>300</v>
      </c>
      <c r="DG78" s="35">
        <f t="shared" si="120"/>
        <v>0</v>
      </c>
      <c r="DH78" s="15">
        <f t="shared" si="141"/>
        <v>0.92482699381640887</v>
      </c>
      <c r="DI78" s="28">
        <f t="shared" si="142"/>
        <v>360.00600169301396</v>
      </c>
      <c r="DJ78" s="28">
        <f t="shared" si="143"/>
        <v>389.26848383545365</v>
      </c>
      <c r="DK78" s="33"/>
      <c r="DO78" s="31"/>
      <c r="DU78" s="11">
        <v>6</v>
      </c>
      <c r="DW78" s="35">
        <f t="shared" si="102"/>
        <v>360</v>
      </c>
      <c r="DX78" s="35">
        <f t="shared" si="121"/>
        <v>0</v>
      </c>
      <c r="DY78" s="15">
        <f t="shared" si="144"/>
        <v>1.0564946422822779</v>
      </c>
      <c r="DZ78" s="28">
        <f t="shared" si="145"/>
        <v>297.34248413901378</v>
      </c>
      <c r="EA78" s="28">
        <f t="shared" si="146"/>
        <v>281.44249127159208</v>
      </c>
      <c r="EB78" s="33"/>
      <c r="EF78" s="31"/>
      <c r="EL78" s="11">
        <v>8</v>
      </c>
      <c r="EN78" s="35">
        <f t="shared" si="103"/>
        <v>480</v>
      </c>
      <c r="EO78" s="35">
        <f t="shared" si="122"/>
        <v>0</v>
      </c>
      <c r="EP78" s="15">
        <f t="shared" si="147"/>
        <v>1.075324573083168</v>
      </c>
      <c r="EQ78" s="28">
        <f t="shared" si="148"/>
        <v>498.4576537135257</v>
      </c>
      <c r="ER78" s="28">
        <f t="shared" si="149"/>
        <v>463.54158194706662</v>
      </c>
      <c r="ES78" s="33"/>
      <c r="EW78" s="31"/>
      <c r="FC78" s="11">
        <v>8</v>
      </c>
      <c r="FE78" s="35">
        <f t="shared" si="104"/>
        <v>480</v>
      </c>
      <c r="FF78" s="35">
        <f t="shared" si="123"/>
        <v>0</v>
      </c>
      <c r="FG78" s="15">
        <f t="shared" si="150"/>
        <v>0.98207464517910426</v>
      </c>
      <c r="FH78" s="28">
        <f t="shared" si="151"/>
        <v>453.34141848688478</v>
      </c>
      <c r="FI78" s="28">
        <f t="shared" si="152"/>
        <v>461.6160499736834</v>
      </c>
      <c r="FJ78" s="33"/>
      <c r="FN78" s="31"/>
      <c r="FT78" s="11">
        <v>6</v>
      </c>
      <c r="FV78" s="35">
        <f t="shared" si="105"/>
        <v>360</v>
      </c>
      <c r="FW78" s="35">
        <f t="shared" si="124"/>
        <v>0</v>
      </c>
      <c r="FX78" s="15">
        <f t="shared" si="153"/>
        <v>0.96105984620201079</v>
      </c>
      <c r="FY78" s="28">
        <f t="shared" si="154"/>
        <v>429.17697019742013</v>
      </c>
      <c r="FZ78" s="28">
        <f t="shared" si="155"/>
        <v>446.5663318402847</v>
      </c>
      <c r="GA78" s="33"/>
      <c r="GE78" s="31"/>
      <c r="GK78" s="11">
        <v>7.5</v>
      </c>
      <c r="GM78" s="35">
        <f t="shared" si="106"/>
        <v>450</v>
      </c>
      <c r="GN78" s="35">
        <f t="shared" si="125"/>
        <v>0</v>
      </c>
      <c r="GO78" s="15">
        <f t="shared" si="156"/>
        <v>0.96366152072683309</v>
      </c>
      <c r="GP78" s="28">
        <f t="shared" si="157"/>
        <v>490.35239240926512</v>
      </c>
      <c r="GQ78" s="28">
        <f t="shared" si="158"/>
        <v>508.84297220814756</v>
      </c>
      <c r="GR78" s="33"/>
      <c r="GV78" s="31"/>
      <c r="HB78" s="11">
        <v>6.5</v>
      </c>
      <c r="HD78" s="35">
        <f t="shared" si="107"/>
        <v>390</v>
      </c>
      <c r="HE78" s="35">
        <f t="shared" si="126"/>
        <v>0</v>
      </c>
      <c r="HF78" s="15">
        <f t="shared" si="159"/>
        <v>1.2592996339362643</v>
      </c>
      <c r="HG78" s="28">
        <f t="shared" si="160"/>
        <v>297.06537984144381</v>
      </c>
      <c r="HH78" s="28">
        <f t="shared" si="161"/>
        <v>235.89729706574258</v>
      </c>
      <c r="HI78" s="33"/>
      <c r="HM78" s="31"/>
      <c r="HU78" s="35">
        <f t="shared" si="108"/>
        <v>0</v>
      </c>
      <c r="HV78" s="35">
        <f t="shared" si="127"/>
        <v>0</v>
      </c>
      <c r="HW78" s="15">
        <f t="shared" si="162"/>
        <v>0.24598826438934418</v>
      </c>
      <c r="HX78" s="28">
        <f t="shared" si="163"/>
        <v>15.683877366761214</v>
      </c>
      <c r="HY78" s="28">
        <f t="shared" si="164"/>
        <v>63.758640704652308</v>
      </c>
      <c r="HZ78" s="33"/>
      <c r="ID78" s="31"/>
      <c r="II78" s="12"/>
      <c r="IL78" s="35">
        <f t="shared" si="109"/>
        <v>0</v>
      </c>
      <c r="IM78" s="35">
        <f t="shared" si="110"/>
        <v>2300.1911410633688</v>
      </c>
      <c r="IN78" s="15">
        <f t="shared" si="165"/>
        <v>1.8619122170527056E-2</v>
      </c>
      <c r="IO78" s="28">
        <f t="shared" si="166"/>
        <v>0.70904638019872146</v>
      </c>
      <c r="IP78" s="28">
        <f t="shared" si="167"/>
        <v>38.081622415104995</v>
      </c>
      <c r="IQ78" s="33"/>
      <c r="IU78" s="31"/>
      <c r="JC78" s="35">
        <f t="shared" si="111"/>
        <v>0</v>
      </c>
      <c r="JD78" s="35">
        <f t="shared" si="112"/>
        <v>4352.7253273392653</v>
      </c>
      <c r="JE78" s="15" t="e">
        <f t="shared" si="168"/>
        <v>#DIV/0!</v>
      </c>
      <c r="JF78" s="28">
        <f t="shared" si="169"/>
        <v>0</v>
      </c>
      <c r="JG78" s="28">
        <f t="shared" si="170"/>
        <v>0</v>
      </c>
      <c r="JH78" s="33"/>
      <c r="JL78" s="31"/>
      <c r="JR78" s="99"/>
      <c r="JS78" s="99"/>
      <c r="JT78" s="99"/>
      <c r="JU78" s="99"/>
      <c r="JV78" s="99"/>
      <c r="JW78" s="99"/>
      <c r="JX78" s="99"/>
      <c r="JY78" s="99"/>
      <c r="JZ78" s="99"/>
      <c r="KA78" s="99"/>
      <c r="KB78" s="99"/>
      <c r="KC78" s="99"/>
      <c r="KD78" s="99"/>
      <c r="KE78" s="99"/>
      <c r="KF78" s="99"/>
      <c r="KG78" s="99"/>
      <c r="KH78" s="99"/>
      <c r="KI78" s="99"/>
      <c r="KJ78" s="99"/>
      <c r="KK78" s="99"/>
      <c r="KL78" s="99"/>
      <c r="KM78" s="99"/>
      <c r="KN78" s="99"/>
      <c r="KO78" s="99"/>
      <c r="KP78" s="99"/>
      <c r="KQ78" s="99"/>
      <c r="KR78" s="99"/>
      <c r="KS78" s="99"/>
      <c r="KT78" s="99"/>
      <c r="KU78" s="99"/>
      <c r="KV78" s="99"/>
      <c r="KW78" s="99"/>
      <c r="KX78" s="99"/>
      <c r="KY78" s="99"/>
      <c r="KZ78" s="99"/>
      <c r="LA78" s="99"/>
      <c r="LB78" s="99"/>
      <c r="LC78" s="99"/>
      <c r="LD78" s="99"/>
      <c r="LE78" s="99"/>
      <c r="LF78" s="99"/>
      <c r="LG78" s="99"/>
      <c r="LH78" s="99"/>
      <c r="LI78" s="99"/>
      <c r="LJ78" s="99"/>
      <c r="LK78" s="99"/>
      <c r="LL78" s="99"/>
      <c r="LM78" s="99"/>
      <c r="LN78" s="99"/>
      <c r="LO78" s="99"/>
      <c r="LP78" s="99"/>
      <c r="LQ78" s="99"/>
      <c r="LR78" s="99"/>
      <c r="LS78" s="99"/>
      <c r="LT78" s="99"/>
      <c r="LU78" s="99"/>
      <c r="LV78" s="99"/>
      <c r="LW78" s="99"/>
      <c r="LX78" s="99"/>
      <c r="LY78" s="99"/>
      <c r="LZ78" s="99"/>
      <c r="MA78" s="99"/>
      <c r="MB78" s="99"/>
      <c r="MC78" s="99"/>
      <c r="MD78" s="99"/>
      <c r="ME78" s="99"/>
      <c r="MF78" s="99"/>
    </row>
    <row r="79" spans="1:344" ht="17.25" customHeight="1" x14ac:dyDescent="0.25">
      <c r="A79" s="156"/>
      <c r="B79" s="81" t="s">
        <v>6</v>
      </c>
      <c r="C79" s="82">
        <v>45213</v>
      </c>
      <c r="D79" s="49">
        <v>11</v>
      </c>
      <c r="F79" s="103">
        <v>70</v>
      </c>
      <c r="G79" s="89">
        <f t="shared" si="93"/>
        <v>5.24</v>
      </c>
      <c r="H79" s="35">
        <f t="shared" si="94"/>
        <v>366.8</v>
      </c>
      <c r="I79" s="39"/>
      <c r="L79" s="89">
        <f t="shared" si="95"/>
        <v>0</v>
      </c>
      <c r="M79" s="35">
        <f t="shared" si="113"/>
        <v>0</v>
      </c>
      <c r="N79" s="35">
        <f t="shared" si="114"/>
        <v>366.8</v>
      </c>
      <c r="O79" s="97"/>
      <c r="P79" s="150"/>
      <c r="W79" s="11">
        <v>4</v>
      </c>
      <c r="X79" s="1">
        <v>0</v>
      </c>
      <c r="Y79" s="35">
        <f t="shared" si="96"/>
        <v>280</v>
      </c>
      <c r="Z79" s="35">
        <f t="shared" si="115"/>
        <v>0</v>
      </c>
      <c r="AA79" s="15">
        <f t="shared" si="128"/>
        <v>0.85202460022358517</v>
      </c>
      <c r="AB79" s="43">
        <f t="shared" si="81"/>
        <v>387.19288530120622</v>
      </c>
      <c r="AC79" s="43">
        <f t="shared" si="82"/>
        <v>454.43862207687488</v>
      </c>
      <c r="AD79" s="33"/>
      <c r="AH79" s="31"/>
      <c r="AN79" s="86"/>
      <c r="AO79" s="87"/>
      <c r="AP79" s="35">
        <f t="shared" si="97"/>
        <v>0</v>
      </c>
      <c r="AQ79" s="35">
        <f t="shared" si="116"/>
        <v>0</v>
      </c>
      <c r="AR79" s="15">
        <f t="shared" si="129"/>
        <v>6.6357223723812683E-2</v>
      </c>
      <c r="AS79" s="28">
        <f t="shared" si="130"/>
        <v>11.844471535256773</v>
      </c>
      <c r="AT79" s="28">
        <f t="shared" si="131"/>
        <v>178.49558602021972</v>
      </c>
      <c r="AU79" s="33"/>
      <c r="AY79" s="31"/>
      <c r="BE79" s="11">
        <v>6</v>
      </c>
      <c r="BG79" s="35">
        <f t="shared" si="98"/>
        <v>420</v>
      </c>
      <c r="BH79" s="35">
        <f t="shared" si="117"/>
        <v>0</v>
      </c>
      <c r="BI79" s="15">
        <f t="shared" si="132"/>
        <v>1.0650073700016873</v>
      </c>
      <c r="BJ79" s="28">
        <f t="shared" si="133"/>
        <v>476.38088893254553</v>
      </c>
      <c r="BK79" s="28">
        <f t="shared" si="134"/>
        <v>447.30290357689336</v>
      </c>
      <c r="BL79" s="33"/>
      <c r="BP79" s="31"/>
      <c r="BV79" s="11">
        <v>3</v>
      </c>
      <c r="BX79" s="35">
        <f t="shared" si="99"/>
        <v>210</v>
      </c>
      <c r="BY79" s="35">
        <f t="shared" si="118"/>
        <v>0</v>
      </c>
      <c r="BZ79" s="15">
        <f t="shared" si="135"/>
        <v>0.47313433538202676</v>
      </c>
      <c r="CA79" s="28">
        <f t="shared" si="136"/>
        <v>159.23887361493891</v>
      </c>
      <c r="CB79" s="28">
        <f t="shared" si="137"/>
        <v>336.56165217086465</v>
      </c>
      <c r="CC79" s="33"/>
      <c r="CG79" s="31"/>
      <c r="CM79" s="11">
        <v>5.5</v>
      </c>
      <c r="CO79" s="35">
        <f t="shared" si="100"/>
        <v>385</v>
      </c>
      <c r="CP79" s="35">
        <f t="shared" si="119"/>
        <v>0</v>
      </c>
      <c r="CQ79" s="15">
        <f t="shared" si="138"/>
        <v>1.1467301198741657</v>
      </c>
      <c r="CR79" s="28">
        <f t="shared" si="139"/>
        <v>451.75770865797028</v>
      </c>
      <c r="CS79" s="28">
        <f t="shared" si="140"/>
        <v>393.95294570926859</v>
      </c>
      <c r="CT79" s="33"/>
      <c r="CX79" s="31"/>
      <c r="DD79" s="11">
        <v>4.4000000000000004</v>
      </c>
      <c r="DF79" s="35">
        <f t="shared" si="101"/>
        <v>308</v>
      </c>
      <c r="DG79" s="35">
        <f t="shared" si="120"/>
        <v>0</v>
      </c>
      <c r="DH79" s="15">
        <f t="shared" si="141"/>
        <v>0.90444951208073188</v>
      </c>
      <c r="DI79" s="28">
        <f t="shared" si="142"/>
        <v>347.00450126976045</v>
      </c>
      <c r="DJ79" s="28">
        <f t="shared" si="143"/>
        <v>383.66376081231891</v>
      </c>
      <c r="DK79" s="33"/>
      <c r="DO79" s="31"/>
      <c r="DU79" s="11">
        <v>5</v>
      </c>
      <c r="DW79" s="35">
        <f t="shared" si="102"/>
        <v>350</v>
      </c>
      <c r="DX79" s="35">
        <f t="shared" si="121"/>
        <v>0</v>
      </c>
      <c r="DY79" s="15">
        <f t="shared" si="144"/>
        <v>1.0850411194590581</v>
      </c>
      <c r="DZ79" s="28">
        <f t="shared" si="145"/>
        <v>310.50686310426033</v>
      </c>
      <c r="EA79" s="28">
        <f t="shared" si="146"/>
        <v>286.17059532182708</v>
      </c>
      <c r="EB79" s="33"/>
      <c r="EF79" s="31"/>
      <c r="EL79" s="11">
        <v>7.5</v>
      </c>
      <c r="EN79" s="35">
        <f t="shared" si="103"/>
        <v>525</v>
      </c>
      <c r="EO79" s="35">
        <f t="shared" si="122"/>
        <v>0</v>
      </c>
      <c r="EP79" s="15">
        <f t="shared" si="147"/>
        <v>1.0797664271390695</v>
      </c>
      <c r="EQ79" s="28">
        <f t="shared" si="148"/>
        <v>505.09324028514425</v>
      </c>
      <c r="ER79" s="28">
        <f t="shared" si="149"/>
        <v>467.78009353692408</v>
      </c>
      <c r="ES79" s="33"/>
      <c r="EW79" s="31"/>
      <c r="FC79" s="11">
        <v>6</v>
      </c>
      <c r="FE79" s="35">
        <f t="shared" si="104"/>
        <v>420</v>
      </c>
      <c r="FF79" s="35">
        <f t="shared" si="123"/>
        <v>0</v>
      </c>
      <c r="FG79" s="15">
        <f t="shared" si="150"/>
        <v>0.97004897183061733</v>
      </c>
      <c r="FH79" s="28">
        <f t="shared" si="151"/>
        <v>445.00606386516358</v>
      </c>
      <c r="FI79" s="28">
        <f t="shared" si="152"/>
        <v>458.74597756170522</v>
      </c>
      <c r="FJ79" s="33"/>
      <c r="FN79" s="31"/>
      <c r="FT79" s="11">
        <v>5</v>
      </c>
      <c r="FV79" s="35">
        <f t="shared" si="105"/>
        <v>350</v>
      </c>
      <c r="FW79" s="35">
        <f t="shared" si="124"/>
        <v>0</v>
      </c>
      <c r="FX79" s="15">
        <f t="shared" si="153"/>
        <v>0.93061286595320636</v>
      </c>
      <c r="FY79" s="28">
        <f t="shared" si="154"/>
        <v>409.3827276480651</v>
      </c>
      <c r="FZ79" s="28">
        <f t="shared" si="155"/>
        <v>439.90658481681675</v>
      </c>
      <c r="GA79" s="33"/>
      <c r="GE79" s="31"/>
      <c r="GK79" s="11">
        <v>6</v>
      </c>
      <c r="GM79" s="35">
        <f t="shared" si="106"/>
        <v>420</v>
      </c>
      <c r="GN79" s="35">
        <f t="shared" si="125"/>
        <v>0</v>
      </c>
      <c r="GO79" s="15">
        <f t="shared" si="156"/>
        <v>0.94042046786926836</v>
      </c>
      <c r="GP79" s="28">
        <f t="shared" si="157"/>
        <v>472.76429430694884</v>
      </c>
      <c r="GQ79" s="28">
        <f t="shared" si="158"/>
        <v>502.71587067655116</v>
      </c>
      <c r="GR79" s="33"/>
      <c r="GV79" s="31"/>
      <c r="HD79" s="35">
        <f t="shared" si="107"/>
        <v>0</v>
      </c>
      <c r="HE79" s="35">
        <f t="shared" si="126"/>
        <v>0</v>
      </c>
      <c r="HF79" s="15">
        <f t="shared" si="159"/>
        <v>1.0144358162264351</v>
      </c>
      <c r="HG79" s="28">
        <f t="shared" si="160"/>
        <v>222.79903488108286</v>
      </c>
      <c r="HH79" s="28">
        <f t="shared" si="161"/>
        <v>219.62851795776032</v>
      </c>
      <c r="HI79" s="33"/>
      <c r="HM79" s="31"/>
      <c r="HS79" s="11">
        <v>3</v>
      </c>
      <c r="HU79" s="35">
        <f t="shared" si="108"/>
        <v>210</v>
      </c>
      <c r="HV79" s="35">
        <f t="shared" si="127"/>
        <v>0</v>
      </c>
      <c r="HW79" s="15">
        <f t="shared" si="162"/>
        <v>0.87024929569846132</v>
      </c>
      <c r="HX79" s="28">
        <f t="shared" si="163"/>
        <v>64.262908025070914</v>
      </c>
      <c r="HY79" s="28">
        <f t="shared" si="164"/>
        <v>73.844251690538357</v>
      </c>
      <c r="HZ79" s="33"/>
      <c r="ID79" s="31"/>
      <c r="II79" s="12"/>
      <c r="IL79" s="35">
        <f t="shared" si="109"/>
        <v>0</v>
      </c>
      <c r="IM79" s="35">
        <f t="shared" si="110"/>
        <v>2531.1831583202247</v>
      </c>
      <c r="IN79" s="15">
        <f t="shared" si="165"/>
        <v>1.4998737304035685E-2</v>
      </c>
      <c r="IO79" s="28">
        <f t="shared" si="166"/>
        <v>0.53178478514904115</v>
      </c>
      <c r="IP79" s="28">
        <f t="shared" si="167"/>
        <v>35.455303627856374</v>
      </c>
      <c r="IQ79" s="33"/>
      <c r="IU79" s="31"/>
      <c r="JC79" s="35">
        <f t="shared" si="111"/>
        <v>0</v>
      </c>
      <c r="JD79" s="35">
        <f t="shared" si="112"/>
        <v>4165.2357535378469</v>
      </c>
      <c r="JE79" s="15" t="e">
        <f t="shared" si="168"/>
        <v>#DIV/0!</v>
      </c>
      <c r="JF79" s="28">
        <f t="shared" si="169"/>
        <v>0</v>
      </c>
      <c r="JG79" s="28">
        <f t="shared" si="170"/>
        <v>0</v>
      </c>
      <c r="JH79" s="33"/>
      <c r="JL79" s="31"/>
      <c r="JR79" s="99"/>
      <c r="JS79" s="99"/>
      <c r="JT79" s="99"/>
      <c r="JU79" s="99"/>
      <c r="JV79" s="99"/>
      <c r="JW79" s="99"/>
      <c r="JX79" s="99"/>
      <c r="JY79" s="99"/>
      <c r="JZ79" s="99"/>
      <c r="KA79" s="99"/>
      <c r="KB79" s="99"/>
      <c r="KC79" s="99"/>
      <c r="KD79" s="99"/>
      <c r="KE79" s="99"/>
      <c r="KF79" s="99"/>
      <c r="KG79" s="99"/>
      <c r="KH79" s="99"/>
      <c r="KI79" s="99"/>
      <c r="KJ79" s="99"/>
      <c r="KK79" s="99"/>
      <c r="KL79" s="99"/>
      <c r="KM79" s="99"/>
      <c r="KN79" s="99"/>
      <c r="KO79" s="99"/>
      <c r="KP79" s="99"/>
      <c r="KQ79" s="99"/>
      <c r="KR79" s="99"/>
      <c r="KS79" s="99"/>
      <c r="KT79" s="99"/>
      <c r="KU79" s="99"/>
      <c r="KV79" s="99"/>
      <c r="KW79" s="99"/>
      <c r="KX79" s="99"/>
      <c r="KY79" s="99"/>
      <c r="KZ79" s="99"/>
      <c r="LA79" s="99"/>
      <c r="LB79" s="99"/>
      <c r="LC79" s="99"/>
      <c r="LD79" s="99"/>
      <c r="LE79" s="99"/>
      <c r="LF79" s="99"/>
      <c r="LG79" s="99"/>
      <c r="LH79" s="99"/>
      <c r="LI79" s="99"/>
      <c r="LJ79" s="99"/>
      <c r="LK79" s="99"/>
      <c r="LL79" s="99"/>
      <c r="LM79" s="99"/>
      <c r="LN79" s="99"/>
      <c r="LO79" s="99"/>
      <c r="LP79" s="99"/>
      <c r="LQ79" s="99"/>
      <c r="LR79" s="99"/>
      <c r="LS79" s="99"/>
      <c r="LT79" s="99"/>
      <c r="LU79" s="99"/>
      <c r="LV79" s="99"/>
      <c r="LW79" s="99"/>
      <c r="LX79" s="99"/>
      <c r="LY79" s="99"/>
      <c r="LZ79" s="99"/>
      <c r="MA79" s="99"/>
      <c r="MB79" s="99"/>
      <c r="MC79" s="99"/>
      <c r="MD79" s="99"/>
      <c r="ME79" s="99"/>
      <c r="MF79" s="99"/>
    </row>
    <row r="80" spans="1:344" ht="17.25" customHeight="1" x14ac:dyDescent="0.25">
      <c r="A80" s="157"/>
      <c r="B80" s="92" t="s">
        <v>7</v>
      </c>
      <c r="C80" s="93">
        <v>45214</v>
      </c>
      <c r="D80" s="51"/>
      <c r="E80" s="48"/>
      <c r="F80" s="104"/>
      <c r="G80" s="37">
        <f t="shared" si="93"/>
        <v>0</v>
      </c>
      <c r="H80" s="26">
        <f t="shared" si="94"/>
        <v>0</v>
      </c>
      <c r="I80" s="48">
        <v>11</v>
      </c>
      <c r="J80" s="48"/>
      <c r="K80" s="104">
        <v>100</v>
      </c>
      <c r="L80" s="37">
        <f t="shared" si="95"/>
        <v>7.7819999999999991</v>
      </c>
      <c r="M80" s="26">
        <f t="shared" si="113"/>
        <v>778.19999999999993</v>
      </c>
      <c r="N80" s="26">
        <f t="shared" si="114"/>
        <v>778.19999999999993</v>
      </c>
      <c r="O80" s="98"/>
      <c r="P80" s="151"/>
      <c r="Q80" s="125"/>
      <c r="R80" s="115"/>
      <c r="S80" s="130"/>
      <c r="T80" s="110"/>
      <c r="U80" s="120"/>
      <c r="V80" s="23"/>
      <c r="W80" s="13">
        <v>0</v>
      </c>
      <c r="X80" s="2">
        <v>9</v>
      </c>
      <c r="Y80" s="26">
        <f t="shared" si="96"/>
        <v>900</v>
      </c>
      <c r="Z80" s="26">
        <f t="shared" si="115"/>
        <v>0</v>
      </c>
      <c r="AA80" s="16">
        <f t="shared" si="128"/>
        <v>1.0623036427578365</v>
      </c>
      <c r="AB80" s="44">
        <f t="shared" si="81"/>
        <v>515.39466397590468</v>
      </c>
      <c r="AC80" s="44">
        <f t="shared" si="82"/>
        <v>485.16699296812487</v>
      </c>
      <c r="AD80" s="34"/>
      <c r="AE80" s="4"/>
      <c r="AF80" s="5"/>
      <c r="AG80" s="6"/>
      <c r="AH80" s="32"/>
      <c r="AI80" s="3"/>
      <c r="AJ80" s="4"/>
      <c r="AK80" s="5"/>
      <c r="AL80" s="6"/>
      <c r="AM80" s="14"/>
      <c r="AN80" s="95"/>
      <c r="AO80" s="96"/>
      <c r="AP80" s="26">
        <f t="shared" si="97"/>
        <v>0</v>
      </c>
      <c r="AQ80" s="26">
        <f t="shared" si="116"/>
        <v>0</v>
      </c>
      <c r="AR80" s="16">
        <f t="shared" si="129"/>
        <v>5.3454430221960218E-2</v>
      </c>
      <c r="AS80" s="29">
        <f t="shared" si="130"/>
        <v>8.8833536514425795</v>
      </c>
      <c r="AT80" s="29">
        <f t="shared" si="131"/>
        <v>166.18554560503216</v>
      </c>
      <c r="AU80" s="34"/>
      <c r="AV80" s="4"/>
      <c r="AW80" s="5"/>
      <c r="AX80" s="6"/>
      <c r="AY80" s="32"/>
      <c r="AZ80" s="3"/>
      <c r="BA80" s="4"/>
      <c r="BB80" s="5"/>
      <c r="BC80" s="6"/>
      <c r="BD80" s="14"/>
      <c r="BE80" s="13"/>
      <c r="BF80" s="2">
        <v>7</v>
      </c>
      <c r="BG80" s="26">
        <f t="shared" si="98"/>
        <v>700</v>
      </c>
      <c r="BH80" s="26">
        <f t="shared" si="117"/>
        <v>0</v>
      </c>
      <c r="BI80" s="16">
        <f t="shared" si="132"/>
        <v>1.1453646957885826</v>
      </c>
      <c r="BJ80" s="29">
        <f t="shared" si="133"/>
        <v>532.28566669940915</v>
      </c>
      <c r="BK80" s="29">
        <f t="shared" si="134"/>
        <v>464.73028953710758</v>
      </c>
      <c r="BL80" s="34"/>
      <c r="BM80" s="4"/>
      <c r="BN80" s="5"/>
      <c r="BO80" s="6"/>
      <c r="BP80" s="32"/>
      <c r="BQ80" s="3"/>
      <c r="BR80" s="4"/>
      <c r="BS80" s="5"/>
      <c r="BT80" s="6"/>
      <c r="BU80" s="14"/>
      <c r="BV80" s="13"/>
      <c r="BW80" s="2">
        <v>7</v>
      </c>
      <c r="BX80" s="26">
        <f t="shared" si="99"/>
        <v>700</v>
      </c>
      <c r="BY80" s="26">
        <f t="shared" si="118"/>
        <v>0</v>
      </c>
      <c r="BZ80" s="16">
        <f t="shared" si="135"/>
        <v>0.81418055497213249</v>
      </c>
      <c r="CA80" s="29">
        <f t="shared" si="136"/>
        <v>294.42915521120415</v>
      </c>
      <c r="CB80" s="29">
        <f t="shared" si="137"/>
        <v>361.62636581425329</v>
      </c>
      <c r="CC80" s="34"/>
      <c r="CD80" s="4"/>
      <c r="CE80" s="5"/>
      <c r="CF80" s="6"/>
      <c r="CG80" s="32"/>
      <c r="CH80" s="3"/>
      <c r="CI80" s="4"/>
      <c r="CJ80" s="5"/>
      <c r="CK80" s="6"/>
      <c r="CL80" s="14"/>
      <c r="CM80" s="13"/>
      <c r="CN80" s="2">
        <v>7</v>
      </c>
      <c r="CO80" s="26">
        <f t="shared" si="100"/>
        <v>700</v>
      </c>
      <c r="CP80" s="26">
        <f t="shared" si="119"/>
        <v>0</v>
      </c>
      <c r="CQ80" s="16">
        <f t="shared" si="138"/>
        <v>1.2379384384300522</v>
      </c>
      <c r="CR80" s="29">
        <f t="shared" si="139"/>
        <v>513.81828149347768</v>
      </c>
      <c r="CS80" s="29">
        <f t="shared" si="140"/>
        <v>415.05963910862937</v>
      </c>
      <c r="CT80" s="34"/>
      <c r="CU80" s="4"/>
      <c r="CV80" s="5"/>
      <c r="CW80" s="6"/>
      <c r="CX80" s="32"/>
      <c r="CY80" s="3"/>
      <c r="CZ80" s="4"/>
      <c r="DA80" s="5"/>
      <c r="DB80" s="6"/>
      <c r="DC80" s="14"/>
      <c r="DD80" s="13"/>
      <c r="DE80" s="2">
        <v>7.32</v>
      </c>
      <c r="DF80" s="26">
        <f t="shared" si="101"/>
        <v>732</v>
      </c>
      <c r="DG80" s="26">
        <f t="shared" si="120"/>
        <v>0</v>
      </c>
      <c r="DH80" s="16">
        <f t="shared" si="141"/>
        <v>1.0872395504805219</v>
      </c>
      <c r="DI80" s="29">
        <f t="shared" si="142"/>
        <v>443.25337595232031</v>
      </c>
      <c r="DJ80" s="29">
        <f t="shared" si="143"/>
        <v>407.68694972181413</v>
      </c>
      <c r="DK80" s="34"/>
      <c r="DL80" s="4"/>
      <c r="DM80" s="5"/>
      <c r="DN80" s="6"/>
      <c r="DO80" s="32"/>
      <c r="DP80" s="3"/>
      <c r="DQ80" s="4"/>
      <c r="DR80" s="5"/>
      <c r="DS80" s="6"/>
      <c r="DT80" s="14"/>
      <c r="DU80" s="13"/>
      <c r="DV80" s="2">
        <v>8</v>
      </c>
      <c r="DW80" s="26">
        <f t="shared" si="102"/>
        <v>800</v>
      </c>
      <c r="DX80" s="26">
        <f t="shared" si="121"/>
        <v>0</v>
      </c>
      <c r="DY80" s="16">
        <f t="shared" si="144"/>
        <v>1.3459906179517516</v>
      </c>
      <c r="DZ80" s="29">
        <f t="shared" si="145"/>
        <v>432.88014732819522</v>
      </c>
      <c r="EA80" s="29">
        <f t="shared" si="146"/>
        <v>321.60710598928728</v>
      </c>
      <c r="EB80" s="34"/>
      <c r="EC80" s="4"/>
      <c r="ED80" s="5"/>
      <c r="EE80" s="6"/>
      <c r="EF80" s="32"/>
      <c r="EG80" s="3"/>
      <c r="EH80" s="4"/>
      <c r="EI80" s="5"/>
      <c r="EJ80" s="6"/>
      <c r="EK80" s="14"/>
      <c r="EL80" s="13"/>
      <c r="EM80" s="2">
        <v>9</v>
      </c>
      <c r="EN80" s="26">
        <f t="shared" si="103"/>
        <v>900</v>
      </c>
      <c r="EO80" s="26">
        <f t="shared" si="122"/>
        <v>0</v>
      </c>
      <c r="EP80" s="16">
        <f t="shared" si="147"/>
        <v>1.213492869158503</v>
      </c>
      <c r="EQ80" s="29">
        <f t="shared" si="148"/>
        <v>603.81993021385824</v>
      </c>
      <c r="ER80" s="29">
        <f t="shared" si="149"/>
        <v>497.5883629481707</v>
      </c>
      <c r="ES80" s="34"/>
      <c r="ET80" s="4"/>
      <c r="EU80" s="5"/>
      <c r="EV80" s="6"/>
      <c r="EW80" s="32"/>
      <c r="EX80" s="3"/>
      <c r="EY80" s="4"/>
      <c r="EZ80" s="5"/>
      <c r="FA80" s="6"/>
      <c r="FB80" s="14"/>
      <c r="FC80" s="13"/>
      <c r="FD80" s="2">
        <v>7.5</v>
      </c>
      <c r="FE80" s="26">
        <f t="shared" si="104"/>
        <v>750</v>
      </c>
      <c r="FF80" s="26">
        <f t="shared" si="123"/>
        <v>0</v>
      </c>
      <c r="FG80" s="16">
        <f t="shared" si="150"/>
        <v>1.0885948414307611</v>
      </c>
      <c r="FH80" s="29">
        <f t="shared" si="151"/>
        <v>521.25454789887272</v>
      </c>
      <c r="FI80" s="29">
        <f t="shared" si="152"/>
        <v>478.83246186779451</v>
      </c>
      <c r="FJ80" s="34"/>
      <c r="FK80" s="4"/>
      <c r="FL80" s="5"/>
      <c r="FM80" s="6"/>
      <c r="FN80" s="32"/>
      <c r="FO80" s="3"/>
      <c r="FP80" s="4"/>
      <c r="FQ80" s="5"/>
      <c r="FR80" s="6"/>
      <c r="FS80" s="14"/>
      <c r="FT80" s="13"/>
      <c r="FU80" s="2">
        <v>7</v>
      </c>
      <c r="FV80" s="26">
        <f t="shared" si="105"/>
        <v>700</v>
      </c>
      <c r="FW80" s="26">
        <f t="shared" si="124"/>
        <v>0</v>
      </c>
      <c r="FX80" s="16">
        <f t="shared" si="153"/>
        <v>1.0528411003494142</v>
      </c>
      <c r="FY80" s="29">
        <f t="shared" si="154"/>
        <v>482.03704573604881</v>
      </c>
      <c r="FZ80" s="29">
        <f t="shared" si="155"/>
        <v>457.84406172600177</v>
      </c>
      <c r="GA80" s="34"/>
      <c r="GB80" s="4"/>
      <c r="GC80" s="5"/>
      <c r="GD80" s="6"/>
      <c r="GE80" s="32"/>
      <c r="GF80" s="3"/>
      <c r="GG80" s="4"/>
      <c r="GH80" s="5"/>
      <c r="GI80" s="6"/>
      <c r="GJ80" s="14"/>
      <c r="GK80" s="13"/>
      <c r="GL80" s="2">
        <v>9</v>
      </c>
      <c r="GM80" s="26">
        <f t="shared" si="106"/>
        <v>900</v>
      </c>
      <c r="GN80" s="26">
        <f t="shared" si="125"/>
        <v>0</v>
      </c>
      <c r="GO80" s="16">
        <f t="shared" si="156"/>
        <v>1.0932976155513736</v>
      </c>
      <c r="GP80" s="29">
        <f t="shared" si="157"/>
        <v>579.57322073021169</v>
      </c>
      <c r="GQ80" s="29">
        <f t="shared" si="158"/>
        <v>530.11477614713385</v>
      </c>
      <c r="GR80" s="34"/>
      <c r="GS80" s="4"/>
      <c r="GT80" s="5"/>
      <c r="GU80" s="6"/>
      <c r="GV80" s="32"/>
      <c r="GW80" s="3"/>
      <c r="GX80" s="4"/>
      <c r="GY80" s="5"/>
      <c r="GZ80" s="6"/>
      <c r="HA80" s="14"/>
      <c r="HB80" s="13"/>
      <c r="HC80" s="2"/>
      <c r="HD80" s="26">
        <f t="shared" si="107"/>
        <v>0</v>
      </c>
      <c r="HE80" s="26">
        <f t="shared" si="126"/>
        <v>0</v>
      </c>
      <c r="HF80" s="16">
        <f t="shared" si="159"/>
        <v>0.8171844075157394</v>
      </c>
      <c r="HG80" s="29">
        <f t="shared" si="160"/>
        <v>167.09927616081214</v>
      </c>
      <c r="HH80" s="29">
        <f t="shared" si="161"/>
        <v>204.48172361584582</v>
      </c>
      <c r="HI80" s="34"/>
      <c r="HJ80" s="4"/>
      <c r="HK80" s="5"/>
      <c r="HL80" s="6"/>
      <c r="HM80" s="32"/>
      <c r="HN80" s="3"/>
      <c r="HO80" s="4"/>
      <c r="HP80" s="5"/>
      <c r="HQ80" s="6"/>
      <c r="HR80" s="14"/>
      <c r="HS80" s="13"/>
      <c r="HT80" s="2"/>
      <c r="HU80" s="26">
        <f t="shared" si="108"/>
        <v>0</v>
      </c>
      <c r="HV80" s="26">
        <f t="shared" si="127"/>
        <v>0</v>
      </c>
      <c r="HW80" s="16">
        <f t="shared" si="162"/>
        <v>0.70103415486820497</v>
      </c>
      <c r="HX80" s="29">
        <f t="shared" si="163"/>
        <v>48.197181018803185</v>
      </c>
      <c r="HY80" s="29">
        <f t="shared" si="164"/>
        <v>68.751544677397774</v>
      </c>
      <c r="HZ80" s="34"/>
      <c r="IA80" s="4"/>
      <c r="IB80" s="5"/>
      <c r="IC80" s="6"/>
      <c r="ID80" s="32"/>
      <c r="IE80" s="3"/>
      <c r="IF80" s="4"/>
      <c r="IG80" s="5"/>
      <c r="IH80" s="6"/>
      <c r="II80" s="14"/>
      <c r="IJ80" s="13"/>
      <c r="IK80" s="2"/>
      <c r="IL80" s="26">
        <f t="shared" si="109"/>
        <v>0</v>
      </c>
      <c r="IM80" s="26">
        <f t="shared" si="110"/>
        <v>3688.2909915809996</v>
      </c>
      <c r="IN80" s="16">
        <f t="shared" si="165"/>
        <v>1.2082316161584301E-2</v>
      </c>
      <c r="IO80" s="29">
        <f t="shared" si="166"/>
        <v>0.39883858886178086</v>
      </c>
      <c r="IP80" s="29">
        <f t="shared" si="167"/>
        <v>33.010110274211108</v>
      </c>
      <c r="IQ80" s="34"/>
      <c r="IR80" s="4"/>
      <c r="IS80" s="5"/>
      <c r="IT80" s="6"/>
      <c r="IU80" s="32"/>
      <c r="IV80" s="3"/>
      <c r="IW80" s="4"/>
      <c r="IX80" s="5"/>
      <c r="IY80" s="6"/>
      <c r="IZ80" s="14"/>
      <c r="JA80" s="13"/>
      <c r="JB80" s="2"/>
      <c r="JC80" s="26">
        <f t="shared" si="111"/>
        <v>0</v>
      </c>
      <c r="JD80" s="26">
        <f t="shared" si="112"/>
        <v>4834.2851368323481</v>
      </c>
      <c r="JE80" s="16" t="e">
        <f t="shared" si="168"/>
        <v>#DIV/0!</v>
      </c>
      <c r="JF80" s="29">
        <f t="shared" si="169"/>
        <v>0</v>
      </c>
      <c r="JG80" s="29">
        <f t="shared" si="170"/>
        <v>0</v>
      </c>
      <c r="JH80" s="34"/>
      <c r="JI80" s="4"/>
      <c r="JJ80" s="5"/>
      <c r="JK80" s="6"/>
      <c r="JL80" s="32"/>
      <c r="JM80" s="3"/>
      <c r="JN80" s="4"/>
      <c r="JO80" s="5"/>
      <c r="JP80" s="6"/>
      <c r="JQ80" s="14"/>
      <c r="JR80" s="99"/>
      <c r="JS80" s="99"/>
      <c r="JT80" s="99"/>
      <c r="JU80" s="99"/>
      <c r="JV80" s="99"/>
      <c r="JW80" s="99"/>
      <c r="JX80" s="99"/>
      <c r="JY80" s="99"/>
      <c r="JZ80" s="99"/>
      <c r="KA80" s="99"/>
      <c r="KB80" s="99"/>
      <c r="KC80" s="99"/>
      <c r="KD80" s="99"/>
      <c r="KE80" s="99"/>
      <c r="KF80" s="99"/>
      <c r="KG80" s="99"/>
      <c r="KH80" s="99"/>
      <c r="KI80" s="99"/>
      <c r="KJ80" s="99"/>
      <c r="KK80" s="99"/>
      <c r="KL80" s="99"/>
      <c r="KM80" s="99"/>
      <c r="KN80" s="99"/>
      <c r="KO80" s="99"/>
      <c r="KP80" s="99"/>
      <c r="KQ80" s="99"/>
      <c r="KR80" s="99"/>
      <c r="KS80" s="99"/>
      <c r="KT80" s="99"/>
      <c r="KU80" s="99"/>
      <c r="KV80" s="99"/>
      <c r="KW80" s="99"/>
      <c r="KX80" s="99"/>
      <c r="KY80" s="99"/>
      <c r="KZ80" s="99"/>
      <c r="LA80" s="99"/>
      <c r="LB80" s="99"/>
      <c r="LC80" s="99"/>
      <c r="LD80" s="99"/>
      <c r="LE80" s="99"/>
      <c r="LF80" s="99"/>
      <c r="LG80" s="99"/>
      <c r="LH80" s="99"/>
      <c r="LI80" s="99"/>
      <c r="LJ80" s="99"/>
      <c r="LK80" s="99"/>
      <c r="LL80" s="99"/>
      <c r="LM80" s="99"/>
      <c r="LN80" s="99"/>
      <c r="LO80" s="99"/>
      <c r="LP80" s="99"/>
      <c r="LQ80" s="99"/>
      <c r="LR80" s="99"/>
      <c r="LS80" s="99"/>
      <c r="LT80" s="99"/>
      <c r="LU80" s="99"/>
      <c r="LV80" s="99"/>
      <c r="LW80" s="99"/>
      <c r="LX80" s="99"/>
      <c r="LY80" s="99"/>
      <c r="LZ80" s="99"/>
      <c r="MA80" s="99"/>
      <c r="MB80" s="99"/>
      <c r="MC80" s="99"/>
      <c r="MD80" s="99"/>
      <c r="ME80" s="99"/>
      <c r="MF80" s="99"/>
    </row>
    <row r="81" spans="1:344" ht="17.25" customHeight="1" x14ac:dyDescent="0.25">
      <c r="A81" s="155" t="s">
        <v>17</v>
      </c>
      <c r="B81" s="79" t="s">
        <v>1</v>
      </c>
      <c r="C81" s="80">
        <v>45215</v>
      </c>
      <c r="D81" s="50"/>
      <c r="G81" s="36">
        <f t="shared" si="93"/>
        <v>0</v>
      </c>
      <c r="H81" s="27">
        <f t="shared" si="94"/>
        <v>0</v>
      </c>
      <c r="I81" s="47"/>
      <c r="K81" s="105"/>
      <c r="L81" s="89">
        <f t="shared" si="95"/>
        <v>0</v>
      </c>
      <c r="M81" s="27">
        <f t="shared" si="113"/>
        <v>0</v>
      </c>
      <c r="N81" s="35">
        <f t="shared" si="114"/>
        <v>0</v>
      </c>
      <c r="O81" s="97"/>
      <c r="P81" s="149">
        <f t="shared" ref="P81" si="171">SUM(N81:N87)</f>
        <v>3045.0699999999997</v>
      </c>
      <c r="W81" s="11">
        <v>0</v>
      </c>
      <c r="X81" s="1">
        <v>0</v>
      </c>
      <c r="Y81" s="27">
        <f t="shared" si="96"/>
        <v>0</v>
      </c>
      <c r="Z81" s="27">
        <f t="shared" si="115"/>
        <v>0</v>
      </c>
      <c r="AA81" s="15">
        <f t="shared" si="128"/>
        <v>0.85574460111047945</v>
      </c>
      <c r="AB81" s="43">
        <f t="shared" si="81"/>
        <v>386.54599798192851</v>
      </c>
      <c r="AC81" s="43">
        <f t="shared" si="82"/>
        <v>451.70720034963347</v>
      </c>
      <c r="AD81" s="33"/>
      <c r="AH81" s="31"/>
      <c r="AN81" s="86"/>
      <c r="AO81" s="87"/>
      <c r="AP81" s="27">
        <f t="shared" si="97"/>
        <v>0</v>
      </c>
      <c r="AQ81" s="27">
        <f t="shared" si="116"/>
        <v>0</v>
      </c>
      <c r="AR81" s="15">
        <f t="shared" si="129"/>
        <v>4.3060513234356841E-2</v>
      </c>
      <c r="AS81" s="28">
        <f t="shared" si="130"/>
        <v>6.6625152385819346</v>
      </c>
      <c r="AT81" s="28">
        <f t="shared" si="131"/>
        <v>154.72447349434029</v>
      </c>
      <c r="AU81" s="33"/>
      <c r="AY81" s="31"/>
      <c r="BG81" s="27">
        <f t="shared" si="98"/>
        <v>0</v>
      </c>
      <c r="BH81" s="27">
        <f t="shared" si="117"/>
        <v>0</v>
      </c>
      <c r="BI81" s="15">
        <f t="shared" si="132"/>
        <v>0.92265489382969168</v>
      </c>
      <c r="BJ81" s="28">
        <f t="shared" si="133"/>
        <v>399.21425002455686</v>
      </c>
      <c r="BK81" s="28">
        <f t="shared" si="134"/>
        <v>432.67992474144495</v>
      </c>
      <c r="BL81" s="33"/>
      <c r="BP81" s="31"/>
      <c r="BX81" s="27">
        <f t="shared" si="99"/>
        <v>0</v>
      </c>
      <c r="BY81" s="27">
        <f t="shared" si="118"/>
        <v>0</v>
      </c>
      <c r="BZ81" s="15">
        <f t="shared" si="135"/>
        <v>0.65586766928310669</v>
      </c>
      <c r="CA81" s="28">
        <f t="shared" si="136"/>
        <v>220.82186640840311</v>
      </c>
      <c r="CB81" s="28">
        <f t="shared" si="137"/>
        <v>336.68661644775307</v>
      </c>
      <c r="CC81" s="33"/>
      <c r="CG81" s="31"/>
      <c r="CO81" s="27">
        <f t="shared" si="100"/>
        <v>0</v>
      </c>
      <c r="CP81" s="27">
        <f t="shared" si="119"/>
        <v>0</v>
      </c>
      <c r="CQ81" s="15">
        <f t="shared" si="138"/>
        <v>0.99722818651309786</v>
      </c>
      <c r="CR81" s="28">
        <f t="shared" si="139"/>
        <v>385.36371112010829</v>
      </c>
      <c r="CS81" s="28">
        <f t="shared" si="140"/>
        <v>386.43483641148248</v>
      </c>
      <c r="CT81" s="33"/>
      <c r="CX81" s="31"/>
      <c r="DF81" s="27">
        <f t="shared" si="101"/>
        <v>0</v>
      </c>
      <c r="DG81" s="27">
        <f t="shared" si="120"/>
        <v>0</v>
      </c>
      <c r="DH81" s="15">
        <f t="shared" si="141"/>
        <v>0.87583186010930936</v>
      </c>
      <c r="DI81" s="28">
        <f t="shared" si="142"/>
        <v>332.44003196424023</v>
      </c>
      <c r="DJ81" s="28">
        <f t="shared" si="143"/>
        <v>379.57060836168898</v>
      </c>
      <c r="DK81" s="33"/>
      <c r="DO81" s="31"/>
      <c r="DW81" s="27">
        <f t="shared" si="102"/>
        <v>0</v>
      </c>
      <c r="DX81" s="27">
        <f t="shared" si="121"/>
        <v>0</v>
      </c>
      <c r="DY81" s="15">
        <f t="shared" si="144"/>
        <v>1.0842702200166887</v>
      </c>
      <c r="DZ81" s="28">
        <f t="shared" si="145"/>
        <v>324.66011049614644</v>
      </c>
      <c r="EA81" s="28">
        <f t="shared" si="146"/>
        <v>299.42730557623298</v>
      </c>
      <c r="EB81" s="33"/>
      <c r="EF81" s="31"/>
      <c r="EN81" s="27">
        <f t="shared" si="103"/>
        <v>0</v>
      </c>
      <c r="EO81" s="27">
        <f t="shared" si="122"/>
        <v>0</v>
      </c>
      <c r="EP81" s="15">
        <f t="shared" si="147"/>
        <v>0.97753592237768316</v>
      </c>
      <c r="EQ81" s="28">
        <f t="shared" si="148"/>
        <v>452.86494766039368</v>
      </c>
      <c r="ER81" s="28">
        <f t="shared" si="149"/>
        <v>463.27192412415889</v>
      </c>
      <c r="ES81" s="33"/>
      <c r="EW81" s="31"/>
      <c r="FE81" s="27">
        <f t="shared" si="104"/>
        <v>0</v>
      </c>
      <c r="FF81" s="27">
        <f t="shared" si="123"/>
        <v>0</v>
      </c>
      <c r="FG81" s="15">
        <f t="shared" si="150"/>
        <v>0.87692362226366871</v>
      </c>
      <c r="FH81" s="28">
        <f t="shared" si="151"/>
        <v>390.94091092415454</v>
      </c>
      <c r="FI81" s="28">
        <f t="shared" si="152"/>
        <v>445.80953346311901</v>
      </c>
      <c r="FJ81" s="33"/>
      <c r="FN81" s="31"/>
      <c r="FV81" s="27">
        <f t="shared" si="105"/>
        <v>0</v>
      </c>
      <c r="FW81" s="27">
        <f t="shared" si="124"/>
        <v>0</v>
      </c>
      <c r="FX81" s="15">
        <f t="shared" si="153"/>
        <v>0.84812199750369477</v>
      </c>
      <c r="FY81" s="28">
        <f t="shared" si="154"/>
        <v>361.52778430203659</v>
      </c>
      <c r="FZ81" s="28">
        <f t="shared" si="155"/>
        <v>426.26860919317403</v>
      </c>
      <c r="GA81" s="33"/>
      <c r="GE81" s="31"/>
      <c r="GM81" s="27">
        <f t="shared" si="106"/>
        <v>0</v>
      </c>
      <c r="GN81" s="27">
        <f t="shared" si="125"/>
        <v>0</v>
      </c>
      <c r="GO81" s="15">
        <f t="shared" si="156"/>
        <v>0.88071196808305108</v>
      </c>
      <c r="GP81" s="28">
        <f t="shared" si="157"/>
        <v>434.67991554765877</v>
      </c>
      <c r="GQ81" s="28">
        <f t="shared" si="158"/>
        <v>493.55513641284875</v>
      </c>
      <c r="GR81" s="33"/>
      <c r="GV81" s="31"/>
      <c r="HD81" s="27">
        <f t="shared" si="107"/>
        <v>0</v>
      </c>
      <c r="HE81" s="27">
        <f t="shared" si="126"/>
        <v>0</v>
      </c>
      <c r="HF81" s="15">
        <f t="shared" si="159"/>
        <v>0.65828743938767897</v>
      </c>
      <c r="HG81" s="28">
        <f t="shared" si="160"/>
        <v>125.32445712060911</v>
      </c>
      <c r="HH81" s="28">
        <f t="shared" si="161"/>
        <v>190.37953578027023</v>
      </c>
      <c r="HI81" s="33"/>
      <c r="HM81" s="31"/>
      <c r="HU81" s="27">
        <f t="shared" si="108"/>
        <v>0</v>
      </c>
      <c r="HV81" s="27">
        <f t="shared" si="127"/>
        <v>0</v>
      </c>
      <c r="HW81" s="15">
        <f t="shared" si="162"/>
        <v>0.5647219580882763</v>
      </c>
      <c r="HX81" s="28">
        <f t="shared" si="163"/>
        <v>36.147885764102391</v>
      </c>
      <c r="HY81" s="28">
        <f t="shared" si="164"/>
        <v>64.010058837577233</v>
      </c>
      <c r="HZ81" s="33"/>
      <c r="ID81" s="31"/>
      <c r="II81" s="12"/>
      <c r="IL81" s="27">
        <f t="shared" si="109"/>
        <v>0</v>
      </c>
      <c r="IM81" s="27">
        <f t="shared" si="110"/>
        <v>2568.6881508802271</v>
      </c>
      <c r="IN81" s="15">
        <f t="shared" si="165"/>
        <v>9.7329769079429092E-3</v>
      </c>
      <c r="IO81" s="28">
        <f t="shared" si="166"/>
        <v>0.29912894164633563</v>
      </c>
      <c r="IP81" s="28">
        <f t="shared" si="167"/>
        <v>30.733550944955169</v>
      </c>
      <c r="IQ81" s="33"/>
      <c r="IU81" s="31"/>
      <c r="JC81" s="27">
        <f t="shared" si="111"/>
        <v>0</v>
      </c>
      <c r="JD81" s="27">
        <f t="shared" si="112"/>
        <v>3476.6207110973846</v>
      </c>
      <c r="JE81" s="15" t="e">
        <f t="shared" si="168"/>
        <v>#DIV/0!</v>
      </c>
      <c r="JF81" s="28">
        <f t="shared" si="169"/>
        <v>0</v>
      </c>
      <c r="JG81" s="28">
        <f t="shared" si="170"/>
        <v>0</v>
      </c>
      <c r="JH81" s="33"/>
      <c r="JL81" s="31"/>
      <c r="JR81" s="99"/>
      <c r="JS81" s="99"/>
      <c r="JT81" s="99"/>
      <c r="JU81" s="99"/>
      <c r="JV81" s="99"/>
      <c r="JW81" s="99"/>
      <c r="JX81" s="99"/>
      <c r="JY81" s="99"/>
      <c r="JZ81" s="99"/>
      <c r="KA81" s="99"/>
      <c r="KB81" s="99"/>
      <c r="KC81" s="99"/>
      <c r="KD81" s="99"/>
      <c r="KE81" s="99"/>
      <c r="KF81" s="99"/>
      <c r="KG81" s="99"/>
      <c r="KH81" s="99"/>
      <c r="KI81" s="99"/>
      <c r="KJ81" s="99"/>
      <c r="KK81" s="99"/>
      <c r="KL81" s="99"/>
      <c r="KM81" s="99"/>
      <c r="KN81" s="99"/>
      <c r="KO81" s="99"/>
      <c r="KP81" s="99"/>
      <c r="KQ81" s="99"/>
      <c r="KR81" s="99"/>
      <c r="KS81" s="99"/>
      <c r="KT81" s="99"/>
      <c r="KU81" s="99"/>
      <c r="KV81" s="99"/>
      <c r="KW81" s="99"/>
      <c r="KX81" s="99"/>
      <c r="KY81" s="99"/>
      <c r="KZ81" s="99"/>
      <c r="LA81" s="99"/>
      <c r="LB81" s="99"/>
      <c r="LC81" s="99"/>
      <c r="LD81" s="99"/>
      <c r="LE81" s="99"/>
      <c r="LF81" s="99"/>
      <c r="LG81" s="99"/>
      <c r="LH81" s="99"/>
      <c r="LI81" s="99"/>
      <c r="LJ81" s="99"/>
      <c r="LK81" s="99"/>
      <c r="LL81" s="99"/>
      <c r="LM81" s="99"/>
      <c r="LN81" s="99"/>
      <c r="LO81" s="99"/>
      <c r="LP81" s="99"/>
      <c r="LQ81" s="99"/>
      <c r="LR81" s="99"/>
      <c r="LS81" s="99"/>
      <c r="LT81" s="99"/>
      <c r="LU81" s="99"/>
      <c r="LV81" s="99"/>
      <c r="LW81" s="99"/>
      <c r="LX81" s="99"/>
      <c r="LY81" s="99"/>
      <c r="LZ81" s="99"/>
      <c r="MA81" s="99"/>
      <c r="MB81" s="99"/>
      <c r="MC81" s="99"/>
      <c r="MD81" s="99"/>
      <c r="ME81" s="99"/>
      <c r="MF81" s="99"/>
    </row>
    <row r="82" spans="1:344" ht="17.25" customHeight="1" x14ac:dyDescent="0.25">
      <c r="A82" s="156"/>
      <c r="B82" s="81" t="s">
        <v>2</v>
      </c>
      <c r="C82" s="82">
        <v>45216</v>
      </c>
      <c r="D82" s="49" t="s">
        <v>90</v>
      </c>
      <c r="F82" s="103">
        <v>45</v>
      </c>
      <c r="G82" s="89">
        <f t="shared" si="93"/>
        <v>4.2299999999999995</v>
      </c>
      <c r="H82" s="35">
        <f t="shared" si="94"/>
        <v>190.34999999999997</v>
      </c>
      <c r="I82" s="39">
        <v>11</v>
      </c>
      <c r="K82" s="103">
        <v>70</v>
      </c>
      <c r="L82" s="89">
        <f t="shared" si="95"/>
        <v>6.26</v>
      </c>
      <c r="M82" s="35">
        <f t="shared" si="113"/>
        <v>438.2</v>
      </c>
      <c r="N82" s="35">
        <f t="shared" si="114"/>
        <v>628.54999999999995</v>
      </c>
      <c r="O82" s="97"/>
      <c r="P82" s="150"/>
      <c r="W82" s="11">
        <v>4</v>
      </c>
      <c r="X82" s="1">
        <v>6</v>
      </c>
      <c r="Y82" s="35">
        <f t="shared" si="96"/>
        <v>600</v>
      </c>
      <c r="Z82" s="35">
        <f t="shared" si="115"/>
        <v>0</v>
      </c>
      <c r="AA82" s="15">
        <f t="shared" si="128"/>
        <v>0.95232050970893001</v>
      </c>
      <c r="AB82" s="43">
        <f t="shared" si="81"/>
        <v>439.90949848644641</v>
      </c>
      <c r="AC82" s="43">
        <f t="shared" si="82"/>
        <v>461.93428998069317</v>
      </c>
      <c r="AD82" s="33"/>
      <c r="AH82" s="31"/>
      <c r="AN82" s="86"/>
      <c r="AO82" s="87"/>
      <c r="AP82" s="35">
        <f t="shared" si="97"/>
        <v>0</v>
      </c>
      <c r="AQ82" s="35">
        <f t="shared" si="116"/>
        <v>0</v>
      </c>
      <c r="AR82" s="15">
        <f t="shared" si="129"/>
        <v>3.4687635661009679E-2</v>
      </c>
      <c r="AS82" s="28">
        <f t="shared" si="130"/>
        <v>4.9968864289364507</v>
      </c>
      <c r="AT82" s="28">
        <f t="shared" si="131"/>
        <v>144.05382014990303</v>
      </c>
      <c r="AU82" s="33"/>
      <c r="AY82" s="31"/>
      <c r="BE82" s="11">
        <v>4</v>
      </c>
      <c r="BF82" s="1">
        <v>6.2</v>
      </c>
      <c r="BG82" s="35">
        <f t="shared" si="98"/>
        <v>614</v>
      </c>
      <c r="BH82" s="35">
        <f t="shared" si="117"/>
        <v>0</v>
      </c>
      <c r="BI82" s="15">
        <f t="shared" si="132"/>
        <v>1.017354435141931</v>
      </c>
      <c r="BJ82" s="28">
        <f t="shared" si="133"/>
        <v>452.91068751841766</v>
      </c>
      <c r="BK82" s="28">
        <f t="shared" si="134"/>
        <v>445.18475751789703</v>
      </c>
      <c r="BL82" s="33"/>
      <c r="BP82" s="31"/>
      <c r="BV82" s="11">
        <v>2</v>
      </c>
      <c r="BW82" s="1">
        <v>5</v>
      </c>
      <c r="BX82" s="35">
        <f t="shared" si="99"/>
        <v>440</v>
      </c>
      <c r="BY82" s="35">
        <f t="shared" si="118"/>
        <v>0</v>
      </c>
      <c r="BZ82" s="15">
        <f t="shared" si="135"/>
        <v>0.80164932705225989</v>
      </c>
      <c r="CA82" s="28">
        <f t="shared" si="136"/>
        <v>275.6163998063023</v>
      </c>
      <c r="CB82" s="28">
        <f t="shared" si="137"/>
        <v>343.81167738239083</v>
      </c>
      <c r="CC82" s="33"/>
      <c r="CG82" s="31"/>
      <c r="CM82" s="11">
        <v>5</v>
      </c>
      <c r="CN82" s="1">
        <v>7</v>
      </c>
      <c r="CO82" s="35">
        <f t="shared" si="100"/>
        <v>715</v>
      </c>
      <c r="CP82" s="35">
        <f t="shared" si="119"/>
        <v>0</v>
      </c>
      <c r="CQ82" s="15">
        <f t="shared" si="138"/>
        <v>1.1434345366734446</v>
      </c>
      <c r="CR82" s="28">
        <f t="shared" si="139"/>
        <v>467.77278334008122</v>
      </c>
      <c r="CS82" s="28">
        <f t="shared" si="140"/>
        <v>409.09450286586298</v>
      </c>
      <c r="CT82" s="33"/>
      <c r="CX82" s="31"/>
      <c r="DD82" s="11">
        <v>3.6</v>
      </c>
      <c r="DE82" s="1">
        <v>4.5999999999999996</v>
      </c>
      <c r="DF82" s="35">
        <f t="shared" si="101"/>
        <v>484</v>
      </c>
      <c r="DG82" s="35">
        <f t="shared" si="120"/>
        <v>0</v>
      </c>
      <c r="DH82" s="15">
        <f t="shared" si="141"/>
        <v>0.95748765581032957</v>
      </c>
      <c r="DI82" s="28">
        <f t="shared" si="142"/>
        <v>370.33002397318018</v>
      </c>
      <c r="DJ82" s="28">
        <f t="shared" si="143"/>
        <v>386.77263537122769</v>
      </c>
      <c r="DK82" s="33"/>
      <c r="DO82" s="31"/>
      <c r="DU82" s="11">
        <v>3.7</v>
      </c>
      <c r="DV82" s="1">
        <v>4.5999999999999996</v>
      </c>
      <c r="DW82" s="35">
        <f t="shared" si="102"/>
        <v>488.5</v>
      </c>
      <c r="DX82" s="35">
        <f t="shared" si="121"/>
        <v>0</v>
      </c>
      <c r="DY82" s="15">
        <f t="shared" si="144"/>
        <v>1.170108570997479</v>
      </c>
      <c r="DZ82" s="28">
        <f t="shared" si="145"/>
        <v>365.62008287210983</v>
      </c>
      <c r="EA82" s="28">
        <f t="shared" si="146"/>
        <v>312.46680174338928</v>
      </c>
      <c r="EB82" s="33"/>
      <c r="EF82" s="31"/>
      <c r="EL82" s="11">
        <v>5</v>
      </c>
      <c r="EM82" s="1">
        <v>7.5</v>
      </c>
      <c r="EN82" s="35">
        <f t="shared" si="103"/>
        <v>750</v>
      </c>
      <c r="EO82" s="35">
        <f t="shared" si="122"/>
        <v>0</v>
      </c>
      <c r="EP82" s="15">
        <f t="shared" si="147"/>
        <v>1.0913006453371028</v>
      </c>
      <c r="EQ82" s="28">
        <f t="shared" si="148"/>
        <v>527.14871074529526</v>
      </c>
      <c r="ER82" s="28">
        <f t="shared" si="149"/>
        <v>483.0462741845617</v>
      </c>
      <c r="ES82" s="33"/>
      <c r="EW82" s="31"/>
      <c r="FC82" s="11">
        <v>6</v>
      </c>
      <c r="FD82" s="1">
        <v>7.5</v>
      </c>
      <c r="FE82" s="35">
        <f t="shared" si="104"/>
        <v>795</v>
      </c>
      <c r="FF82" s="35">
        <f t="shared" si="123"/>
        <v>0</v>
      </c>
      <c r="FG82" s="15">
        <f t="shared" si="150"/>
        <v>1.0469556105380251</v>
      </c>
      <c r="FH82" s="28">
        <f t="shared" si="151"/>
        <v>491.95568319311587</v>
      </c>
      <c r="FI82" s="28">
        <f t="shared" si="152"/>
        <v>469.89163460359356</v>
      </c>
      <c r="FJ82" s="33"/>
      <c r="FN82" s="31"/>
      <c r="FT82" s="11">
        <v>4</v>
      </c>
      <c r="FU82" s="1">
        <v>6.5</v>
      </c>
      <c r="FV82" s="35">
        <f t="shared" si="105"/>
        <v>635</v>
      </c>
      <c r="FW82" s="35">
        <f t="shared" si="124"/>
        <v>0</v>
      </c>
      <c r="FX82" s="15">
        <f t="shared" si="153"/>
        <v>0.97556405267743151</v>
      </c>
      <c r="FY82" s="28">
        <f t="shared" si="154"/>
        <v>429.89583822652742</v>
      </c>
      <c r="FZ82" s="28">
        <f t="shared" si="155"/>
        <v>440.66387752467926</v>
      </c>
      <c r="GA82" s="33"/>
      <c r="GE82" s="31"/>
      <c r="GK82" s="11">
        <v>5</v>
      </c>
      <c r="GL82" s="1">
        <v>7.7</v>
      </c>
      <c r="GM82" s="35">
        <f t="shared" si="106"/>
        <v>764</v>
      </c>
      <c r="GN82" s="35">
        <f t="shared" si="125"/>
        <v>0</v>
      </c>
      <c r="GO82" s="15">
        <f t="shared" si="156"/>
        <v>1.0093779174729485</v>
      </c>
      <c r="GP82" s="28">
        <f t="shared" si="157"/>
        <v>517.00993666074407</v>
      </c>
      <c r="GQ82" s="28">
        <f t="shared" si="158"/>
        <v>512.20650631541093</v>
      </c>
      <c r="GR82" s="33"/>
      <c r="GV82" s="31"/>
      <c r="HB82" s="11">
        <v>5</v>
      </c>
      <c r="HC82" s="1">
        <v>6</v>
      </c>
      <c r="HD82" s="35">
        <f t="shared" si="107"/>
        <v>645</v>
      </c>
      <c r="HE82" s="35">
        <f t="shared" si="126"/>
        <v>0</v>
      </c>
      <c r="HF82" s="15">
        <f t="shared" si="159"/>
        <v>1.1511309605787701</v>
      </c>
      <c r="HG82" s="28">
        <f t="shared" si="160"/>
        <v>255.24334284045682</v>
      </c>
      <c r="HH82" s="28">
        <f t="shared" si="161"/>
        <v>221.73267124369985</v>
      </c>
      <c r="HI82" s="33"/>
      <c r="HM82" s="31"/>
      <c r="HU82" s="35">
        <f t="shared" si="108"/>
        <v>0</v>
      </c>
      <c r="HV82" s="35">
        <f t="shared" si="127"/>
        <v>0</v>
      </c>
      <c r="HW82" s="15">
        <f t="shared" si="162"/>
        <v>0.45491491068222256</v>
      </c>
      <c r="HX82" s="28">
        <f t="shared" si="163"/>
        <v>27.110914323076791</v>
      </c>
      <c r="HY82" s="28">
        <f t="shared" si="164"/>
        <v>59.595572021192595</v>
      </c>
      <c r="HZ82" s="33"/>
      <c r="ID82" s="31"/>
      <c r="II82" s="12"/>
      <c r="IL82" s="35">
        <f t="shared" si="109"/>
        <v>0</v>
      </c>
      <c r="IM82" s="35">
        <f t="shared" si="110"/>
        <v>3263.9289341183203</v>
      </c>
      <c r="IN82" s="15">
        <f t="shared" si="165"/>
        <v>7.8404536202873448E-3</v>
      </c>
      <c r="IO82" s="28">
        <f t="shared" si="166"/>
        <v>0.22434670623475172</v>
      </c>
      <c r="IP82" s="28">
        <f t="shared" si="167"/>
        <v>28.613995707372052</v>
      </c>
      <c r="IQ82" s="33"/>
      <c r="IU82" s="31"/>
      <c r="JC82" s="35">
        <f t="shared" si="111"/>
        <v>0</v>
      </c>
      <c r="JD82" s="35">
        <f t="shared" si="112"/>
        <v>4634.9939512996607</v>
      </c>
      <c r="JE82" s="15" t="e">
        <f t="shared" si="168"/>
        <v>#DIV/0!</v>
      </c>
      <c r="JF82" s="28">
        <f t="shared" si="169"/>
        <v>0</v>
      </c>
      <c r="JG82" s="28">
        <f t="shared" si="170"/>
        <v>0</v>
      </c>
      <c r="JH82" s="33"/>
      <c r="JL82" s="31"/>
      <c r="JR82" s="99"/>
      <c r="JS82" s="99"/>
      <c r="JT82" s="99"/>
      <c r="JU82" s="99"/>
      <c r="JV82" s="99"/>
      <c r="JW82" s="99"/>
      <c r="JX82" s="99"/>
      <c r="JY82" s="99"/>
      <c r="JZ82" s="99"/>
      <c r="KA82" s="99"/>
      <c r="KB82" s="99"/>
      <c r="KC82" s="99"/>
      <c r="KD82" s="99"/>
      <c r="KE82" s="99"/>
      <c r="KF82" s="99"/>
      <c r="KG82" s="99"/>
      <c r="KH82" s="99"/>
      <c r="KI82" s="99"/>
      <c r="KJ82" s="99"/>
      <c r="KK82" s="99"/>
      <c r="KL82" s="99"/>
      <c r="KM82" s="99"/>
      <c r="KN82" s="99"/>
      <c r="KO82" s="99"/>
      <c r="KP82" s="99"/>
      <c r="KQ82" s="99"/>
      <c r="KR82" s="99"/>
      <c r="KS82" s="99"/>
      <c r="KT82" s="99"/>
      <c r="KU82" s="99"/>
      <c r="KV82" s="99"/>
      <c r="KW82" s="99"/>
      <c r="KX82" s="99"/>
      <c r="KY82" s="99"/>
      <c r="KZ82" s="99"/>
      <c r="LA82" s="99"/>
      <c r="LB82" s="99"/>
      <c r="LC82" s="99"/>
      <c r="LD82" s="99"/>
      <c r="LE82" s="99"/>
      <c r="LF82" s="99"/>
      <c r="LG82" s="99"/>
      <c r="LH82" s="99"/>
      <c r="LI82" s="99"/>
      <c r="LJ82" s="99"/>
      <c r="LK82" s="99"/>
      <c r="LL82" s="99"/>
      <c r="LM82" s="99"/>
      <c r="LN82" s="99"/>
      <c r="LO82" s="99"/>
      <c r="LP82" s="99"/>
      <c r="LQ82" s="99"/>
      <c r="LR82" s="99"/>
      <c r="LS82" s="99"/>
      <c r="LT82" s="99"/>
      <c r="LU82" s="99"/>
      <c r="LV82" s="99"/>
      <c r="LW82" s="99"/>
      <c r="LX82" s="99"/>
      <c r="LY82" s="99"/>
      <c r="LZ82" s="99"/>
      <c r="MA82" s="99"/>
      <c r="MB82" s="99"/>
      <c r="MC82" s="99"/>
      <c r="MD82" s="99"/>
      <c r="ME82" s="99"/>
      <c r="MF82" s="99"/>
    </row>
    <row r="83" spans="1:344" ht="17.25" customHeight="1" x14ac:dyDescent="0.25">
      <c r="A83" s="156"/>
      <c r="B83" s="81" t="s">
        <v>3</v>
      </c>
      <c r="C83" s="82">
        <v>45217</v>
      </c>
      <c r="D83" s="49"/>
      <c r="G83" s="89">
        <f t="shared" si="93"/>
        <v>0</v>
      </c>
      <c r="H83" s="35">
        <f t="shared" si="94"/>
        <v>0</v>
      </c>
      <c r="I83" s="39">
        <v>12</v>
      </c>
      <c r="K83" s="103">
        <v>96</v>
      </c>
      <c r="L83" s="89">
        <f t="shared" si="95"/>
        <v>6.8533333333333335</v>
      </c>
      <c r="M83" s="35">
        <f t="shared" si="113"/>
        <v>657.92000000000007</v>
      </c>
      <c r="N83" s="35">
        <f t="shared" si="114"/>
        <v>657.92000000000007</v>
      </c>
      <c r="O83" s="97"/>
      <c r="P83" s="150"/>
      <c r="W83" s="11">
        <v>0</v>
      </c>
      <c r="X83" s="1">
        <v>7.5</v>
      </c>
      <c r="Y83" s="35">
        <f t="shared" si="96"/>
        <v>720</v>
      </c>
      <c r="Z83" s="35">
        <f t="shared" si="115"/>
        <v>0</v>
      </c>
      <c r="AA83" s="15">
        <f t="shared" si="128"/>
        <v>1.0629522387960195</v>
      </c>
      <c r="AB83" s="43">
        <f t="shared" si="81"/>
        <v>509.93212386483481</v>
      </c>
      <c r="AC83" s="43">
        <f t="shared" si="82"/>
        <v>479.73192515443844</v>
      </c>
      <c r="AD83" s="33"/>
      <c r="AH83" s="31"/>
      <c r="AN83" s="86"/>
      <c r="AO83" s="87"/>
      <c r="AP83" s="35">
        <f t="shared" si="97"/>
        <v>0</v>
      </c>
      <c r="AQ83" s="35">
        <f t="shared" si="116"/>
        <v>0</v>
      </c>
      <c r="AR83" s="15">
        <f t="shared" si="129"/>
        <v>2.7942817615813353E-2</v>
      </c>
      <c r="AS83" s="28">
        <f t="shared" si="130"/>
        <v>3.7476648217023381</v>
      </c>
      <c r="AT83" s="28">
        <f t="shared" si="131"/>
        <v>134.11907393266833</v>
      </c>
      <c r="AU83" s="33"/>
      <c r="AY83" s="31"/>
      <c r="BF83" s="1">
        <v>7</v>
      </c>
      <c r="BG83" s="35">
        <f t="shared" si="98"/>
        <v>672</v>
      </c>
      <c r="BH83" s="35">
        <f t="shared" si="117"/>
        <v>0</v>
      </c>
      <c r="BI83" s="15">
        <f t="shared" si="132"/>
        <v>1.1016776544908671</v>
      </c>
      <c r="BJ83" s="28">
        <f t="shared" si="133"/>
        <v>507.68301563881323</v>
      </c>
      <c r="BK83" s="28">
        <f t="shared" si="134"/>
        <v>460.82718803390412</v>
      </c>
      <c r="BL83" s="33"/>
      <c r="BP83" s="31"/>
      <c r="BW83" s="1">
        <v>5</v>
      </c>
      <c r="BX83" s="35">
        <f t="shared" si="99"/>
        <v>480</v>
      </c>
      <c r="BY83" s="35">
        <f t="shared" si="118"/>
        <v>0</v>
      </c>
      <c r="BZ83" s="15">
        <f t="shared" si="135"/>
        <v>0.9249961000518887</v>
      </c>
      <c r="CA83" s="28">
        <f t="shared" si="136"/>
        <v>326.71229985472672</v>
      </c>
      <c r="CB83" s="28">
        <f t="shared" si="137"/>
        <v>353.20397549395011</v>
      </c>
      <c r="CC83" s="33"/>
      <c r="CG83" s="31"/>
      <c r="CM83" s="86"/>
      <c r="CN83" s="87"/>
      <c r="CO83" s="35">
        <f t="shared" si="100"/>
        <v>0</v>
      </c>
      <c r="CP83" s="35">
        <f t="shared" si="119"/>
        <v>0</v>
      </c>
      <c r="CQ83" s="15">
        <f t="shared" si="138"/>
        <v>0.92110004343138596</v>
      </c>
      <c r="CR83" s="28">
        <f t="shared" si="139"/>
        <v>350.82958750506089</v>
      </c>
      <c r="CS83" s="28">
        <f t="shared" si="140"/>
        <v>380.88108887511379</v>
      </c>
      <c r="CT83" s="33"/>
      <c r="CX83" s="31"/>
      <c r="DE83" s="1">
        <v>5.2</v>
      </c>
      <c r="DF83" s="35">
        <f t="shared" si="101"/>
        <v>499.20000000000005</v>
      </c>
      <c r="DG83" s="35">
        <f t="shared" si="120"/>
        <v>0</v>
      </c>
      <c r="DH83" s="15">
        <f t="shared" si="141"/>
        <v>1.0203314008168927</v>
      </c>
      <c r="DI83" s="28">
        <f t="shared" si="142"/>
        <v>402.54751797988513</v>
      </c>
      <c r="DJ83" s="28">
        <f t="shared" si="143"/>
        <v>394.52624672493613</v>
      </c>
      <c r="DK83" s="33"/>
      <c r="DO83" s="31"/>
      <c r="DV83" s="1">
        <v>4.7300000000000004</v>
      </c>
      <c r="DW83" s="35">
        <f t="shared" si="102"/>
        <v>454.08000000000004</v>
      </c>
      <c r="DX83" s="35">
        <f t="shared" si="121"/>
        <v>0</v>
      </c>
      <c r="DY83" s="15">
        <f t="shared" si="144"/>
        <v>1.2032746067357376</v>
      </c>
      <c r="DZ83" s="28">
        <f t="shared" si="145"/>
        <v>387.73506215408236</v>
      </c>
      <c r="EA83" s="28">
        <f t="shared" si="146"/>
        <v>322.23322920936243</v>
      </c>
      <c r="EB83" s="33"/>
      <c r="EF83" s="31"/>
      <c r="EM83" s="1">
        <v>8</v>
      </c>
      <c r="EN83" s="35">
        <f t="shared" si="103"/>
        <v>768</v>
      </c>
      <c r="EO83" s="35">
        <f t="shared" si="122"/>
        <v>0</v>
      </c>
      <c r="EP83" s="15">
        <f t="shared" si="147"/>
        <v>1.168417687738597</v>
      </c>
      <c r="EQ83" s="28">
        <f t="shared" si="148"/>
        <v>587.36153305897142</v>
      </c>
      <c r="ER83" s="28">
        <f t="shared" si="149"/>
        <v>502.69825527528155</v>
      </c>
      <c r="ES83" s="33"/>
      <c r="EW83" s="31"/>
      <c r="FD83" s="1">
        <v>8.5</v>
      </c>
      <c r="FE83" s="35">
        <f t="shared" si="104"/>
        <v>816</v>
      </c>
      <c r="FF83" s="35">
        <f t="shared" si="123"/>
        <v>0</v>
      </c>
      <c r="FG83" s="15">
        <f t="shared" si="150"/>
        <v>1.160412744120904</v>
      </c>
      <c r="FH83" s="28">
        <f t="shared" si="151"/>
        <v>572.96676239483691</v>
      </c>
      <c r="FI83" s="28">
        <f t="shared" si="152"/>
        <v>493.76117704472506</v>
      </c>
      <c r="FJ83" s="33"/>
      <c r="FN83" s="31"/>
      <c r="FU83" s="1">
        <v>7</v>
      </c>
      <c r="FV83" s="35">
        <f t="shared" si="105"/>
        <v>672</v>
      </c>
      <c r="FW83" s="35">
        <f t="shared" si="124"/>
        <v>0</v>
      </c>
      <c r="FX83" s="15">
        <f t="shared" si="153"/>
        <v>1.074030762972586</v>
      </c>
      <c r="FY83" s="28">
        <f t="shared" si="154"/>
        <v>490.42187866989559</v>
      </c>
      <c r="FZ83" s="28">
        <f t="shared" si="155"/>
        <v>456.61809286780482</v>
      </c>
      <c r="GA83" s="33"/>
      <c r="GE83" s="31"/>
      <c r="GL83" s="1">
        <v>8.75</v>
      </c>
      <c r="GM83" s="35">
        <f t="shared" si="106"/>
        <v>840</v>
      </c>
      <c r="GN83" s="35">
        <f t="shared" si="125"/>
        <v>0</v>
      </c>
      <c r="GO83" s="15">
        <f t="shared" si="156"/>
        <v>1.1176944160584084</v>
      </c>
      <c r="GP83" s="28">
        <f t="shared" si="157"/>
        <v>597.75745249555803</v>
      </c>
      <c r="GQ83" s="28">
        <f t="shared" si="158"/>
        <v>534.81295415572743</v>
      </c>
      <c r="GR83" s="33"/>
      <c r="GV83" s="31"/>
      <c r="HC83" s="1">
        <v>7</v>
      </c>
      <c r="HD83" s="35">
        <f t="shared" si="107"/>
        <v>672</v>
      </c>
      <c r="HE83" s="35">
        <f t="shared" si="126"/>
        <v>0</v>
      </c>
      <c r="HF83" s="15">
        <f t="shared" si="159"/>
        <v>1.4218868506884133</v>
      </c>
      <c r="HG83" s="28">
        <f t="shared" si="160"/>
        <v>359.43250713034263</v>
      </c>
      <c r="HH83" s="28">
        <f t="shared" si="161"/>
        <v>252.78559046827226</v>
      </c>
      <c r="HI83" s="33"/>
      <c r="HM83" s="31"/>
      <c r="HU83" s="35">
        <f t="shared" si="108"/>
        <v>0</v>
      </c>
      <c r="HV83" s="35">
        <f t="shared" si="127"/>
        <v>0</v>
      </c>
      <c r="HW83" s="15">
        <f t="shared" si="162"/>
        <v>0.36645923360512372</v>
      </c>
      <c r="HX83" s="28">
        <f t="shared" si="163"/>
        <v>20.333185742307592</v>
      </c>
      <c r="HY83" s="28">
        <f t="shared" si="164"/>
        <v>55.485532571455174</v>
      </c>
      <c r="HZ83" s="33"/>
      <c r="ID83" s="31"/>
      <c r="II83" s="12"/>
      <c r="IK83" s="1">
        <v>6</v>
      </c>
      <c r="IL83" s="35">
        <f t="shared" si="109"/>
        <v>576</v>
      </c>
      <c r="IM83" s="35">
        <f t="shared" si="110"/>
        <v>3555.6440651888133</v>
      </c>
      <c r="IN83" s="15">
        <f t="shared" si="165"/>
        <v>2.172361833419802</v>
      </c>
      <c r="IO83" s="28">
        <f t="shared" si="166"/>
        <v>144.16826002967608</v>
      </c>
      <c r="IP83" s="28">
        <f t="shared" si="167"/>
        <v>66.364754624105018</v>
      </c>
      <c r="IQ83" s="33"/>
      <c r="IU83" s="31"/>
      <c r="JC83" s="35">
        <f t="shared" si="111"/>
        <v>0</v>
      </c>
      <c r="JD83" s="35">
        <f t="shared" si="112"/>
        <v>3310.4870945261064</v>
      </c>
      <c r="JE83" s="15" t="e">
        <f t="shared" si="168"/>
        <v>#DIV/0!</v>
      </c>
      <c r="JF83" s="28">
        <f t="shared" si="169"/>
        <v>0</v>
      </c>
      <c r="JG83" s="28">
        <f t="shared" si="170"/>
        <v>0</v>
      </c>
      <c r="JH83" s="33"/>
      <c r="JL83" s="31"/>
      <c r="JR83" s="99"/>
      <c r="JS83" s="99"/>
      <c r="JT83" s="99"/>
      <c r="JU83" s="99"/>
      <c r="JV83" s="99"/>
      <c r="JW83" s="99"/>
      <c r="JX83" s="99"/>
      <c r="JY83" s="99"/>
      <c r="JZ83" s="99"/>
      <c r="KA83" s="99"/>
      <c r="KB83" s="99"/>
      <c r="KC83" s="99"/>
      <c r="KD83" s="99"/>
      <c r="KE83" s="99"/>
      <c r="KF83" s="99"/>
      <c r="KG83" s="99"/>
      <c r="KH83" s="99"/>
      <c r="KI83" s="99"/>
      <c r="KJ83" s="99"/>
      <c r="KK83" s="99"/>
      <c r="KL83" s="99"/>
      <c r="KM83" s="99"/>
      <c r="KN83" s="99"/>
      <c r="KO83" s="99"/>
      <c r="KP83" s="99"/>
      <c r="KQ83" s="99"/>
      <c r="KR83" s="99"/>
      <c r="KS83" s="99"/>
      <c r="KT83" s="99"/>
      <c r="KU83" s="99"/>
      <c r="KV83" s="99"/>
      <c r="KW83" s="99"/>
      <c r="KX83" s="99"/>
      <c r="KY83" s="99"/>
      <c r="KZ83" s="99"/>
      <c r="LA83" s="99"/>
      <c r="LB83" s="99"/>
      <c r="LC83" s="99"/>
      <c r="LD83" s="99"/>
      <c r="LE83" s="99"/>
      <c r="LF83" s="99"/>
      <c r="LG83" s="99"/>
      <c r="LH83" s="99"/>
      <c r="LI83" s="99"/>
      <c r="LJ83" s="99"/>
      <c r="LK83" s="99"/>
      <c r="LL83" s="99"/>
      <c r="LM83" s="99"/>
      <c r="LN83" s="99"/>
      <c r="LO83" s="99"/>
      <c r="LP83" s="99"/>
      <c r="LQ83" s="99"/>
      <c r="LR83" s="99"/>
      <c r="LS83" s="99"/>
      <c r="LT83" s="99"/>
      <c r="LU83" s="99"/>
      <c r="LV83" s="99"/>
      <c r="LW83" s="99"/>
      <c r="LX83" s="99"/>
      <c r="LY83" s="99"/>
      <c r="LZ83" s="99"/>
      <c r="MA83" s="99"/>
      <c r="MB83" s="99"/>
      <c r="MC83" s="99"/>
      <c r="MD83" s="99"/>
      <c r="ME83" s="99"/>
      <c r="MF83" s="99"/>
    </row>
    <row r="84" spans="1:344" ht="17.25" customHeight="1" x14ac:dyDescent="0.25">
      <c r="A84" s="156"/>
      <c r="B84" s="81" t="s">
        <v>4</v>
      </c>
      <c r="C84" s="82">
        <v>45218</v>
      </c>
      <c r="D84" s="49">
        <v>12</v>
      </c>
      <c r="F84" s="103">
        <v>90</v>
      </c>
      <c r="G84" s="89">
        <f t="shared" si="93"/>
        <v>6.6155555555555559</v>
      </c>
      <c r="H84" s="35">
        <f t="shared" si="94"/>
        <v>595.4</v>
      </c>
      <c r="I84" s="39"/>
      <c r="L84" s="89">
        <f t="shared" si="95"/>
        <v>0</v>
      </c>
      <c r="M84" s="35">
        <f t="shared" si="113"/>
        <v>0</v>
      </c>
      <c r="N84" s="35">
        <f t="shared" si="114"/>
        <v>595.4</v>
      </c>
      <c r="O84" s="97"/>
      <c r="P84" s="150"/>
      <c r="W84" s="11">
        <v>7</v>
      </c>
      <c r="X84" s="1">
        <v>0</v>
      </c>
      <c r="Y84" s="35">
        <f t="shared" si="96"/>
        <v>630</v>
      </c>
      <c r="Z84" s="35">
        <f t="shared" si="115"/>
        <v>0</v>
      </c>
      <c r="AA84" s="15">
        <f t="shared" si="128"/>
        <v>1.1017227838620827</v>
      </c>
      <c r="AB84" s="43">
        <f t="shared" si="81"/>
        <v>539.94909289862608</v>
      </c>
      <c r="AC84" s="43">
        <f t="shared" si="82"/>
        <v>490.09524066102887</v>
      </c>
      <c r="AD84" s="33"/>
      <c r="AH84" s="31"/>
      <c r="AN84" s="86"/>
      <c r="AO84" s="87"/>
      <c r="AP84" s="35">
        <f t="shared" si="97"/>
        <v>0</v>
      </c>
      <c r="AQ84" s="35">
        <f t="shared" si="116"/>
        <v>0</v>
      </c>
      <c r="AR84" s="15">
        <f t="shared" si="129"/>
        <v>2.250949196829409E-2</v>
      </c>
      <c r="AS84" s="28">
        <f t="shared" si="130"/>
        <v>2.8107486162767534</v>
      </c>
      <c r="AT84" s="28">
        <f t="shared" si="131"/>
        <v>124.86948262696706</v>
      </c>
      <c r="AU84" s="33"/>
      <c r="AY84" s="31"/>
      <c r="BE84" s="11">
        <v>6</v>
      </c>
      <c r="BG84" s="35">
        <f t="shared" si="98"/>
        <v>540</v>
      </c>
      <c r="BH84" s="35">
        <f t="shared" si="117"/>
        <v>0</v>
      </c>
      <c r="BI84" s="15">
        <f t="shared" si="132"/>
        <v>1.1061038357037889</v>
      </c>
      <c r="BJ84" s="28">
        <f t="shared" si="133"/>
        <v>515.76226172910992</v>
      </c>
      <c r="BK84" s="28">
        <f t="shared" si="134"/>
        <v>466.28738196260036</v>
      </c>
      <c r="BL84" s="33"/>
      <c r="BP84" s="31"/>
      <c r="BV84" s="11">
        <v>5</v>
      </c>
      <c r="BX84" s="35">
        <f t="shared" si="99"/>
        <v>450</v>
      </c>
      <c r="BY84" s="35">
        <f t="shared" si="118"/>
        <v>0</v>
      </c>
      <c r="BZ84" s="15">
        <f t="shared" si="135"/>
        <v>0.99348299059336576</v>
      </c>
      <c r="CA84" s="28">
        <f t="shared" si="136"/>
        <v>357.53422489104503</v>
      </c>
      <c r="CB84" s="28">
        <f t="shared" si="137"/>
        <v>359.87956339091909</v>
      </c>
      <c r="CC84" s="33"/>
      <c r="CG84" s="31"/>
      <c r="CM84" s="86"/>
      <c r="CN84" s="87"/>
      <c r="CO84" s="35">
        <f t="shared" si="100"/>
        <v>0</v>
      </c>
      <c r="CP84" s="35">
        <f t="shared" si="119"/>
        <v>0</v>
      </c>
      <c r="CQ84" s="15">
        <f t="shared" si="138"/>
        <v>0.74199725720861653</v>
      </c>
      <c r="CR84" s="28">
        <f t="shared" si="139"/>
        <v>263.12219062879569</v>
      </c>
      <c r="CS84" s="28">
        <f t="shared" si="140"/>
        <v>354.61342757338178</v>
      </c>
      <c r="CT84" s="33"/>
      <c r="CX84" s="31"/>
      <c r="DD84" s="11">
        <v>5.54</v>
      </c>
      <c r="DF84" s="35">
        <f t="shared" si="101"/>
        <v>498.6</v>
      </c>
      <c r="DG84" s="35">
        <f t="shared" si="120"/>
        <v>0</v>
      </c>
      <c r="DH84" s="15">
        <f t="shared" si="141"/>
        <v>1.0618786648688032</v>
      </c>
      <c r="DI84" s="28">
        <f t="shared" si="142"/>
        <v>426.56063848491385</v>
      </c>
      <c r="DJ84" s="28">
        <f t="shared" si="143"/>
        <v>401.70374695080261</v>
      </c>
      <c r="DK84" s="33"/>
      <c r="DO84" s="31"/>
      <c r="DU84" s="11">
        <v>6</v>
      </c>
      <c r="DW84" s="35">
        <f t="shared" si="102"/>
        <v>540</v>
      </c>
      <c r="DX84" s="35">
        <f t="shared" si="121"/>
        <v>0</v>
      </c>
      <c r="DY84" s="15">
        <f t="shared" si="144"/>
        <v>1.2625626158045444</v>
      </c>
      <c r="DZ84" s="28">
        <f t="shared" si="145"/>
        <v>425.8012966155618</v>
      </c>
      <c r="EA84" s="28">
        <f t="shared" si="146"/>
        <v>337.25162719492363</v>
      </c>
      <c r="EB84" s="33"/>
      <c r="EF84" s="31"/>
      <c r="EL84" s="11">
        <v>7.5</v>
      </c>
      <c r="EN84" s="35">
        <f t="shared" si="103"/>
        <v>675</v>
      </c>
      <c r="EO84" s="35">
        <f t="shared" si="122"/>
        <v>0</v>
      </c>
      <c r="EP84" s="15">
        <f t="shared" si="147"/>
        <v>1.1840137721248014</v>
      </c>
      <c r="EQ84" s="28">
        <f t="shared" si="148"/>
        <v>609.27114979422856</v>
      </c>
      <c r="ER84" s="28">
        <f t="shared" si="149"/>
        <v>514.58113422181384</v>
      </c>
      <c r="ES84" s="33"/>
      <c r="EW84" s="31"/>
      <c r="FC84" s="11">
        <v>7</v>
      </c>
      <c r="FE84" s="35">
        <f t="shared" si="104"/>
        <v>630</v>
      </c>
      <c r="FF84" s="35">
        <f t="shared" si="123"/>
        <v>0</v>
      </c>
      <c r="FG84" s="15">
        <f t="shared" si="150"/>
        <v>1.1670812905031163</v>
      </c>
      <c r="FH84" s="28">
        <f t="shared" si="151"/>
        <v>587.22507179612762</v>
      </c>
      <c r="FI84" s="28">
        <f t="shared" si="152"/>
        <v>503.15695793819225</v>
      </c>
      <c r="FJ84" s="33"/>
      <c r="FN84" s="31"/>
      <c r="FT84" s="11">
        <v>7</v>
      </c>
      <c r="FV84" s="35">
        <f t="shared" si="105"/>
        <v>630</v>
      </c>
      <c r="FW84" s="35">
        <f t="shared" si="124"/>
        <v>0</v>
      </c>
      <c r="FX84" s="15">
        <f t="shared" si="153"/>
        <v>1.121092433073265</v>
      </c>
      <c r="FY84" s="28">
        <f t="shared" si="154"/>
        <v>525.31640900242166</v>
      </c>
      <c r="FZ84" s="28">
        <f t="shared" si="155"/>
        <v>468.57546577347341</v>
      </c>
      <c r="GA84" s="33"/>
      <c r="GE84" s="31"/>
      <c r="GK84" s="11">
        <v>8.5</v>
      </c>
      <c r="GM84" s="35">
        <f t="shared" si="106"/>
        <v>765</v>
      </c>
      <c r="GN84" s="35">
        <f t="shared" si="125"/>
        <v>0</v>
      </c>
      <c r="GO84" s="15">
        <f t="shared" si="156"/>
        <v>1.1613984306747074</v>
      </c>
      <c r="GP84" s="28">
        <f t="shared" si="157"/>
        <v>639.56808937166852</v>
      </c>
      <c r="GQ84" s="28">
        <f t="shared" si="158"/>
        <v>550.68792283464279</v>
      </c>
      <c r="GR84" s="33"/>
      <c r="GV84" s="31"/>
      <c r="HB84" s="11">
        <v>6</v>
      </c>
      <c r="HD84" s="35">
        <f t="shared" si="107"/>
        <v>540</v>
      </c>
      <c r="HE84" s="35">
        <f t="shared" si="126"/>
        <v>0</v>
      </c>
      <c r="HF84" s="15">
        <f t="shared" si="159"/>
        <v>1.4841674833488729</v>
      </c>
      <c r="HG84" s="28">
        <f t="shared" si="160"/>
        <v>404.57438034775697</v>
      </c>
      <c r="HH84" s="28">
        <f t="shared" si="161"/>
        <v>272.59348078080518</v>
      </c>
      <c r="HI84" s="33"/>
      <c r="HM84" s="31"/>
      <c r="HU84" s="35">
        <f t="shared" si="108"/>
        <v>0</v>
      </c>
      <c r="HV84" s="35">
        <f t="shared" si="127"/>
        <v>0</v>
      </c>
      <c r="HW84" s="15">
        <f t="shared" si="162"/>
        <v>0.29520327151523851</v>
      </c>
      <c r="HX84" s="28">
        <f t="shared" si="163"/>
        <v>15.249889306730694</v>
      </c>
      <c r="HY84" s="28">
        <f t="shared" si="164"/>
        <v>51.65894411825137</v>
      </c>
      <c r="HZ84" s="33"/>
      <c r="ID84" s="31"/>
      <c r="II84" s="12"/>
      <c r="IJ84" s="11">
        <v>6</v>
      </c>
      <c r="IL84" s="35">
        <f t="shared" si="109"/>
        <v>540</v>
      </c>
      <c r="IM84" s="35">
        <f t="shared" si="110"/>
        <v>3682.5151654905558</v>
      </c>
      <c r="IN84" s="15">
        <f t="shared" si="165"/>
        <v>2.4550946760939869</v>
      </c>
      <c r="IO84" s="28">
        <f t="shared" si="166"/>
        <v>243.12619502225706</v>
      </c>
      <c r="IP84" s="28">
        <f t="shared" si="167"/>
        <v>99.029254305201221</v>
      </c>
      <c r="IQ84" s="33"/>
      <c r="IU84" s="31"/>
      <c r="JC84" s="35">
        <f t="shared" si="111"/>
        <v>0</v>
      </c>
      <c r="JD84" s="35">
        <f t="shared" si="112"/>
        <v>2827.7818921537173</v>
      </c>
      <c r="JE84" s="15" t="e">
        <f t="shared" si="168"/>
        <v>#DIV/0!</v>
      </c>
      <c r="JF84" s="28">
        <f t="shared" si="169"/>
        <v>0</v>
      </c>
      <c r="JG84" s="28">
        <f t="shared" si="170"/>
        <v>0</v>
      </c>
      <c r="JH84" s="33"/>
      <c r="JL84" s="31"/>
      <c r="JR84" s="99"/>
      <c r="JS84" s="99"/>
      <c r="JT84" s="99"/>
      <c r="JU84" s="99"/>
      <c r="JV84" s="99"/>
      <c r="JW84" s="99"/>
      <c r="JX84" s="99"/>
      <c r="JY84" s="99"/>
      <c r="JZ84" s="99"/>
      <c r="KA84" s="99"/>
      <c r="KB84" s="99"/>
      <c r="KC84" s="99"/>
      <c r="KD84" s="99"/>
      <c r="KE84" s="99"/>
      <c r="KF84" s="99"/>
      <c r="KG84" s="99"/>
      <c r="KH84" s="99"/>
      <c r="KI84" s="99"/>
      <c r="KJ84" s="99"/>
      <c r="KK84" s="99"/>
      <c r="KL84" s="99"/>
      <c r="KM84" s="99"/>
      <c r="KN84" s="99"/>
      <c r="KO84" s="99"/>
      <c r="KP84" s="99"/>
      <c r="KQ84" s="99"/>
      <c r="KR84" s="99"/>
      <c r="KS84" s="99"/>
      <c r="KT84" s="99"/>
      <c r="KU84" s="99"/>
      <c r="KV84" s="99"/>
      <c r="KW84" s="99"/>
      <c r="KX84" s="99"/>
      <c r="KY84" s="99"/>
      <c r="KZ84" s="99"/>
      <c r="LA84" s="99"/>
      <c r="LB84" s="99"/>
      <c r="LC84" s="99"/>
      <c r="LD84" s="99"/>
      <c r="LE84" s="99"/>
      <c r="LF84" s="99"/>
      <c r="LG84" s="99"/>
      <c r="LH84" s="99"/>
      <c r="LI84" s="99"/>
      <c r="LJ84" s="99"/>
      <c r="LK84" s="99"/>
      <c r="LL84" s="99"/>
      <c r="LM84" s="99"/>
      <c r="LN84" s="99"/>
      <c r="LO84" s="99"/>
      <c r="LP84" s="99"/>
      <c r="LQ84" s="99"/>
      <c r="LR84" s="99"/>
      <c r="LS84" s="99"/>
      <c r="LT84" s="99"/>
      <c r="LU84" s="99"/>
      <c r="LV84" s="99"/>
      <c r="LW84" s="99"/>
      <c r="LX84" s="99"/>
      <c r="LY84" s="99"/>
      <c r="LZ84" s="99"/>
      <c r="MA84" s="99"/>
      <c r="MB84" s="99"/>
      <c r="MC84" s="99"/>
      <c r="MD84" s="99"/>
      <c r="ME84" s="99"/>
      <c r="MF84" s="99"/>
    </row>
    <row r="85" spans="1:344" ht="17.25" customHeight="1" x14ac:dyDescent="0.25">
      <c r="A85" s="156"/>
      <c r="B85" s="81" t="s">
        <v>5</v>
      </c>
      <c r="C85" s="82">
        <v>45219</v>
      </c>
      <c r="D85" s="49">
        <v>12</v>
      </c>
      <c r="F85" s="103">
        <v>67</v>
      </c>
      <c r="G85" s="89">
        <f t="shared" si="93"/>
        <v>6.1</v>
      </c>
      <c r="H85" s="35">
        <f t="shared" si="94"/>
        <v>408.7</v>
      </c>
      <c r="I85" s="39"/>
      <c r="L85" s="89">
        <f t="shared" si="95"/>
        <v>0</v>
      </c>
      <c r="M85" s="35">
        <f t="shared" si="113"/>
        <v>0</v>
      </c>
      <c r="N85" s="35">
        <f t="shared" si="114"/>
        <v>408.7</v>
      </c>
      <c r="O85" s="97"/>
      <c r="P85" s="150"/>
      <c r="W85" s="11">
        <v>7</v>
      </c>
      <c r="X85" s="1">
        <v>0</v>
      </c>
      <c r="Y85" s="35">
        <f t="shared" si="96"/>
        <v>469</v>
      </c>
      <c r="Z85" s="35">
        <f t="shared" si="115"/>
        <v>0</v>
      </c>
      <c r="AA85" s="15">
        <f t="shared" si="128"/>
        <v>1.0687037409073588</v>
      </c>
      <c r="AB85" s="43">
        <f t="shared" si="81"/>
        <v>522.21181967396956</v>
      </c>
      <c r="AC85" s="43">
        <f t="shared" si="82"/>
        <v>488.64039647750963</v>
      </c>
      <c r="AD85" s="33"/>
      <c r="AH85" s="31"/>
      <c r="AN85" s="11">
        <v>6</v>
      </c>
      <c r="AP85" s="35">
        <f t="shared" si="97"/>
        <v>402</v>
      </c>
      <c r="AQ85" s="35">
        <f t="shared" si="116"/>
        <v>0</v>
      </c>
      <c r="AR85" s="15">
        <f t="shared" si="129"/>
        <v>0.71264539907863045</v>
      </c>
      <c r="AS85" s="28">
        <f t="shared" si="130"/>
        <v>102.60806146220756</v>
      </c>
      <c r="AT85" s="28">
        <f t="shared" si="131"/>
        <v>143.98193210096932</v>
      </c>
      <c r="AU85" s="33"/>
      <c r="AY85" s="31"/>
      <c r="BE85" s="11">
        <v>7</v>
      </c>
      <c r="BG85" s="35">
        <f t="shared" si="98"/>
        <v>469</v>
      </c>
      <c r="BH85" s="35">
        <f t="shared" si="117"/>
        <v>0</v>
      </c>
      <c r="BI85" s="15">
        <f t="shared" si="132"/>
        <v>1.0805987048107026</v>
      </c>
      <c r="BJ85" s="28">
        <f t="shared" si="133"/>
        <v>504.07169629683244</v>
      </c>
      <c r="BK85" s="28">
        <f t="shared" si="134"/>
        <v>466.47445906862794</v>
      </c>
      <c r="BL85" s="33"/>
      <c r="BP85" s="31"/>
      <c r="BV85" s="11">
        <v>4</v>
      </c>
      <c r="BX85" s="35">
        <f t="shared" si="99"/>
        <v>268</v>
      </c>
      <c r="BY85" s="35">
        <f t="shared" si="118"/>
        <v>0</v>
      </c>
      <c r="BZ85" s="15">
        <f t="shared" si="135"/>
        <v>0.94797699024994386</v>
      </c>
      <c r="CA85" s="28">
        <f t="shared" si="136"/>
        <v>335.15066866828374</v>
      </c>
      <c r="CB85" s="28">
        <f t="shared" si="137"/>
        <v>353.54304177775225</v>
      </c>
      <c r="CC85" s="33"/>
      <c r="CG85" s="31"/>
      <c r="CM85" s="86"/>
      <c r="CN85" s="87"/>
      <c r="CO85" s="35">
        <f t="shared" si="100"/>
        <v>0</v>
      </c>
      <c r="CP85" s="35">
        <f t="shared" si="119"/>
        <v>0</v>
      </c>
      <c r="CQ85" s="15">
        <f t="shared" si="138"/>
        <v>0.59772001275138553</v>
      </c>
      <c r="CR85" s="28">
        <f t="shared" si="139"/>
        <v>197.34164297159677</v>
      </c>
      <c r="CS85" s="28">
        <f t="shared" si="140"/>
        <v>330.15732912004512</v>
      </c>
      <c r="CT85" s="33"/>
      <c r="CX85" s="31"/>
      <c r="DD85" s="11">
        <v>4.4000000000000004</v>
      </c>
      <c r="DF85" s="35">
        <f t="shared" si="101"/>
        <v>294.8</v>
      </c>
      <c r="DG85" s="35">
        <f t="shared" si="120"/>
        <v>0</v>
      </c>
      <c r="DH85" s="15">
        <f t="shared" si="141"/>
        <v>0.99819797137704913</v>
      </c>
      <c r="DI85" s="28">
        <f t="shared" si="142"/>
        <v>393.62047886368538</v>
      </c>
      <c r="DJ85" s="28">
        <f t="shared" si="143"/>
        <v>394.331074747299</v>
      </c>
      <c r="DK85" s="33"/>
      <c r="DO85" s="31"/>
      <c r="DU85" s="11">
        <v>5</v>
      </c>
      <c r="DW85" s="35">
        <f t="shared" si="102"/>
        <v>335</v>
      </c>
      <c r="DX85" s="35">
        <f t="shared" si="121"/>
        <v>0</v>
      </c>
      <c r="DY85" s="15">
        <f t="shared" si="144"/>
        <v>1.1958034590333098</v>
      </c>
      <c r="DZ85" s="28">
        <f t="shared" si="145"/>
        <v>403.10097246167135</v>
      </c>
      <c r="EA85" s="28">
        <f t="shared" si="146"/>
        <v>337.09634256079096</v>
      </c>
      <c r="EB85" s="33"/>
      <c r="EF85" s="31"/>
      <c r="EL85" s="11">
        <v>8.5</v>
      </c>
      <c r="EN85" s="35">
        <f t="shared" si="103"/>
        <v>569.5</v>
      </c>
      <c r="EO85" s="35">
        <f t="shared" si="122"/>
        <v>0</v>
      </c>
      <c r="EP85" s="15">
        <f t="shared" si="147"/>
        <v>1.1561817470179863</v>
      </c>
      <c r="EQ85" s="28">
        <f t="shared" si="148"/>
        <v>599.32836234567139</v>
      </c>
      <c r="ER85" s="28">
        <f t="shared" si="149"/>
        <v>518.36864220651626</v>
      </c>
      <c r="ES85" s="33"/>
      <c r="EW85" s="31"/>
      <c r="FC85" s="11">
        <v>6</v>
      </c>
      <c r="FE85" s="35">
        <f t="shared" si="104"/>
        <v>402</v>
      </c>
      <c r="FF85" s="35">
        <f t="shared" si="123"/>
        <v>0</v>
      </c>
      <c r="FG85" s="15">
        <f t="shared" si="150"/>
        <v>1.090165126149639</v>
      </c>
      <c r="FH85" s="28">
        <f t="shared" si="151"/>
        <v>540.91880384709566</v>
      </c>
      <c r="FI85" s="28">
        <f t="shared" si="152"/>
        <v>496.18061601142034</v>
      </c>
      <c r="FJ85" s="33"/>
      <c r="FN85" s="31"/>
      <c r="FT85" s="11">
        <v>7</v>
      </c>
      <c r="FV85" s="35">
        <f t="shared" si="105"/>
        <v>469</v>
      </c>
      <c r="FW85" s="35">
        <f t="shared" si="124"/>
        <v>0</v>
      </c>
      <c r="FX85" s="15">
        <f t="shared" si="153"/>
        <v>1.0909776593217511</v>
      </c>
      <c r="FY85" s="28">
        <f t="shared" si="154"/>
        <v>511.23730675181628</v>
      </c>
      <c r="FZ85" s="28">
        <f t="shared" si="155"/>
        <v>468.60474399599252</v>
      </c>
      <c r="GA85" s="33"/>
      <c r="GE85" s="31"/>
      <c r="GK85" s="86"/>
      <c r="GL85" s="87"/>
      <c r="GM85" s="35">
        <f t="shared" si="106"/>
        <v>0</v>
      </c>
      <c r="GN85" s="35">
        <f t="shared" si="125"/>
        <v>0</v>
      </c>
      <c r="GO85" s="15">
        <f t="shared" si="156"/>
        <v>0.93557095804351431</v>
      </c>
      <c r="GP85" s="28">
        <f t="shared" si="157"/>
        <v>479.67606702875139</v>
      </c>
      <c r="GQ85" s="28">
        <f t="shared" si="158"/>
        <v>512.70944539777088</v>
      </c>
      <c r="GR85" s="33"/>
      <c r="GV85" s="31"/>
      <c r="HB85" s="11">
        <v>5</v>
      </c>
      <c r="HD85" s="35">
        <f t="shared" si="107"/>
        <v>335</v>
      </c>
      <c r="HE85" s="35">
        <f t="shared" si="126"/>
        <v>0</v>
      </c>
      <c r="HF85" s="15">
        <f t="shared" si="159"/>
        <v>1.3982825952969489</v>
      </c>
      <c r="HG85" s="28">
        <f t="shared" si="160"/>
        <v>387.18078526081774</v>
      </c>
      <c r="HH85" s="28">
        <f t="shared" si="161"/>
        <v>276.89737865799106</v>
      </c>
      <c r="HI85" s="33"/>
      <c r="HM85" s="31"/>
      <c r="HU85" s="35">
        <f t="shared" si="108"/>
        <v>0</v>
      </c>
      <c r="HV85" s="35">
        <f t="shared" si="127"/>
        <v>0</v>
      </c>
      <c r="HW85" s="15">
        <f t="shared" si="162"/>
        <v>0.2378026353872755</v>
      </c>
      <c r="HX85" s="28">
        <f t="shared" si="163"/>
        <v>11.43741698004802</v>
      </c>
      <c r="HY85" s="28">
        <f t="shared" si="164"/>
        <v>48.096258316992653</v>
      </c>
      <c r="HZ85" s="33"/>
      <c r="ID85" s="31"/>
      <c r="II85" s="12"/>
      <c r="IJ85" s="11">
        <v>5</v>
      </c>
      <c r="IL85" s="35">
        <f t="shared" si="109"/>
        <v>335</v>
      </c>
      <c r="IM85" s="35">
        <f t="shared" si="110"/>
        <v>3379.1618145326461</v>
      </c>
      <c r="IN85" s="15">
        <f t="shared" si="165"/>
        <v>2.3077839967289453</v>
      </c>
      <c r="IO85" s="28">
        <f t="shared" si="166"/>
        <v>266.09464626669279</v>
      </c>
      <c r="IP85" s="28">
        <f t="shared" si="167"/>
        <v>115.30309883587699</v>
      </c>
      <c r="IQ85" s="33"/>
      <c r="IU85" s="31"/>
      <c r="JC85" s="35">
        <f t="shared" si="111"/>
        <v>0</v>
      </c>
      <c r="JD85" s="35">
        <f t="shared" si="112"/>
        <v>2441.9463775248669</v>
      </c>
      <c r="JE85" s="15" t="e">
        <f t="shared" si="168"/>
        <v>#DIV/0!</v>
      </c>
      <c r="JF85" s="28">
        <f t="shared" si="169"/>
        <v>0</v>
      </c>
      <c r="JG85" s="28">
        <f t="shared" si="170"/>
        <v>0</v>
      </c>
      <c r="JH85" s="33"/>
      <c r="JL85" s="31"/>
      <c r="JR85" s="99"/>
      <c r="JS85" s="99"/>
      <c r="JT85" s="99"/>
      <c r="JU85" s="99"/>
      <c r="JV85" s="99"/>
      <c r="JW85" s="99"/>
      <c r="JX85" s="99"/>
      <c r="JY85" s="99"/>
      <c r="JZ85" s="99"/>
      <c r="KA85" s="99"/>
      <c r="KB85" s="99"/>
      <c r="KC85" s="99"/>
      <c r="KD85" s="99"/>
      <c r="KE85" s="99"/>
      <c r="KF85" s="99"/>
      <c r="KG85" s="99"/>
      <c r="KH85" s="99"/>
      <c r="KI85" s="99"/>
      <c r="KJ85" s="99"/>
      <c r="KK85" s="99"/>
      <c r="KL85" s="99"/>
      <c r="KM85" s="99"/>
      <c r="KN85" s="99"/>
      <c r="KO85" s="99"/>
      <c r="KP85" s="99"/>
      <c r="KQ85" s="99"/>
      <c r="KR85" s="99"/>
      <c r="KS85" s="99"/>
      <c r="KT85" s="99"/>
      <c r="KU85" s="99"/>
      <c r="KV85" s="99"/>
      <c r="KW85" s="99"/>
      <c r="KX85" s="99"/>
      <c r="KY85" s="99"/>
      <c r="KZ85" s="99"/>
      <c r="LA85" s="99"/>
      <c r="LB85" s="99"/>
      <c r="LC85" s="99"/>
      <c r="LD85" s="99"/>
      <c r="LE85" s="99"/>
      <c r="LF85" s="99"/>
      <c r="LG85" s="99"/>
      <c r="LH85" s="99"/>
      <c r="LI85" s="99"/>
      <c r="LJ85" s="99"/>
      <c r="LK85" s="99"/>
      <c r="LL85" s="99"/>
      <c r="LM85" s="99"/>
      <c r="LN85" s="99"/>
      <c r="LO85" s="99"/>
      <c r="LP85" s="99"/>
      <c r="LQ85" s="99"/>
      <c r="LR85" s="99"/>
      <c r="LS85" s="99"/>
      <c r="LT85" s="99"/>
      <c r="LU85" s="99"/>
      <c r="LV85" s="99"/>
      <c r="LW85" s="99"/>
      <c r="LX85" s="99"/>
      <c r="LY85" s="99"/>
      <c r="LZ85" s="99"/>
      <c r="MA85" s="99"/>
      <c r="MB85" s="99"/>
      <c r="MC85" s="99"/>
      <c r="MD85" s="99"/>
      <c r="ME85" s="99"/>
      <c r="MF85" s="99"/>
    </row>
    <row r="86" spans="1:344" ht="17.25" customHeight="1" x14ac:dyDescent="0.25">
      <c r="A86" s="156"/>
      <c r="B86" s="90" t="s">
        <v>6</v>
      </c>
      <c r="C86" s="91">
        <v>45220</v>
      </c>
      <c r="D86" s="49"/>
      <c r="G86" s="89">
        <f t="shared" si="93"/>
        <v>0</v>
      </c>
      <c r="H86" s="35">
        <f t="shared" si="94"/>
        <v>0</v>
      </c>
      <c r="I86" s="39">
        <v>10</v>
      </c>
      <c r="K86" s="103">
        <v>100</v>
      </c>
      <c r="L86" s="89">
        <f t="shared" si="95"/>
        <v>7.5449999999999999</v>
      </c>
      <c r="M86" s="35">
        <f t="shared" si="113"/>
        <v>754.5</v>
      </c>
      <c r="N86" s="35">
        <f t="shared" si="114"/>
        <v>754.5</v>
      </c>
      <c r="O86" s="97"/>
      <c r="P86" s="150"/>
      <c r="W86" s="11">
        <v>0</v>
      </c>
      <c r="X86" s="1">
        <v>8.5</v>
      </c>
      <c r="Y86" s="35">
        <f t="shared" si="96"/>
        <v>850</v>
      </c>
      <c r="Z86" s="35">
        <f t="shared" si="115"/>
        <v>0</v>
      </c>
      <c r="AA86" s="15">
        <f t="shared" si="128"/>
        <v>1.1764093929995572</v>
      </c>
      <c r="AB86" s="43">
        <f t="shared" si="81"/>
        <v>604.15886475547723</v>
      </c>
      <c r="AC86" s="43">
        <f t="shared" si="82"/>
        <v>513.56174844457792</v>
      </c>
      <c r="AD86" s="33"/>
      <c r="AH86" s="31"/>
      <c r="AO86" s="1">
        <v>10</v>
      </c>
      <c r="AP86" s="35">
        <f t="shared" si="97"/>
        <v>1000</v>
      </c>
      <c r="AQ86" s="35">
        <f t="shared" si="116"/>
        <v>0</v>
      </c>
      <c r="AR86" s="15">
        <f t="shared" si="129"/>
        <v>1.6104808055242545</v>
      </c>
      <c r="AS86" s="28">
        <f t="shared" si="130"/>
        <v>326.95604609665565</v>
      </c>
      <c r="AT86" s="28">
        <f t="shared" si="131"/>
        <v>203.01766092159212</v>
      </c>
      <c r="AU86" s="33"/>
      <c r="AY86" s="31"/>
      <c r="BF86" s="1">
        <v>2</v>
      </c>
      <c r="BG86" s="35">
        <f t="shared" si="98"/>
        <v>200</v>
      </c>
      <c r="BH86" s="35">
        <f t="shared" si="117"/>
        <v>0</v>
      </c>
      <c r="BI86" s="15">
        <f t="shared" si="132"/>
        <v>0.95527052856215022</v>
      </c>
      <c r="BJ86" s="28">
        <f t="shared" si="133"/>
        <v>428.05377222262433</v>
      </c>
      <c r="BK86" s="28">
        <f t="shared" si="134"/>
        <v>448.09691016734325</v>
      </c>
      <c r="BL86" s="33"/>
      <c r="BP86" s="31"/>
      <c r="BW86" s="1">
        <v>8</v>
      </c>
      <c r="BX86" s="35">
        <f t="shared" si="99"/>
        <v>800</v>
      </c>
      <c r="BY86" s="35">
        <f t="shared" si="118"/>
        <v>0</v>
      </c>
      <c r="BZ86" s="15">
        <f t="shared" si="135"/>
        <v>1.174405512495541</v>
      </c>
      <c r="CA86" s="28">
        <f t="shared" si="136"/>
        <v>451.36300150121281</v>
      </c>
      <c r="CB86" s="28">
        <f t="shared" si="137"/>
        <v>384.3331768275624</v>
      </c>
      <c r="CC86" s="33"/>
      <c r="CG86" s="31"/>
      <c r="CN86" s="1">
        <v>7.5</v>
      </c>
      <c r="CO86" s="35">
        <f t="shared" si="100"/>
        <v>750</v>
      </c>
      <c r="CP86" s="35">
        <f t="shared" si="119"/>
        <v>0</v>
      </c>
      <c r="CQ86" s="15">
        <f t="shared" si="138"/>
        <v>0.93426628988605076</v>
      </c>
      <c r="CR86" s="28">
        <f t="shared" si="139"/>
        <v>335.50623222869757</v>
      </c>
      <c r="CS86" s="28">
        <f t="shared" si="140"/>
        <v>359.11199607728338</v>
      </c>
      <c r="CT86" s="33"/>
      <c r="CX86" s="31"/>
      <c r="DE86" s="1">
        <v>7.75</v>
      </c>
      <c r="DF86" s="35">
        <f t="shared" si="101"/>
        <v>775</v>
      </c>
      <c r="DG86" s="35">
        <f t="shared" si="120"/>
        <v>0</v>
      </c>
      <c r="DH86" s="15">
        <f t="shared" si="141"/>
        <v>1.1625863992722059</v>
      </c>
      <c r="DI86" s="28">
        <f t="shared" si="142"/>
        <v>488.96535914776405</v>
      </c>
      <c r="DJ86" s="28">
        <f t="shared" si="143"/>
        <v>420.58410407507148</v>
      </c>
      <c r="DK86" s="33"/>
      <c r="DO86" s="31"/>
      <c r="DV86" s="1">
        <v>7.7</v>
      </c>
      <c r="DW86" s="35">
        <f t="shared" si="102"/>
        <v>770</v>
      </c>
      <c r="DX86" s="35">
        <f t="shared" si="121"/>
        <v>0</v>
      </c>
      <c r="DY86" s="15">
        <f t="shared" si="144"/>
        <v>1.3484762128443042</v>
      </c>
      <c r="DZ86" s="28">
        <f t="shared" si="145"/>
        <v>494.82572934625352</v>
      </c>
      <c r="EA86" s="28">
        <f t="shared" si="146"/>
        <v>366.95176721177091</v>
      </c>
      <c r="EB86" s="33"/>
      <c r="EF86" s="31"/>
      <c r="EM86" s="1">
        <v>9</v>
      </c>
      <c r="EN86" s="35">
        <f t="shared" si="103"/>
        <v>900</v>
      </c>
      <c r="EO86" s="35">
        <f t="shared" si="122"/>
        <v>0</v>
      </c>
      <c r="EP86" s="15">
        <f t="shared" si="147"/>
        <v>1.2383166410102522</v>
      </c>
      <c r="EQ86" s="28">
        <f t="shared" si="148"/>
        <v>674.49627175925355</v>
      </c>
      <c r="ER86" s="28">
        <f t="shared" si="149"/>
        <v>544.68804619227376</v>
      </c>
      <c r="ES86" s="33"/>
      <c r="EW86" s="31"/>
      <c r="FD86" s="1">
        <v>8</v>
      </c>
      <c r="FE86" s="35">
        <f t="shared" si="104"/>
        <v>800</v>
      </c>
      <c r="FF86" s="35">
        <f t="shared" si="123"/>
        <v>0</v>
      </c>
      <c r="FG86" s="15">
        <f t="shared" si="150"/>
        <v>1.171242813709183</v>
      </c>
      <c r="FH86" s="28">
        <f t="shared" si="151"/>
        <v>605.68910288532174</v>
      </c>
      <c r="FI86" s="28">
        <f t="shared" si="152"/>
        <v>517.13367697615001</v>
      </c>
      <c r="FJ86" s="33"/>
      <c r="FN86" s="31"/>
      <c r="FU86" s="1">
        <v>7</v>
      </c>
      <c r="FV86" s="35">
        <f t="shared" si="105"/>
        <v>700</v>
      </c>
      <c r="FW86" s="35">
        <f t="shared" si="124"/>
        <v>0</v>
      </c>
      <c r="FX86" s="15">
        <f t="shared" si="153"/>
        <v>1.1524361885491368</v>
      </c>
      <c r="FY86" s="28">
        <f t="shared" si="154"/>
        <v>558.42798006386215</v>
      </c>
      <c r="FZ86" s="28">
        <f t="shared" si="155"/>
        <v>484.56303751351027</v>
      </c>
      <c r="GA86" s="33"/>
      <c r="GE86" s="31"/>
      <c r="GK86" s="86"/>
      <c r="GL86" s="87"/>
      <c r="GM86" s="35">
        <f t="shared" si="106"/>
        <v>0</v>
      </c>
      <c r="GN86" s="35">
        <f t="shared" si="125"/>
        <v>0</v>
      </c>
      <c r="GO86" s="15">
        <f t="shared" si="156"/>
        <v>0.7536543828683866</v>
      </c>
      <c r="GP86" s="28">
        <f t="shared" si="157"/>
        <v>359.75705027156357</v>
      </c>
      <c r="GQ86" s="28">
        <f t="shared" si="158"/>
        <v>477.35017330137288</v>
      </c>
      <c r="GR86" s="33"/>
      <c r="GV86" s="31"/>
      <c r="HD86" s="35">
        <f t="shared" si="107"/>
        <v>0</v>
      </c>
      <c r="HE86" s="35">
        <f t="shared" si="126"/>
        <v>0</v>
      </c>
      <c r="HF86" s="15">
        <f t="shared" si="159"/>
        <v>1.126394312878098</v>
      </c>
      <c r="HG86" s="28">
        <f t="shared" si="160"/>
        <v>290.38558894561334</v>
      </c>
      <c r="HH86" s="28">
        <f t="shared" si="161"/>
        <v>257.80100771606061</v>
      </c>
      <c r="HI86" s="33"/>
      <c r="HM86" s="31"/>
      <c r="HU86" s="35">
        <f t="shared" si="108"/>
        <v>0</v>
      </c>
      <c r="HV86" s="35">
        <f t="shared" si="127"/>
        <v>0</v>
      </c>
      <c r="HW86" s="15">
        <f t="shared" si="162"/>
        <v>0.19156323406197193</v>
      </c>
      <c r="HX86" s="28">
        <f t="shared" si="163"/>
        <v>8.5780627350360152</v>
      </c>
      <c r="HY86" s="28">
        <f t="shared" si="164"/>
        <v>44.779274984786262</v>
      </c>
      <c r="HZ86" s="33"/>
      <c r="ID86" s="31"/>
      <c r="II86" s="12"/>
      <c r="IL86" s="35">
        <f t="shared" si="109"/>
        <v>0</v>
      </c>
      <c r="IM86" s="35">
        <f t="shared" si="110"/>
        <v>4530.6411066801502</v>
      </c>
      <c r="IN86" s="15">
        <f t="shared" si="165"/>
        <v>1.859048219587206</v>
      </c>
      <c r="IO86" s="28">
        <f t="shared" si="166"/>
        <v>199.57098470001961</v>
      </c>
      <c r="IP86" s="28">
        <f t="shared" si="167"/>
        <v>107.35116098512685</v>
      </c>
      <c r="IQ86" s="33"/>
      <c r="IU86" s="31"/>
      <c r="JC86" s="35">
        <f t="shared" si="111"/>
        <v>0</v>
      </c>
      <c r="JD86" s="35">
        <f t="shared" si="112"/>
        <v>3890.3877081708656</v>
      </c>
      <c r="JE86" s="15" t="e">
        <f t="shared" si="168"/>
        <v>#DIV/0!</v>
      </c>
      <c r="JF86" s="28">
        <f t="shared" si="169"/>
        <v>0</v>
      </c>
      <c r="JG86" s="28">
        <f t="shared" si="170"/>
        <v>0</v>
      </c>
      <c r="JH86" s="33"/>
      <c r="JL86" s="31"/>
      <c r="JR86" s="99"/>
      <c r="JS86" s="99"/>
      <c r="JT86" s="99"/>
      <c r="JU86" s="99"/>
      <c r="JV86" s="99"/>
      <c r="JW86" s="99"/>
      <c r="JX86" s="99"/>
      <c r="JY86" s="99"/>
      <c r="JZ86" s="99"/>
      <c r="KA86" s="99"/>
      <c r="KB86" s="99"/>
      <c r="KC86" s="99"/>
      <c r="KD86" s="99"/>
      <c r="KE86" s="99"/>
      <c r="KF86" s="99"/>
      <c r="KG86" s="99"/>
      <c r="KH86" s="99"/>
      <c r="KI86" s="99"/>
      <c r="KJ86" s="99"/>
      <c r="KK86" s="99"/>
      <c r="KL86" s="99"/>
      <c r="KM86" s="99"/>
      <c r="KN86" s="99"/>
      <c r="KO86" s="99"/>
      <c r="KP86" s="99"/>
      <c r="KQ86" s="99"/>
      <c r="KR86" s="99"/>
      <c r="KS86" s="99"/>
      <c r="KT86" s="99"/>
      <c r="KU86" s="99"/>
      <c r="KV86" s="99"/>
      <c r="KW86" s="99"/>
      <c r="KX86" s="99"/>
      <c r="KY86" s="99"/>
      <c r="KZ86" s="99"/>
      <c r="LA86" s="99"/>
      <c r="LB86" s="99"/>
      <c r="LC86" s="99"/>
      <c r="LD86" s="99"/>
      <c r="LE86" s="99"/>
      <c r="LF86" s="99"/>
      <c r="LG86" s="99"/>
      <c r="LH86" s="99"/>
      <c r="LI86" s="99"/>
      <c r="LJ86" s="99"/>
      <c r="LK86" s="99"/>
      <c r="LL86" s="99"/>
      <c r="LM86" s="99"/>
      <c r="LN86" s="99"/>
      <c r="LO86" s="99"/>
      <c r="LP86" s="99"/>
      <c r="LQ86" s="99"/>
      <c r="LR86" s="99"/>
      <c r="LS86" s="99"/>
      <c r="LT86" s="99"/>
      <c r="LU86" s="99"/>
      <c r="LV86" s="99"/>
      <c r="LW86" s="99"/>
      <c r="LX86" s="99"/>
      <c r="LY86" s="99"/>
      <c r="LZ86" s="99"/>
      <c r="MA86" s="99"/>
      <c r="MB86" s="99"/>
      <c r="MC86" s="99"/>
      <c r="MD86" s="99"/>
      <c r="ME86" s="99"/>
      <c r="MF86" s="99"/>
    </row>
    <row r="87" spans="1:344" ht="17.25" customHeight="1" x14ac:dyDescent="0.25">
      <c r="A87" s="157"/>
      <c r="B87" s="83" t="s">
        <v>7</v>
      </c>
      <c r="C87" s="84">
        <v>45221</v>
      </c>
      <c r="D87" s="51"/>
      <c r="E87" s="48"/>
      <c r="F87" s="104"/>
      <c r="G87" s="37">
        <f t="shared" si="93"/>
        <v>0</v>
      </c>
      <c r="H87" s="26">
        <f t="shared" si="94"/>
        <v>0</v>
      </c>
      <c r="I87" s="48"/>
      <c r="J87" s="48"/>
      <c r="K87" s="104"/>
      <c r="L87" s="37">
        <f t="shared" si="95"/>
        <v>0</v>
      </c>
      <c r="M87" s="26">
        <f t="shared" si="113"/>
        <v>0</v>
      </c>
      <c r="N87" s="26">
        <f t="shared" si="114"/>
        <v>0</v>
      </c>
      <c r="O87" s="98"/>
      <c r="P87" s="151"/>
      <c r="Q87" s="125"/>
      <c r="R87" s="115"/>
      <c r="S87" s="130"/>
      <c r="T87" s="110"/>
      <c r="U87" s="120"/>
      <c r="V87" s="23"/>
      <c r="W87" s="13">
        <v>0</v>
      </c>
      <c r="X87" s="2">
        <v>0</v>
      </c>
      <c r="Y87" s="26">
        <f t="shared" si="96"/>
        <v>0</v>
      </c>
      <c r="Z87" s="26">
        <f t="shared" si="115"/>
        <v>0</v>
      </c>
      <c r="AA87" s="16">
        <f t="shared" si="128"/>
        <v>0.94766312213853221</v>
      </c>
      <c r="AB87" s="44">
        <f t="shared" si="81"/>
        <v>453.11914856660792</v>
      </c>
      <c r="AC87" s="44">
        <f t="shared" si="82"/>
        <v>478.14369682771047</v>
      </c>
      <c r="AD87" s="34"/>
      <c r="AE87" s="4"/>
      <c r="AF87" s="5"/>
      <c r="AG87" s="6"/>
      <c r="AH87" s="32"/>
      <c r="AI87" s="3"/>
      <c r="AJ87" s="4"/>
      <c r="AK87" s="5"/>
      <c r="AL87" s="6"/>
      <c r="AM87" s="14"/>
      <c r="AN87" s="95"/>
      <c r="AO87" s="96"/>
      <c r="AP87" s="26">
        <f t="shared" si="97"/>
        <v>0</v>
      </c>
      <c r="AQ87" s="26">
        <f t="shared" si="116"/>
        <v>0</v>
      </c>
      <c r="AR87" s="16">
        <f t="shared" si="129"/>
        <v>1.2973317600056495</v>
      </c>
      <c r="AS87" s="29">
        <f t="shared" si="130"/>
        <v>245.21703457249174</v>
      </c>
      <c r="AT87" s="29">
        <f t="shared" si="131"/>
        <v>189.01644292699956</v>
      </c>
      <c r="AU87" s="34"/>
      <c r="AV87" s="4"/>
      <c r="AW87" s="5"/>
      <c r="AX87" s="6"/>
      <c r="AY87" s="32"/>
      <c r="AZ87" s="3"/>
      <c r="BA87" s="4"/>
      <c r="BB87" s="5"/>
      <c r="BC87" s="6"/>
      <c r="BD87" s="14"/>
      <c r="BE87" s="13"/>
      <c r="BF87" s="2"/>
      <c r="BG87" s="26">
        <f t="shared" si="98"/>
        <v>0</v>
      </c>
      <c r="BH87" s="26">
        <f t="shared" si="117"/>
        <v>0</v>
      </c>
      <c r="BI87" s="16">
        <f t="shared" si="132"/>
        <v>0.76952348134173221</v>
      </c>
      <c r="BJ87" s="29">
        <f t="shared" si="133"/>
        <v>321.04032916696826</v>
      </c>
      <c r="BK87" s="29">
        <f t="shared" si="134"/>
        <v>417.19367498338852</v>
      </c>
      <c r="BL87" s="34"/>
      <c r="BM87" s="4"/>
      <c r="BN87" s="5"/>
      <c r="BO87" s="6"/>
      <c r="BP87" s="32"/>
      <c r="BQ87" s="3"/>
      <c r="BR87" s="4"/>
      <c r="BS87" s="5"/>
      <c r="BT87" s="6"/>
      <c r="BU87" s="14"/>
      <c r="BV87" s="13"/>
      <c r="BW87" s="2"/>
      <c r="BX87" s="26">
        <f t="shared" si="99"/>
        <v>0</v>
      </c>
      <c r="BY87" s="26">
        <f t="shared" si="118"/>
        <v>0</v>
      </c>
      <c r="BZ87" s="16">
        <f t="shared" si="135"/>
        <v>0.9460488850658525</v>
      </c>
      <c r="CA87" s="29">
        <f t="shared" si="136"/>
        <v>338.52225112590963</v>
      </c>
      <c r="CB87" s="29">
        <f t="shared" si="137"/>
        <v>357.82744049462707</v>
      </c>
      <c r="CC87" s="34"/>
      <c r="CD87" s="4"/>
      <c r="CE87" s="5"/>
      <c r="CF87" s="6"/>
      <c r="CG87" s="32"/>
      <c r="CH87" s="3"/>
      <c r="CI87" s="4"/>
      <c r="CJ87" s="5"/>
      <c r="CK87" s="6"/>
      <c r="CL87" s="14"/>
      <c r="CM87" s="13"/>
      <c r="CN87" s="2"/>
      <c r="CO87" s="26">
        <f t="shared" si="100"/>
        <v>0</v>
      </c>
      <c r="CP87" s="26">
        <f t="shared" si="119"/>
        <v>0</v>
      </c>
      <c r="CQ87" s="16">
        <f t="shared" si="138"/>
        <v>0.75260340018598537</v>
      </c>
      <c r="CR87" s="29">
        <f t="shared" si="139"/>
        <v>251.62967417152316</v>
      </c>
      <c r="CS87" s="29">
        <f t="shared" si="140"/>
        <v>334.34565152022935</v>
      </c>
      <c r="CT87" s="34"/>
      <c r="CU87" s="4"/>
      <c r="CV87" s="5"/>
      <c r="CW87" s="6"/>
      <c r="CX87" s="32"/>
      <c r="CY87" s="3"/>
      <c r="CZ87" s="4"/>
      <c r="DA87" s="5"/>
      <c r="DB87" s="6"/>
      <c r="DC87" s="14"/>
      <c r="DD87" s="13"/>
      <c r="DE87" s="2"/>
      <c r="DF87" s="26">
        <f t="shared" si="101"/>
        <v>0</v>
      </c>
      <c r="DG87" s="26">
        <f t="shared" si="120"/>
        <v>0</v>
      </c>
      <c r="DH87" s="16">
        <f t="shared" si="141"/>
        <v>0.9365279327470547</v>
      </c>
      <c r="DI87" s="29">
        <f t="shared" si="142"/>
        <v>366.72401936082304</v>
      </c>
      <c r="DJ87" s="29">
        <f t="shared" si="143"/>
        <v>391.57830379403208</v>
      </c>
      <c r="DK87" s="34"/>
      <c r="DL87" s="4"/>
      <c r="DM87" s="5"/>
      <c r="DN87" s="6"/>
      <c r="DO87" s="32"/>
      <c r="DP87" s="3"/>
      <c r="DQ87" s="4"/>
      <c r="DR87" s="5"/>
      <c r="DS87" s="6"/>
      <c r="DT87" s="14"/>
      <c r="DU87" s="13"/>
      <c r="DV87" s="2"/>
      <c r="DW87" s="26">
        <f t="shared" si="102"/>
        <v>0</v>
      </c>
      <c r="DX87" s="26">
        <f t="shared" si="121"/>
        <v>0</v>
      </c>
      <c r="DY87" s="16">
        <f t="shared" si="144"/>
        <v>1.0862725047912452</v>
      </c>
      <c r="DZ87" s="29">
        <f t="shared" si="145"/>
        <v>371.11929700969017</v>
      </c>
      <c r="EA87" s="29">
        <f t="shared" si="146"/>
        <v>341.6447487833729</v>
      </c>
      <c r="EB87" s="34"/>
      <c r="EC87" s="4"/>
      <c r="ED87" s="5"/>
      <c r="EE87" s="6"/>
      <c r="EF87" s="32"/>
      <c r="EG87" s="3"/>
      <c r="EH87" s="4"/>
      <c r="EI87" s="5"/>
      <c r="EJ87" s="6"/>
      <c r="EK87" s="14"/>
      <c r="EL87" s="13"/>
      <c r="EM87" s="2"/>
      <c r="EN87" s="26">
        <f t="shared" si="103"/>
        <v>0</v>
      </c>
      <c r="EO87" s="26">
        <f t="shared" si="122"/>
        <v>0</v>
      </c>
      <c r="EP87" s="16">
        <f t="shared" si="147"/>
        <v>0.99753284970270328</v>
      </c>
      <c r="EQ87" s="29">
        <f t="shared" si="148"/>
        <v>505.87220381944019</v>
      </c>
      <c r="ER87" s="29">
        <f t="shared" si="149"/>
        <v>507.12335335142728</v>
      </c>
      <c r="ES87" s="34"/>
      <c r="ET87" s="4"/>
      <c r="EU87" s="5"/>
      <c r="EV87" s="6"/>
      <c r="EW87" s="32"/>
      <c r="EX87" s="3"/>
      <c r="EY87" s="4"/>
      <c r="EZ87" s="5"/>
      <c r="FA87" s="6"/>
      <c r="FB87" s="14"/>
      <c r="FC87" s="13"/>
      <c r="FD87" s="2"/>
      <c r="FE87" s="26">
        <f t="shared" si="104"/>
        <v>0</v>
      </c>
      <c r="FF87" s="26">
        <f t="shared" si="123"/>
        <v>0</v>
      </c>
      <c r="FG87" s="16">
        <f t="shared" si="150"/>
        <v>0.9435011554879531</v>
      </c>
      <c r="FH87" s="29">
        <f t="shared" si="151"/>
        <v>454.26682716399131</v>
      </c>
      <c r="FI87" s="29">
        <f t="shared" si="152"/>
        <v>481.46928546055346</v>
      </c>
      <c r="FJ87" s="34"/>
      <c r="FK87" s="4"/>
      <c r="FL87" s="5"/>
      <c r="FM87" s="6"/>
      <c r="FN87" s="32"/>
      <c r="FO87" s="3"/>
      <c r="FP87" s="4"/>
      <c r="FQ87" s="5"/>
      <c r="FR87" s="6"/>
      <c r="FS87" s="14"/>
      <c r="FT87" s="13"/>
      <c r="FU87" s="2"/>
      <c r="FV87" s="26">
        <f t="shared" si="105"/>
        <v>0</v>
      </c>
      <c r="FW87" s="26">
        <f t="shared" si="124"/>
        <v>0</v>
      </c>
      <c r="FX87" s="16">
        <f t="shared" si="153"/>
        <v>0.92835137410902679</v>
      </c>
      <c r="FY87" s="29">
        <f t="shared" si="154"/>
        <v>418.82098504789661</v>
      </c>
      <c r="FZ87" s="29">
        <f t="shared" si="155"/>
        <v>451.14489699533715</v>
      </c>
      <c r="GA87" s="34"/>
      <c r="GB87" s="4"/>
      <c r="GC87" s="5"/>
      <c r="GD87" s="6"/>
      <c r="GE87" s="32"/>
      <c r="GF87" s="3"/>
      <c r="GG87" s="4"/>
      <c r="GH87" s="5"/>
      <c r="GI87" s="6"/>
      <c r="GJ87" s="14"/>
      <c r="GK87" s="95"/>
      <c r="GL87" s="96"/>
      <c r="GM87" s="26">
        <f t="shared" si="106"/>
        <v>0</v>
      </c>
      <c r="GN87" s="26">
        <f t="shared" si="125"/>
        <v>0</v>
      </c>
      <c r="GO87" s="16">
        <f t="shared" si="156"/>
        <v>0.60711047508842264</v>
      </c>
      <c r="GP87" s="29">
        <f t="shared" si="157"/>
        <v>269.81778770367271</v>
      </c>
      <c r="GQ87" s="29">
        <f t="shared" si="158"/>
        <v>444.42947169438162</v>
      </c>
      <c r="GR87" s="34"/>
      <c r="GS87" s="4"/>
      <c r="GT87" s="5"/>
      <c r="GU87" s="6"/>
      <c r="GV87" s="32"/>
      <c r="GW87" s="3"/>
      <c r="GX87" s="4"/>
      <c r="GY87" s="5"/>
      <c r="GZ87" s="6"/>
      <c r="HA87" s="14"/>
      <c r="HB87" s="13"/>
      <c r="HC87" s="2"/>
      <c r="HD87" s="26">
        <f t="shared" si="107"/>
        <v>0</v>
      </c>
      <c r="HE87" s="26">
        <f t="shared" si="126"/>
        <v>0</v>
      </c>
      <c r="HF87" s="16">
        <f t="shared" si="159"/>
        <v>0.90737319648513459</v>
      </c>
      <c r="HG87" s="29">
        <f t="shared" si="160"/>
        <v>217.78919170921</v>
      </c>
      <c r="HH87" s="29">
        <f t="shared" si="161"/>
        <v>240.02162787357366</v>
      </c>
      <c r="HI87" s="34"/>
      <c r="HJ87" s="4"/>
      <c r="HK87" s="5"/>
      <c r="HL87" s="6"/>
      <c r="HM87" s="32"/>
      <c r="HN87" s="3"/>
      <c r="HO87" s="4"/>
      <c r="HP87" s="5"/>
      <c r="HQ87" s="6"/>
      <c r="HR87" s="14"/>
      <c r="HS87" s="13"/>
      <c r="HT87" s="2"/>
      <c r="HU87" s="26">
        <f t="shared" si="108"/>
        <v>0</v>
      </c>
      <c r="HV87" s="26">
        <f t="shared" si="127"/>
        <v>0</v>
      </c>
      <c r="HW87" s="16">
        <f t="shared" si="162"/>
        <v>0.15431482743881073</v>
      </c>
      <c r="HX87" s="29">
        <f t="shared" si="163"/>
        <v>6.4335470512770119</v>
      </c>
      <c r="HY87" s="29">
        <f t="shared" si="164"/>
        <v>41.691049123766518</v>
      </c>
      <c r="HZ87" s="34"/>
      <c r="IA87" s="4"/>
      <c r="IB87" s="5"/>
      <c r="IC87" s="6"/>
      <c r="ID87" s="32"/>
      <c r="IE87" s="3"/>
      <c r="IF87" s="4"/>
      <c r="IG87" s="5"/>
      <c r="IH87" s="6"/>
      <c r="II87" s="14"/>
      <c r="IJ87" s="13"/>
      <c r="IK87" s="2"/>
      <c r="IL87" s="26">
        <f t="shared" si="109"/>
        <v>0</v>
      </c>
      <c r="IM87" s="26">
        <f t="shared" si="110"/>
        <v>3146.0643536319712</v>
      </c>
      <c r="IN87" s="16">
        <f t="shared" si="165"/>
        <v>1.4975666213341381</v>
      </c>
      <c r="IO87" s="29">
        <f t="shared" si="166"/>
        <v>149.67823852501471</v>
      </c>
      <c r="IP87" s="29">
        <f t="shared" si="167"/>
        <v>99.947632641325001</v>
      </c>
      <c r="IQ87" s="34"/>
      <c r="IR87" s="4"/>
      <c r="IS87" s="5"/>
      <c r="IT87" s="6"/>
      <c r="IU87" s="32"/>
      <c r="IV87" s="3"/>
      <c r="IW87" s="4"/>
      <c r="IX87" s="5"/>
      <c r="IY87" s="6"/>
      <c r="IZ87" s="14"/>
      <c r="JA87" s="13"/>
      <c r="JB87" s="2"/>
      <c r="JC87" s="26">
        <f t="shared" si="111"/>
        <v>0</v>
      </c>
      <c r="JD87" s="26">
        <f t="shared" si="112"/>
        <v>2680.5047644877973</v>
      </c>
      <c r="JE87" s="16" t="e">
        <f t="shared" si="168"/>
        <v>#DIV/0!</v>
      </c>
      <c r="JF87" s="29">
        <f t="shared" si="169"/>
        <v>0</v>
      </c>
      <c r="JG87" s="29">
        <f t="shared" si="170"/>
        <v>0</v>
      </c>
      <c r="JH87" s="34"/>
      <c r="JI87" s="4"/>
      <c r="JJ87" s="5"/>
      <c r="JK87" s="6"/>
      <c r="JL87" s="32"/>
      <c r="JM87" s="3"/>
      <c r="JN87" s="4"/>
      <c r="JO87" s="5"/>
      <c r="JP87" s="6"/>
      <c r="JQ87" s="14"/>
      <c r="JR87" s="99"/>
      <c r="JS87" s="99"/>
      <c r="JT87" s="99"/>
      <c r="JU87" s="99"/>
      <c r="JV87" s="99"/>
      <c r="JW87" s="99"/>
      <c r="JX87" s="99"/>
      <c r="JY87" s="99"/>
      <c r="JZ87" s="99"/>
      <c r="KA87" s="99"/>
      <c r="KB87" s="99"/>
      <c r="KC87" s="99"/>
      <c r="KD87" s="99"/>
      <c r="KE87" s="99"/>
      <c r="KF87" s="99"/>
      <c r="KG87" s="99"/>
      <c r="KH87" s="99"/>
      <c r="KI87" s="99"/>
      <c r="KJ87" s="99"/>
      <c r="KK87" s="99"/>
      <c r="KL87" s="99"/>
      <c r="KM87" s="99"/>
      <c r="KN87" s="99"/>
      <c r="KO87" s="99"/>
      <c r="KP87" s="99"/>
      <c r="KQ87" s="99"/>
      <c r="KR87" s="99"/>
      <c r="KS87" s="99"/>
      <c r="KT87" s="99"/>
      <c r="KU87" s="99"/>
      <c r="KV87" s="99"/>
      <c r="KW87" s="99"/>
      <c r="KX87" s="99"/>
      <c r="KY87" s="99"/>
      <c r="KZ87" s="99"/>
      <c r="LA87" s="99"/>
      <c r="LB87" s="99"/>
      <c r="LC87" s="99"/>
      <c r="LD87" s="99"/>
      <c r="LE87" s="99"/>
      <c r="LF87" s="99"/>
      <c r="LG87" s="99"/>
      <c r="LH87" s="99"/>
      <c r="LI87" s="99"/>
      <c r="LJ87" s="99"/>
      <c r="LK87" s="99"/>
      <c r="LL87" s="99"/>
      <c r="LM87" s="99"/>
      <c r="LN87" s="99"/>
      <c r="LO87" s="99"/>
      <c r="LP87" s="99"/>
      <c r="LQ87" s="99"/>
      <c r="LR87" s="99"/>
      <c r="LS87" s="99"/>
      <c r="LT87" s="99"/>
      <c r="LU87" s="99"/>
      <c r="LV87" s="99"/>
      <c r="LW87" s="99"/>
      <c r="LX87" s="99"/>
      <c r="LY87" s="99"/>
      <c r="LZ87" s="99"/>
      <c r="MA87" s="99"/>
      <c r="MB87" s="99"/>
      <c r="MC87" s="99"/>
      <c r="MD87" s="99"/>
      <c r="ME87" s="99"/>
      <c r="MF87" s="99"/>
    </row>
    <row r="88" spans="1:344" ht="17.25" customHeight="1" x14ac:dyDescent="0.25">
      <c r="A88" s="155" t="s">
        <v>18</v>
      </c>
      <c r="B88" s="79" t="s">
        <v>1</v>
      </c>
      <c r="C88" s="80">
        <v>45222</v>
      </c>
      <c r="D88" s="50">
        <v>12</v>
      </c>
      <c r="F88" s="103">
        <v>76</v>
      </c>
      <c r="G88" s="36">
        <f t="shared" si="93"/>
        <v>7.2444444444444445</v>
      </c>
      <c r="H88" s="27">
        <f t="shared" si="94"/>
        <v>550.57777777777778</v>
      </c>
      <c r="I88" s="47"/>
      <c r="K88" s="105"/>
      <c r="L88" s="89">
        <f t="shared" si="95"/>
        <v>0</v>
      </c>
      <c r="M88" s="27">
        <f t="shared" si="113"/>
        <v>0</v>
      </c>
      <c r="N88" s="35">
        <f t="shared" si="114"/>
        <v>550.57777777777778</v>
      </c>
      <c r="O88" s="97"/>
      <c r="P88" s="149">
        <f t="shared" ref="P88" si="172">SUM(N88:N94)</f>
        <v>3465.9727272727273</v>
      </c>
      <c r="W88" s="11">
        <v>9</v>
      </c>
      <c r="X88" s="1">
        <v>0</v>
      </c>
      <c r="Y88" s="27">
        <f t="shared" si="96"/>
        <v>684</v>
      </c>
      <c r="Z88" s="27">
        <f t="shared" si="115"/>
        <v>0</v>
      </c>
      <c r="AA88" s="15">
        <f t="shared" si="128"/>
        <v>1.037572922167088</v>
      </c>
      <c r="AB88" s="43">
        <f t="shared" si="81"/>
        <v>510.83936142495594</v>
      </c>
      <c r="AC88" s="43">
        <f t="shared" si="82"/>
        <v>492.34068325338558</v>
      </c>
      <c r="AD88" s="33"/>
      <c r="AH88" s="31"/>
      <c r="AN88" s="86"/>
      <c r="AO88" s="87"/>
      <c r="AP88" s="27">
        <f t="shared" si="97"/>
        <v>0</v>
      </c>
      <c r="AQ88" s="27">
        <f t="shared" si="116"/>
        <v>0</v>
      </c>
      <c r="AR88" s="15">
        <f t="shared" si="129"/>
        <v>1.0450728066712176</v>
      </c>
      <c r="AS88" s="28">
        <f t="shared" si="130"/>
        <v>183.91277592936882</v>
      </c>
      <c r="AT88" s="28">
        <f t="shared" si="131"/>
        <v>175.98082617341339</v>
      </c>
      <c r="AU88" s="33"/>
      <c r="AY88" s="31"/>
      <c r="BE88" s="11">
        <v>8</v>
      </c>
      <c r="BG88" s="27">
        <f t="shared" si="98"/>
        <v>608</v>
      </c>
      <c r="BH88" s="27">
        <f t="shared" si="117"/>
        <v>0</v>
      </c>
      <c r="BI88" s="15">
        <f t="shared" si="132"/>
        <v>0.91269374579864038</v>
      </c>
      <c r="BJ88" s="28">
        <f t="shared" si="133"/>
        <v>392.78024687522623</v>
      </c>
      <c r="BK88" s="28">
        <f t="shared" si="134"/>
        <v>430.35273188108584</v>
      </c>
      <c r="BL88" s="33"/>
      <c r="BP88" s="31"/>
      <c r="BV88" s="11">
        <v>6</v>
      </c>
      <c r="BX88" s="27">
        <f t="shared" si="99"/>
        <v>456</v>
      </c>
      <c r="BY88" s="27">
        <f t="shared" si="118"/>
        <v>0</v>
      </c>
      <c r="BZ88" s="15">
        <f t="shared" si="135"/>
        <v>1.0090338587961005</v>
      </c>
      <c r="CA88" s="28">
        <f t="shared" si="136"/>
        <v>367.89168834443223</v>
      </c>
      <c r="CB88" s="28">
        <f t="shared" si="137"/>
        <v>364.59796183982519</v>
      </c>
      <c r="CC88" s="33"/>
      <c r="CG88" s="31"/>
      <c r="CM88" s="11">
        <v>9</v>
      </c>
      <c r="CO88" s="27">
        <f t="shared" si="100"/>
        <v>684</v>
      </c>
      <c r="CP88" s="27">
        <f t="shared" si="119"/>
        <v>0</v>
      </c>
      <c r="CQ88" s="15">
        <f t="shared" si="138"/>
        <v>1.0035220443274679</v>
      </c>
      <c r="CR88" s="28">
        <f t="shared" si="139"/>
        <v>359.72225562864236</v>
      </c>
      <c r="CS88" s="28">
        <f t="shared" si="140"/>
        <v>358.45974451883421</v>
      </c>
      <c r="CT88" s="33"/>
      <c r="CX88" s="31"/>
      <c r="DD88" s="11">
        <v>6</v>
      </c>
      <c r="DF88" s="27">
        <f t="shared" si="101"/>
        <v>456</v>
      </c>
      <c r="DG88" s="27">
        <f t="shared" si="120"/>
        <v>0</v>
      </c>
      <c r="DH88" s="15">
        <f t="shared" si="141"/>
        <v>0.98237931394352007</v>
      </c>
      <c r="DI88" s="28">
        <f t="shared" si="142"/>
        <v>389.04301452061725</v>
      </c>
      <c r="DJ88" s="28">
        <f t="shared" si="143"/>
        <v>396.02117939444366</v>
      </c>
      <c r="DK88" s="33"/>
      <c r="DO88" s="31"/>
      <c r="DU88" s="11">
        <v>5.2</v>
      </c>
      <c r="DW88" s="27">
        <f t="shared" si="102"/>
        <v>395.2</v>
      </c>
      <c r="DX88" s="27">
        <f t="shared" si="121"/>
        <v>0</v>
      </c>
      <c r="DY88" s="15">
        <f t="shared" si="144"/>
        <v>1.0920872844304994</v>
      </c>
      <c r="DZ88" s="28">
        <f t="shared" si="145"/>
        <v>377.13947275726764</v>
      </c>
      <c r="EA88" s="28">
        <f t="shared" si="146"/>
        <v>345.33821438451957</v>
      </c>
      <c r="EB88" s="33"/>
      <c r="EF88" s="31"/>
      <c r="EL88" s="11">
        <v>8</v>
      </c>
      <c r="EN88" s="27">
        <f t="shared" si="103"/>
        <v>608</v>
      </c>
      <c r="EO88" s="27">
        <f t="shared" si="122"/>
        <v>0</v>
      </c>
      <c r="EP88" s="15">
        <f t="shared" si="147"/>
        <v>1.0336986016791001</v>
      </c>
      <c r="EQ88" s="28">
        <f t="shared" si="148"/>
        <v>531.40415286458017</v>
      </c>
      <c r="ER88" s="28">
        <f t="shared" si="149"/>
        <v>514.08036346512199</v>
      </c>
      <c r="ES88" s="33"/>
      <c r="EW88" s="31"/>
      <c r="FC88" s="11">
        <v>7</v>
      </c>
      <c r="FE88" s="27">
        <f t="shared" si="104"/>
        <v>532</v>
      </c>
      <c r="FF88" s="27">
        <f t="shared" si="123"/>
        <v>0</v>
      </c>
      <c r="FG88" s="15">
        <f t="shared" si="150"/>
        <v>0.97679359653624476</v>
      </c>
      <c r="FH88" s="28">
        <f t="shared" si="151"/>
        <v>473.70012037299347</v>
      </c>
      <c r="FI88" s="28">
        <f t="shared" si="152"/>
        <v>484.95416232534285</v>
      </c>
      <c r="FJ88" s="33"/>
      <c r="FN88" s="31"/>
      <c r="FT88" s="11">
        <v>7</v>
      </c>
      <c r="FV88" s="27">
        <f t="shared" si="105"/>
        <v>532</v>
      </c>
      <c r="FW88" s="27">
        <f t="shared" si="124"/>
        <v>0</v>
      </c>
      <c r="FX88" s="15">
        <f t="shared" si="153"/>
        <v>0.97896884558544628</v>
      </c>
      <c r="FY88" s="28">
        <f t="shared" si="154"/>
        <v>447.11573878592247</v>
      </c>
      <c r="FZ88" s="28">
        <f t="shared" si="155"/>
        <v>456.72111099565871</v>
      </c>
      <c r="GA88" s="33"/>
      <c r="GE88" s="31"/>
      <c r="GK88" s="86"/>
      <c r="GL88" s="87"/>
      <c r="GM88" s="27">
        <f t="shared" si="106"/>
        <v>0</v>
      </c>
      <c r="GN88" s="27">
        <f t="shared" si="125"/>
        <v>0</v>
      </c>
      <c r="GO88" s="15">
        <f t="shared" si="156"/>
        <v>0.4890612160434516</v>
      </c>
      <c r="GP88" s="28">
        <f t="shared" si="157"/>
        <v>202.36334077775453</v>
      </c>
      <c r="GQ88" s="28">
        <f t="shared" si="158"/>
        <v>413.77916330166562</v>
      </c>
      <c r="GR88" s="33"/>
      <c r="GV88" s="31"/>
      <c r="HB88" s="11">
        <v>6</v>
      </c>
      <c r="HD88" s="27">
        <f t="shared" si="107"/>
        <v>456</v>
      </c>
      <c r="HE88" s="27">
        <f t="shared" si="126"/>
        <v>0</v>
      </c>
      <c r="HF88" s="15">
        <f t="shared" si="159"/>
        <v>1.0879707246153483</v>
      </c>
      <c r="HG88" s="28">
        <f t="shared" si="160"/>
        <v>277.34189378190752</v>
      </c>
      <c r="HH88" s="28">
        <f t="shared" si="161"/>
        <v>254.91668802022375</v>
      </c>
      <c r="HI88" s="33"/>
      <c r="HM88" s="31"/>
      <c r="HU88" s="27">
        <f t="shared" si="108"/>
        <v>0</v>
      </c>
      <c r="HV88" s="27">
        <f t="shared" si="127"/>
        <v>0</v>
      </c>
      <c r="HW88" s="15">
        <f t="shared" si="162"/>
        <v>0.12430916654793088</v>
      </c>
      <c r="HX88" s="28">
        <f t="shared" si="163"/>
        <v>4.8251602884577593</v>
      </c>
      <c r="HY88" s="28">
        <f t="shared" si="164"/>
        <v>38.815804356610208</v>
      </c>
      <c r="HZ88" s="33"/>
      <c r="ID88" s="31"/>
      <c r="II88" s="12"/>
      <c r="IJ88" s="11">
        <v>7</v>
      </c>
      <c r="IL88" s="27">
        <f t="shared" si="109"/>
        <v>532</v>
      </c>
      <c r="IM88" s="27">
        <f t="shared" si="110"/>
        <v>3753.5836641532433</v>
      </c>
      <c r="IN88" s="15">
        <f t="shared" si="165"/>
        <v>1.8903226488925486</v>
      </c>
      <c r="IO88" s="28">
        <f t="shared" si="166"/>
        <v>245.25867889376104</v>
      </c>
      <c r="IP88" s="28">
        <f t="shared" si="167"/>
        <v>129.74434763157845</v>
      </c>
      <c r="IQ88" s="33"/>
      <c r="IU88" s="31"/>
      <c r="JC88" s="27">
        <f t="shared" si="111"/>
        <v>0</v>
      </c>
      <c r="JD88" s="27">
        <f t="shared" si="112"/>
        <v>3918.1983112417229</v>
      </c>
      <c r="JE88" s="15" t="e">
        <f t="shared" si="168"/>
        <v>#DIV/0!</v>
      </c>
      <c r="JF88" s="28">
        <f t="shared" si="169"/>
        <v>0</v>
      </c>
      <c r="JG88" s="28">
        <f t="shared" si="170"/>
        <v>0</v>
      </c>
      <c r="JH88" s="33"/>
      <c r="JL88" s="31"/>
      <c r="JR88" s="99"/>
      <c r="JS88" s="99"/>
      <c r="JT88" s="99"/>
      <c r="JU88" s="99"/>
      <c r="JV88" s="99"/>
      <c r="JW88" s="99"/>
      <c r="JX88" s="99"/>
      <c r="JY88" s="99"/>
      <c r="JZ88" s="99"/>
      <c r="KA88" s="99"/>
      <c r="KB88" s="99"/>
      <c r="KC88" s="99"/>
      <c r="KD88" s="99"/>
      <c r="KE88" s="99"/>
      <c r="KF88" s="99"/>
      <c r="KG88" s="99"/>
      <c r="KH88" s="99"/>
      <c r="KI88" s="99"/>
      <c r="KJ88" s="99"/>
      <c r="KK88" s="99"/>
      <c r="KL88" s="99"/>
      <c r="KM88" s="99"/>
      <c r="KN88" s="99"/>
      <c r="KO88" s="99"/>
      <c r="KP88" s="99"/>
      <c r="KQ88" s="99"/>
      <c r="KR88" s="99"/>
      <c r="KS88" s="99"/>
      <c r="KT88" s="99"/>
      <c r="KU88" s="99"/>
      <c r="KV88" s="99"/>
      <c r="KW88" s="99"/>
      <c r="KX88" s="99"/>
      <c r="KY88" s="99"/>
      <c r="KZ88" s="99"/>
      <c r="LA88" s="99"/>
      <c r="LB88" s="99"/>
      <c r="LC88" s="99"/>
      <c r="LD88" s="99"/>
      <c r="LE88" s="99"/>
      <c r="LF88" s="99"/>
      <c r="LG88" s="99"/>
      <c r="LH88" s="99"/>
      <c r="LI88" s="99"/>
      <c r="LJ88" s="99"/>
      <c r="LK88" s="99"/>
      <c r="LL88" s="99"/>
      <c r="LM88" s="99"/>
      <c r="LN88" s="99"/>
      <c r="LO88" s="99"/>
      <c r="LP88" s="99"/>
      <c r="LQ88" s="99"/>
      <c r="LR88" s="99"/>
      <c r="LS88" s="99"/>
      <c r="LT88" s="99"/>
      <c r="LU88" s="99"/>
      <c r="LV88" s="99"/>
      <c r="LW88" s="99"/>
      <c r="LX88" s="99"/>
      <c r="LY88" s="99"/>
      <c r="LZ88" s="99"/>
      <c r="MA88" s="99"/>
      <c r="MB88" s="99"/>
      <c r="MC88" s="99"/>
      <c r="MD88" s="99"/>
      <c r="ME88" s="99"/>
      <c r="MF88" s="99"/>
    </row>
    <row r="89" spans="1:344" ht="17.25" customHeight="1" x14ac:dyDescent="0.25">
      <c r="A89" s="156"/>
      <c r="B89" s="81" t="s">
        <v>2</v>
      </c>
      <c r="C89" s="82">
        <v>45223</v>
      </c>
      <c r="D89" s="49">
        <v>12</v>
      </c>
      <c r="F89" s="103">
        <v>100</v>
      </c>
      <c r="G89" s="89">
        <f t="shared" si="93"/>
        <v>7.2222222222222223</v>
      </c>
      <c r="H89" s="35">
        <f t="shared" si="94"/>
        <v>722.22222222222229</v>
      </c>
      <c r="I89" s="39"/>
      <c r="L89" s="89">
        <f t="shared" si="95"/>
        <v>0</v>
      </c>
      <c r="M89" s="35">
        <f t="shared" si="113"/>
        <v>0</v>
      </c>
      <c r="N89" s="35">
        <f t="shared" si="114"/>
        <v>722.22222222222229</v>
      </c>
      <c r="O89" s="97"/>
      <c r="P89" s="150"/>
      <c r="W89" s="11">
        <v>8</v>
      </c>
      <c r="X89" s="1">
        <v>0</v>
      </c>
      <c r="Y89" s="35">
        <f t="shared" si="96"/>
        <v>800</v>
      </c>
      <c r="Z89" s="35">
        <f t="shared" si="115"/>
        <v>0</v>
      </c>
      <c r="AA89" s="15">
        <f t="shared" si="128"/>
        <v>1.1354683931874823</v>
      </c>
      <c r="AB89" s="43">
        <f t="shared" si="81"/>
        <v>583.12952106871694</v>
      </c>
      <c r="AC89" s="43">
        <f t="shared" si="82"/>
        <v>513.55856716694518</v>
      </c>
      <c r="AD89" s="33"/>
      <c r="AH89" s="31"/>
      <c r="AN89" s="86"/>
      <c r="AO89" s="87"/>
      <c r="AP89" s="35">
        <f t="shared" si="97"/>
        <v>0</v>
      </c>
      <c r="AQ89" s="35">
        <f t="shared" si="116"/>
        <v>0</v>
      </c>
      <c r="AR89" s="15">
        <f t="shared" si="129"/>
        <v>0.84186420537403661</v>
      </c>
      <c r="AS89" s="28">
        <f t="shared" si="130"/>
        <v>137.93458194702663</v>
      </c>
      <c r="AT89" s="28">
        <f t="shared" si="131"/>
        <v>163.84421747179866</v>
      </c>
      <c r="AU89" s="33"/>
      <c r="AY89" s="31"/>
      <c r="BE89" s="11">
        <v>8.5</v>
      </c>
      <c r="BG89" s="35">
        <f t="shared" si="98"/>
        <v>850</v>
      </c>
      <c r="BH89" s="35">
        <f t="shared" si="117"/>
        <v>0</v>
      </c>
      <c r="BI89" s="15">
        <f t="shared" si="132"/>
        <v>1.1040537660082768</v>
      </c>
      <c r="BJ89" s="28">
        <f t="shared" si="133"/>
        <v>507.0851851564197</v>
      </c>
      <c r="BK89" s="28">
        <f t="shared" si="134"/>
        <v>459.2939227858385</v>
      </c>
      <c r="BL89" s="33"/>
      <c r="BP89" s="31"/>
      <c r="BV89" s="11">
        <v>5</v>
      </c>
      <c r="BX89" s="35">
        <f t="shared" si="99"/>
        <v>500</v>
      </c>
      <c r="BY89" s="35">
        <f t="shared" si="118"/>
        <v>0</v>
      </c>
      <c r="BZ89" s="15">
        <f t="shared" si="135"/>
        <v>1.0721586860009999</v>
      </c>
      <c r="CA89" s="28">
        <f t="shared" si="136"/>
        <v>400.91876625832418</v>
      </c>
      <c r="CB89" s="28">
        <f t="shared" si="137"/>
        <v>373.93603343707861</v>
      </c>
      <c r="CC89" s="33"/>
      <c r="CG89" s="31"/>
      <c r="CM89" s="11">
        <v>8.5</v>
      </c>
      <c r="CO89" s="35">
        <f t="shared" si="100"/>
        <v>850</v>
      </c>
      <c r="CP89" s="35">
        <f t="shared" si="119"/>
        <v>0</v>
      </c>
      <c r="CQ89" s="15">
        <f t="shared" si="138"/>
        <v>1.2292099904031499</v>
      </c>
      <c r="CR89" s="28">
        <f t="shared" si="139"/>
        <v>482.29169172148175</v>
      </c>
      <c r="CS89" s="28">
        <f t="shared" si="140"/>
        <v>392.3590724830525</v>
      </c>
      <c r="CT89" s="33"/>
      <c r="CX89" s="31"/>
      <c r="DD89" s="11">
        <v>5</v>
      </c>
      <c r="DF89" s="35">
        <f t="shared" si="101"/>
        <v>500</v>
      </c>
      <c r="DG89" s="35">
        <f t="shared" si="120"/>
        <v>0</v>
      </c>
      <c r="DH89" s="15">
        <f t="shared" si="141"/>
        <v>1.033706333169762</v>
      </c>
      <c r="DI89" s="28">
        <f t="shared" si="142"/>
        <v>416.78226089046291</v>
      </c>
      <c r="DJ89" s="28">
        <f t="shared" si="143"/>
        <v>403.19213253965444</v>
      </c>
      <c r="DK89" s="33"/>
      <c r="DO89" s="31"/>
      <c r="DU89" s="11">
        <v>5</v>
      </c>
      <c r="DW89" s="35">
        <f t="shared" si="102"/>
        <v>500</v>
      </c>
      <c r="DX89" s="35">
        <f t="shared" si="121"/>
        <v>0</v>
      </c>
      <c r="DY89" s="15">
        <f t="shared" si="144"/>
        <v>1.1456443771650255</v>
      </c>
      <c r="DZ89" s="28">
        <f t="shared" si="145"/>
        <v>407.85460456795073</v>
      </c>
      <c r="EA89" s="28">
        <f t="shared" si="146"/>
        <v>356.0045444269665</v>
      </c>
      <c r="EB89" s="33"/>
      <c r="EF89" s="31"/>
      <c r="EL89" s="11">
        <v>8.5</v>
      </c>
      <c r="EN89" s="35">
        <f t="shared" si="103"/>
        <v>850</v>
      </c>
      <c r="EO89" s="35">
        <f t="shared" si="122"/>
        <v>0</v>
      </c>
      <c r="EP89" s="15">
        <f t="shared" si="147"/>
        <v>1.13737786794748</v>
      </c>
      <c r="EQ89" s="28">
        <f t="shared" si="148"/>
        <v>611.0531146484351</v>
      </c>
      <c r="ER89" s="28">
        <f t="shared" si="149"/>
        <v>537.24723495028593</v>
      </c>
      <c r="ES89" s="33"/>
      <c r="EW89" s="31"/>
      <c r="FC89" s="11">
        <v>9</v>
      </c>
      <c r="FE89" s="35">
        <f t="shared" si="104"/>
        <v>900</v>
      </c>
      <c r="FF89" s="35">
        <f t="shared" si="123"/>
        <v>0</v>
      </c>
      <c r="FG89" s="15">
        <f t="shared" si="150"/>
        <v>1.1298674697243805</v>
      </c>
      <c r="FH89" s="28">
        <f t="shared" si="151"/>
        <v>580.27509027974509</v>
      </c>
      <c r="FI89" s="28">
        <f t="shared" si="152"/>
        <v>513.57801319945713</v>
      </c>
      <c r="FJ89" s="33"/>
      <c r="FN89" s="31"/>
      <c r="FT89" s="11">
        <v>7.5</v>
      </c>
      <c r="FV89" s="35">
        <f t="shared" si="105"/>
        <v>750</v>
      </c>
      <c r="FW89" s="35">
        <f t="shared" si="124"/>
        <v>0</v>
      </c>
      <c r="FX89" s="15">
        <f t="shared" si="153"/>
        <v>1.0962151761172856</v>
      </c>
      <c r="FY89" s="28">
        <f t="shared" si="154"/>
        <v>522.83680408944178</v>
      </c>
      <c r="FZ89" s="28">
        <f t="shared" si="155"/>
        <v>476.94724127182013</v>
      </c>
      <c r="GA89" s="33"/>
      <c r="GE89" s="31"/>
      <c r="GK89" s="86"/>
      <c r="GL89" s="87"/>
      <c r="GM89" s="35">
        <f t="shared" si="106"/>
        <v>0</v>
      </c>
      <c r="GN89" s="35">
        <f t="shared" si="125"/>
        <v>0</v>
      </c>
      <c r="GO89" s="15">
        <f t="shared" si="156"/>
        <v>0.39396597959055824</v>
      </c>
      <c r="GP89" s="28">
        <f t="shared" si="157"/>
        <v>151.7725055833159</v>
      </c>
      <c r="GQ89" s="28">
        <f t="shared" si="158"/>
        <v>385.24266928086109</v>
      </c>
      <c r="GR89" s="33"/>
      <c r="GV89" s="31"/>
      <c r="HB89" s="11">
        <v>4</v>
      </c>
      <c r="HD89" s="35">
        <f t="shared" si="107"/>
        <v>400</v>
      </c>
      <c r="HE89" s="35">
        <f t="shared" si="126"/>
        <v>0</v>
      </c>
      <c r="HF89" s="15">
        <f t="shared" si="159"/>
        <v>1.1626286836676352</v>
      </c>
      <c r="HG89" s="28">
        <f t="shared" si="160"/>
        <v>308.00642033643066</v>
      </c>
      <c r="HH89" s="28">
        <f t="shared" si="161"/>
        <v>264.92243367400141</v>
      </c>
      <c r="HI89" s="33"/>
      <c r="HM89" s="31"/>
      <c r="HU89" s="35">
        <f t="shared" si="108"/>
        <v>0</v>
      </c>
      <c r="HV89" s="35">
        <f t="shared" si="127"/>
        <v>0</v>
      </c>
      <c r="HW89" s="15">
        <f t="shared" si="162"/>
        <v>0.10013793971916654</v>
      </c>
      <c r="HX89" s="28">
        <f t="shared" si="163"/>
        <v>3.6188702163433195</v>
      </c>
      <c r="HY89" s="28">
        <f t="shared" si="164"/>
        <v>36.138852332016398</v>
      </c>
      <c r="HZ89" s="33"/>
      <c r="ID89" s="31"/>
      <c r="II89" s="12"/>
      <c r="IJ89" s="11">
        <v>7</v>
      </c>
      <c r="IL89" s="35">
        <f t="shared" si="109"/>
        <v>700</v>
      </c>
      <c r="IM89" s="35">
        <f t="shared" si="110"/>
        <v>3976.5717082766923</v>
      </c>
      <c r="IN89" s="15">
        <f t="shared" si="165"/>
        <v>2.1230205003779612</v>
      </c>
      <c r="IO89" s="28">
        <f t="shared" si="166"/>
        <v>358.94400917032078</v>
      </c>
      <c r="IP89" s="28">
        <f t="shared" si="167"/>
        <v>169.07232365698684</v>
      </c>
      <c r="IQ89" s="33"/>
      <c r="IU89" s="31"/>
      <c r="JC89" s="35">
        <f t="shared" si="111"/>
        <v>0</v>
      </c>
      <c r="JD89" s="35">
        <f t="shared" si="112"/>
        <v>4744.649759272399</v>
      </c>
      <c r="JE89" s="15" t="e">
        <f t="shared" si="168"/>
        <v>#DIV/0!</v>
      </c>
      <c r="JF89" s="28">
        <f t="shared" si="169"/>
        <v>0</v>
      </c>
      <c r="JG89" s="28">
        <f t="shared" si="170"/>
        <v>0</v>
      </c>
      <c r="JH89" s="33"/>
      <c r="JL89" s="31"/>
      <c r="JR89" s="99"/>
      <c r="JS89" s="99"/>
      <c r="JT89" s="99"/>
      <c r="JU89" s="99"/>
      <c r="JV89" s="99"/>
      <c r="JW89" s="99"/>
      <c r="JX89" s="99"/>
      <c r="JY89" s="99"/>
      <c r="JZ89" s="99"/>
      <c r="KA89" s="99"/>
      <c r="KB89" s="99"/>
      <c r="KC89" s="99"/>
      <c r="KD89" s="99"/>
      <c r="KE89" s="99"/>
      <c r="KF89" s="99"/>
      <c r="KG89" s="99"/>
      <c r="KH89" s="99"/>
      <c r="KI89" s="99"/>
      <c r="KJ89" s="99"/>
      <c r="KK89" s="99"/>
      <c r="KL89" s="99"/>
      <c r="KM89" s="99"/>
      <c r="KN89" s="99"/>
      <c r="KO89" s="99"/>
      <c r="KP89" s="99"/>
      <c r="KQ89" s="99"/>
      <c r="KR89" s="99"/>
      <c r="KS89" s="99"/>
      <c r="KT89" s="99"/>
      <c r="KU89" s="99"/>
      <c r="KV89" s="99"/>
      <c r="KW89" s="99"/>
      <c r="KX89" s="99"/>
      <c r="KY89" s="99"/>
      <c r="KZ89" s="99"/>
      <c r="LA89" s="99"/>
      <c r="LB89" s="99"/>
      <c r="LC89" s="99"/>
      <c r="LD89" s="99"/>
      <c r="LE89" s="99"/>
      <c r="LF89" s="99"/>
      <c r="LG89" s="99"/>
      <c r="LH89" s="99"/>
      <c r="LI89" s="99"/>
      <c r="LJ89" s="99"/>
      <c r="LK89" s="99"/>
      <c r="LL89" s="99"/>
      <c r="LM89" s="99"/>
      <c r="LN89" s="99"/>
      <c r="LO89" s="99"/>
      <c r="LP89" s="99"/>
      <c r="LQ89" s="99"/>
      <c r="LR89" s="99"/>
      <c r="LS89" s="99"/>
      <c r="LT89" s="99"/>
      <c r="LU89" s="99"/>
      <c r="LV89" s="99"/>
      <c r="LW89" s="99"/>
      <c r="LX89" s="99"/>
      <c r="LY89" s="99"/>
      <c r="LZ89" s="99"/>
      <c r="MA89" s="99"/>
      <c r="MB89" s="99"/>
      <c r="MC89" s="99"/>
      <c r="MD89" s="99"/>
      <c r="ME89" s="99"/>
      <c r="MF89" s="99"/>
    </row>
    <row r="90" spans="1:344" ht="17.25" customHeight="1" x14ac:dyDescent="0.25">
      <c r="A90" s="156"/>
      <c r="B90" s="81" t="s">
        <v>3</v>
      </c>
      <c r="C90" s="82">
        <v>45224</v>
      </c>
      <c r="D90" s="49">
        <v>12</v>
      </c>
      <c r="F90" s="103">
        <v>75</v>
      </c>
      <c r="G90" s="89">
        <f t="shared" si="93"/>
        <v>6.12</v>
      </c>
      <c r="H90" s="35">
        <f t="shared" si="94"/>
        <v>459</v>
      </c>
      <c r="I90" s="39"/>
      <c r="L90" s="89">
        <f t="shared" si="95"/>
        <v>0</v>
      </c>
      <c r="M90" s="35">
        <f t="shared" si="113"/>
        <v>0</v>
      </c>
      <c r="N90" s="35">
        <f t="shared" si="114"/>
        <v>459</v>
      </c>
      <c r="O90" s="97"/>
      <c r="P90" s="150"/>
      <c r="W90" s="11">
        <v>7</v>
      </c>
      <c r="X90" s="1">
        <v>0</v>
      </c>
      <c r="Y90" s="35">
        <f t="shared" si="96"/>
        <v>525</v>
      </c>
      <c r="Z90" s="35">
        <f t="shared" si="115"/>
        <v>0</v>
      </c>
      <c r="AA90" s="15">
        <f t="shared" si="128"/>
        <v>1.1054724586619411</v>
      </c>
      <c r="AB90" s="43">
        <f t="shared" ref="AB90:AB153" si="173">Y90*(2/(7+1))+((1-(2/(7+1)))*AB89)</f>
        <v>568.59714080153776</v>
      </c>
      <c r="AC90" s="43">
        <f t="shared" ref="AC90:AC153" si="174">Y90*(2/(28+1))+((1-(2/(28+1)))*AC89)</f>
        <v>514.34763150025935</v>
      </c>
      <c r="AD90" s="33"/>
      <c r="AH90" s="31"/>
      <c r="AN90" s="11">
        <v>6.2</v>
      </c>
      <c r="AP90" s="35">
        <f t="shared" si="97"/>
        <v>465</v>
      </c>
      <c r="AQ90" s="35">
        <f t="shared" si="116"/>
        <v>0</v>
      </c>
      <c r="AR90" s="15">
        <f t="shared" si="129"/>
        <v>1.190058360479769</v>
      </c>
      <c r="AS90" s="28">
        <f t="shared" si="130"/>
        <v>219.70093646026999</v>
      </c>
      <c r="AT90" s="28">
        <f t="shared" si="131"/>
        <v>184.61358178408841</v>
      </c>
      <c r="AU90" s="33"/>
      <c r="AY90" s="31"/>
      <c r="BE90" s="11">
        <v>7</v>
      </c>
      <c r="BG90" s="35">
        <f t="shared" si="98"/>
        <v>525</v>
      </c>
      <c r="BH90" s="35">
        <f t="shared" si="117"/>
        <v>0</v>
      </c>
      <c r="BI90" s="15">
        <f t="shared" si="132"/>
        <v>1.1029234597994209</v>
      </c>
      <c r="BJ90" s="28">
        <f t="shared" si="133"/>
        <v>511.56388886731474</v>
      </c>
      <c r="BK90" s="28">
        <f t="shared" si="134"/>
        <v>463.82537638681515</v>
      </c>
      <c r="BL90" s="33"/>
      <c r="BP90" s="31"/>
      <c r="BV90" s="11">
        <v>5</v>
      </c>
      <c r="BX90" s="35">
        <f t="shared" si="99"/>
        <v>375</v>
      </c>
      <c r="BY90" s="35">
        <f t="shared" si="118"/>
        <v>0</v>
      </c>
      <c r="BZ90" s="15">
        <f t="shared" si="135"/>
        <v>1.0546233963156524</v>
      </c>
      <c r="CA90" s="28">
        <f t="shared" si="136"/>
        <v>394.43907469374312</v>
      </c>
      <c r="CB90" s="28">
        <f t="shared" si="137"/>
        <v>374.00941044141803</v>
      </c>
      <c r="CC90" s="33"/>
      <c r="CG90" s="31"/>
      <c r="CM90" s="11">
        <v>8</v>
      </c>
      <c r="CO90" s="35">
        <f t="shared" si="100"/>
        <v>600</v>
      </c>
      <c r="CP90" s="35">
        <f t="shared" si="119"/>
        <v>0</v>
      </c>
      <c r="CQ90" s="15">
        <f t="shared" si="138"/>
        <v>1.2582862579535221</v>
      </c>
      <c r="CR90" s="28">
        <f t="shared" si="139"/>
        <v>511.7187687911113</v>
      </c>
      <c r="CS90" s="28">
        <f t="shared" si="140"/>
        <v>406.67913644973851</v>
      </c>
      <c r="CT90" s="33"/>
      <c r="CX90" s="31"/>
      <c r="DD90" s="11">
        <v>4</v>
      </c>
      <c r="DF90" s="35">
        <f t="shared" si="101"/>
        <v>300</v>
      </c>
      <c r="DG90" s="35">
        <f t="shared" si="120"/>
        <v>0</v>
      </c>
      <c r="DH90" s="15">
        <f t="shared" si="141"/>
        <v>0.97856787532685108</v>
      </c>
      <c r="DI90" s="28">
        <f t="shared" si="142"/>
        <v>387.58669566784715</v>
      </c>
      <c r="DJ90" s="28">
        <f t="shared" si="143"/>
        <v>396.07543374381618</v>
      </c>
      <c r="DK90" s="33"/>
      <c r="DO90" s="31"/>
      <c r="DU90" s="11">
        <v>4</v>
      </c>
      <c r="DW90" s="35">
        <f t="shared" si="102"/>
        <v>300</v>
      </c>
      <c r="DX90" s="35">
        <f t="shared" si="121"/>
        <v>0</v>
      </c>
      <c r="DY90" s="15">
        <f t="shared" si="144"/>
        <v>1.0816397309702674</v>
      </c>
      <c r="DZ90" s="28">
        <f t="shared" si="145"/>
        <v>380.89095342596306</v>
      </c>
      <c r="EA90" s="28">
        <f t="shared" si="146"/>
        <v>352.14216205269292</v>
      </c>
      <c r="EB90" s="33"/>
      <c r="EF90" s="31"/>
      <c r="EL90" s="11">
        <v>7</v>
      </c>
      <c r="EN90" s="35">
        <f t="shared" si="103"/>
        <v>525</v>
      </c>
      <c r="EO90" s="35">
        <f t="shared" si="122"/>
        <v>0</v>
      </c>
      <c r="EP90" s="15">
        <f t="shared" si="147"/>
        <v>1.0990622307230153</v>
      </c>
      <c r="EQ90" s="28">
        <f t="shared" si="148"/>
        <v>589.53983598632635</v>
      </c>
      <c r="ER90" s="28">
        <f t="shared" si="149"/>
        <v>536.40259805716278</v>
      </c>
      <c r="ES90" s="33"/>
      <c r="EW90" s="31"/>
      <c r="FC90" s="11">
        <v>7</v>
      </c>
      <c r="FE90" s="35">
        <f t="shared" si="104"/>
        <v>525</v>
      </c>
      <c r="FF90" s="35">
        <f t="shared" si="123"/>
        <v>0</v>
      </c>
      <c r="FG90" s="15">
        <f t="shared" si="150"/>
        <v>1.1012714836811697</v>
      </c>
      <c r="FH90" s="28">
        <f t="shared" si="151"/>
        <v>566.45631770980879</v>
      </c>
      <c r="FI90" s="28">
        <f t="shared" si="152"/>
        <v>514.36573642708083</v>
      </c>
      <c r="FJ90" s="33"/>
      <c r="FN90" s="31"/>
      <c r="FT90" s="11">
        <v>6</v>
      </c>
      <c r="FV90" s="35">
        <f t="shared" si="105"/>
        <v>450</v>
      </c>
      <c r="FW90" s="35">
        <f t="shared" si="124"/>
        <v>0</v>
      </c>
      <c r="FX90" s="15">
        <f t="shared" si="153"/>
        <v>1.0621753060772321</v>
      </c>
      <c r="FY90" s="28">
        <f t="shared" si="154"/>
        <v>504.62760306708134</v>
      </c>
      <c r="FZ90" s="28">
        <f t="shared" si="155"/>
        <v>475.08881083928082</v>
      </c>
      <c r="GA90" s="33"/>
      <c r="GE90" s="31"/>
      <c r="GK90" s="86"/>
      <c r="GL90" s="87"/>
      <c r="GM90" s="35">
        <f t="shared" si="106"/>
        <v>0</v>
      </c>
      <c r="GN90" s="35">
        <f t="shared" si="125"/>
        <v>0</v>
      </c>
      <c r="GO90" s="15">
        <f t="shared" si="156"/>
        <v>0.3173614835590608</v>
      </c>
      <c r="GP90" s="28">
        <f t="shared" si="157"/>
        <v>113.82937918748692</v>
      </c>
      <c r="GQ90" s="28">
        <f t="shared" si="158"/>
        <v>358.67420933045685</v>
      </c>
      <c r="GR90" s="33"/>
      <c r="GV90" s="31"/>
      <c r="HD90" s="35">
        <f t="shared" si="107"/>
        <v>0</v>
      </c>
      <c r="HE90" s="35">
        <f t="shared" si="126"/>
        <v>0</v>
      </c>
      <c r="HF90" s="15">
        <f t="shared" si="159"/>
        <v>0.93656199517670613</v>
      </c>
      <c r="HG90" s="28">
        <f t="shared" si="160"/>
        <v>231.004815252323</v>
      </c>
      <c r="HH90" s="28">
        <f t="shared" si="161"/>
        <v>246.6519210068289</v>
      </c>
      <c r="HI90" s="33"/>
      <c r="HM90" s="31"/>
      <c r="HU90" s="35">
        <f t="shared" si="108"/>
        <v>0</v>
      </c>
      <c r="HV90" s="35">
        <f t="shared" si="127"/>
        <v>0</v>
      </c>
      <c r="HW90" s="15">
        <f t="shared" si="162"/>
        <v>8.0666673662661947E-2</v>
      </c>
      <c r="HX90" s="28">
        <f t="shared" si="163"/>
        <v>2.7141526622574896</v>
      </c>
      <c r="HY90" s="28">
        <f t="shared" si="164"/>
        <v>33.646517688429057</v>
      </c>
      <c r="HZ90" s="33"/>
      <c r="ID90" s="31"/>
      <c r="II90" s="12"/>
      <c r="IL90" s="35">
        <f t="shared" si="109"/>
        <v>0</v>
      </c>
      <c r="IM90" s="35">
        <f t="shared" si="110"/>
        <v>3825.9672211710094</v>
      </c>
      <c r="IN90" s="15">
        <f t="shared" si="165"/>
        <v>1.7102109586378018</v>
      </c>
      <c r="IO90" s="28">
        <f t="shared" si="166"/>
        <v>269.20800687774056</v>
      </c>
      <c r="IP90" s="28">
        <f t="shared" si="167"/>
        <v>157.41216340478084</v>
      </c>
      <c r="IQ90" s="33"/>
      <c r="IU90" s="31"/>
      <c r="JC90" s="35">
        <f t="shared" si="111"/>
        <v>0</v>
      </c>
      <c r="JD90" s="35">
        <f t="shared" si="112"/>
        <v>4684.0456161869988</v>
      </c>
      <c r="JE90" s="15" t="e">
        <f t="shared" si="168"/>
        <v>#DIV/0!</v>
      </c>
      <c r="JF90" s="28">
        <f t="shared" si="169"/>
        <v>0</v>
      </c>
      <c r="JG90" s="28">
        <f t="shared" si="170"/>
        <v>0</v>
      </c>
      <c r="JH90" s="33"/>
      <c r="JL90" s="31"/>
      <c r="JR90" s="99"/>
      <c r="JS90" s="99"/>
      <c r="JT90" s="99"/>
      <c r="JU90" s="99"/>
      <c r="JV90" s="99"/>
      <c r="JW90" s="99"/>
      <c r="JX90" s="99"/>
      <c r="JY90" s="99"/>
      <c r="JZ90" s="99"/>
      <c r="KA90" s="99"/>
      <c r="KB90" s="99"/>
      <c r="KC90" s="99"/>
      <c r="KD90" s="99"/>
      <c r="KE90" s="99"/>
      <c r="KF90" s="99"/>
      <c r="KG90" s="99"/>
      <c r="KH90" s="99"/>
      <c r="KI90" s="99"/>
      <c r="KJ90" s="99"/>
      <c r="KK90" s="99"/>
      <c r="KL90" s="99"/>
      <c r="KM90" s="99"/>
      <c r="KN90" s="99"/>
      <c r="KO90" s="99"/>
      <c r="KP90" s="99"/>
      <c r="KQ90" s="99"/>
      <c r="KR90" s="99"/>
      <c r="KS90" s="99"/>
      <c r="KT90" s="99"/>
      <c r="KU90" s="99"/>
      <c r="KV90" s="99"/>
      <c r="KW90" s="99"/>
      <c r="KX90" s="99"/>
      <c r="KY90" s="99"/>
      <c r="KZ90" s="99"/>
      <c r="LA90" s="99"/>
      <c r="LB90" s="99"/>
      <c r="LC90" s="99"/>
      <c r="LD90" s="99"/>
      <c r="LE90" s="99"/>
      <c r="LF90" s="99"/>
      <c r="LG90" s="99"/>
      <c r="LH90" s="99"/>
      <c r="LI90" s="99"/>
      <c r="LJ90" s="99"/>
      <c r="LK90" s="99"/>
      <c r="LL90" s="99"/>
      <c r="LM90" s="99"/>
      <c r="LN90" s="99"/>
      <c r="LO90" s="99"/>
      <c r="LP90" s="99"/>
      <c r="LQ90" s="99"/>
      <c r="LR90" s="99"/>
      <c r="LS90" s="99"/>
      <c r="LT90" s="99"/>
      <c r="LU90" s="99"/>
      <c r="LV90" s="99"/>
      <c r="LW90" s="99"/>
      <c r="LX90" s="99"/>
      <c r="LY90" s="99"/>
      <c r="LZ90" s="99"/>
      <c r="MA90" s="99"/>
      <c r="MB90" s="99"/>
      <c r="MC90" s="99"/>
      <c r="MD90" s="99"/>
      <c r="ME90" s="99"/>
      <c r="MF90" s="99"/>
    </row>
    <row r="91" spans="1:344" ht="17.25" customHeight="1" x14ac:dyDescent="0.25">
      <c r="A91" s="156"/>
      <c r="B91" s="81" t="s">
        <v>4</v>
      </c>
      <c r="C91" s="82">
        <v>45225</v>
      </c>
      <c r="D91" s="49">
        <v>13</v>
      </c>
      <c r="F91" s="103">
        <v>72</v>
      </c>
      <c r="G91" s="89">
        <f t="shared" si="93"/>
        <v>6.5636363636363635</v>
      </c>
      <c r="H91" s="35">
        <f t="shared" si="94"/>
        <v>472.58181818181816</v>
      </c>
      <c r="I91" s="39"/>
      <c r="L91" s="89">
        <f t="shared" si="95"/>
        <v>0</v>
      </c>
      <c r="M91" s="35">
        <f t="shared" si="113"/>
        <v>0</v>
      </c>
      <c r="N91" s="35">
        <f t="shared" si="114"/>
        <v>472.58181818181816</v>
      </c>
      <c r="O91" s="97"/>
      <c r="P91" s="150"/>
      <c r="W91" s="11">
        <v>7</v>
      </c>
      <c r="X91" s="1">
        <v>0</v>
      </c>
      <c r="Y91" s="35">
        <f t="shared" si="96"/>
        <v>504</v>
      </c>
      <c r="Z91" s="35">
        <f t="shared" si="115"/>
        <v>0</v>
      </c>
      <c r="AA91" s="15">
        <f t="shared" si="128"/>
        <v>1.0755671426111264</v>
      </c>
      <c r="AB91" s="43">
        <f t="shared" si="173"/>
        <v>552.44785560115338</v>
      </c>
      <c r="AC91" s="43">
        <f t="shared" si="174"/>
        <v>513.63400174162075</v>
      </c>
      <c r="AD91" s="33"/>
      <c r="AH91" s="31"/>
      <c r="AN91" s="11">
        <v>6</v>
      </c>
      <c r="AP91" s="35">
        <f t="shared" si="97"/>
        <v>432</v>
      </c>
      <c r="AQ91" s="35">
        <f t="shared" si="116"/>
        <v>0</v>
      </c>
      <c r="AR91" s="15">
        <f t="shared" si="129"/>
        <v>1.3525528155402573</v>
      </c>
      <c r="AS91" s="28">
        <f t="shared" si="130"/>
        <v>272.77570234520249</v>
      </c>
      <c r="AT91" s="28">
        <f t="shared" si="131"/>
        <v>201.67471407484095</v>
      </c>
      <c r="AU91" s="33"/>
      <c r="AY91" s="31"/>
      <c r="BE91" s="11">
        <v>7</v>
      </c>
      <c r="BG91" s="35">
        <f t="shared" si="98"/>
        <v>504</v>
      </c>
      <c r="BH91" s="35">
        <f t="shared" si="117"/>
        <v>0</v>
      </c>
      <c r="BI91" s="15">
        <f t="shared" si="132"/>
        <v>1.0923215648346039</v>
      </c>
      <c r="BJ91" s="28">
        <f t="shared" si="133"/>
        <v>509.67291665048606</v>
      </c>
      <c r="BK91" s="28">
        <f t="shared" si="134"/>
        <v>466.59604008427618</v>
      </c>
      <c r="BL91" s="33"/>
      <c r="BP91" s="31"/>
      <c r="BV91" s="11">
        <v>7</v>
      </c>
      <c r="BX91" s="35">
        <f t="shared" si="99"/>
        <v>504</v>
      </c>
      <c r="BY91" s="35">
        <f t="shared" si="118"/>
        <v>0</v>
      </c>
      <c r="BZ91" s="15">
        <f t="shared" si="135"/>
        <v>1.1014559710555447</v>
      </c>
      <c r="CA91" s="28">
        <f t="shared" si="136"/>
        <v>421.82930602030734</v>
      </c>
      <c r="CB91" s="28">
        <f t="shared" si="137"/>
        <v>382.97427868683747</v>
      </c>
      <c r="CC91" s="33"/>
      <c r="CG91" s="31"/>
      <c r="CM91" s="11">
        <v>8</v>
      </c>
      <c r="CO91" s="35">
        <f t="shared" si="100"/>
        <v>576</v>
      </c>
      <c r="CP91" s="35">
        <f t="shared" si="119"/>
        <v>0</v>
      </c>
      <c r="CQ91" s="15">
        <f t="shared" si="138"/>
        <v>1.2615775196225458</v>
      </c>
      <c r="CR91" s="28">
        <f t="shared" si="139"/>
        <v>527.78907659333345</v>
      </c>
      <c r="CS91" s="28">
        <f t="shared" si="140"/>
        <v>418.35643738423926</v>
      </c>
      <c r="CT91" s="33"/>
      <c r="CX91" s="31"/>
      <c r="DD91" s="11">
        <v>5</v>
      </c>
      <c r="DF91" s="35">
        <f t="shared" si="101"/>
        <v>360</v>
      </c>
      <c r="DG91" s="35">
        <f t="shared" si="120"/>
        <v>0</v>
      </c>
      <c r="DH91" s="15">
        <f t="shared" si="141"/>
        <v>0.96723104281378547</v>
      </c>
      <c r="DI91" s="28">
        <f t="shared" si="142"/>
        <v>380.69002175088536</v>
      </c>
      <c r="DJ91" s="28">
        <f t="shared" si="143"/>
        <v>393.58747279596679</v>
      </c>
      <c r="DK91" s="33"/>
      <c r="DO91" s="31"/>
      <c r="DU91" s="11">
        <v>4.7</v>
      </c>
      <c r="DW91" s="35">
        <f t="shared" si="102"/>
        <v>338.40000000000003</v>
      </c>
      <c r="DX91" s="35">
        <f t="shared" si="121"/>
        <v>0</v>
      </c>
      <c r="DY91" s="15">
        <f t="shared" si="144"/>
        <v>1.0543111931128364</v>
      </c>
      <c r="DZ91" s="28">
        <f t="shared" si="145"/>
        <v>370.26821506947232</v>
      </c>
      <c r="EA91" s="28">
        <f t="shared" si="146"/>
        <v>351.19442673871413</v>
      </c>
      <c r="EB91" s="33"/>
      <c r="EF91" s="31"/>
      <c r="EL91" s="11">
        <v>8</v>
      </c>
      <c r="EN91" s="35">
        <f t="shared" si="103"/>
        <v>576</v>
      </c>
      <c r="EO91" s="35">
        <f t="shared" si="122"/>
        <v>0</v>
      </c>
      <c r="EP91" s="15">
        <f t="shared" si="147"/>
        <v>1.0872166684015254</v>
      </c>
      <c r="EQ91" s="28">
        <f t="shared" si="148"/>
        <v>586.15487698974471</v>
      </c>
      <c r="ER91" s="28">
        <f t="shared" si="149"/>
        <v>539.13345336356531</v>
      </c>
      <c r="ES91" s="33"/>
      <c r="EW91" s="31"/>
      <c r="FC91" s="11">
        <v>7.5</v>
      </c>
      <c r="FE91" s="35">
        <f t="shared" si="104"/>
        <v>540</v>
      </c>
      <c r="FF91" s="35">
        <f t="shared" si="123"/>
        <v>0</v>
      </c>
      <c r="FG91" s="15">
        <f t="shared" si="150"/>
        <v>1.0846847021718369</v>
      </c>
      <c r="FH91" s="28">
        <f t="shared" si="151"/>
        <v>559.84223828235656</v>
      </c>
      <c r="FI91" s="28">
        <f t="shared" si="152"/>
        <v>516.13361667348909</v>
      </c>
      <c r="FJ91" s="33"/>
      <c r="FN91" s="31"/>
      <c r="FT91" s="11">
        <v>7</v>
      </c>
      <c r="FV91" s="35">
        <f t="shared" si="105"/>
        <v>504</v>
      </c>
      <c r="FW91" s="35">
        <f t="shared" si="124"/>
        <v>0</v>
      </c>
      <c r="FX91" s="15">
        <f t="shared" si="153"/>
        <v>1.0574072737344096</v>
      </c>
      <c r="FY91" s="28">
        <f t="shared" si="154"/>
        <v>504.47070230031102</v>
      </c>
      <c r="FZ91" s="28">
        <f t="shared" si="155"/>
        <v>477.08268595381315</v>
      </c>
      <c r="GA91" s="33"/>
      <c r="GE91" s="31"/>
      <c r="GK91" s="11">
        <v>5</v>
      </c>
      <c r="GM91" s="35">
        <f t="shared" si="106"/>
        <v>360</v>
      </c>
      <c r="GN91" s="35">
        <f t="shared" si="125"/>
        <v>0</v>
      </c>
      <c r="GO91" s="15">
        <f t="shared" si="156"/>
        <v>0.48882059285605811</v>
      </c>
      <c r="GP91" s="28">
        <f t="shared" si="157"/>
        <v>175.3720343906152</v>
      </c>
      <c r="GQ91" s="28">
        <f t="shared" si="158"/>
        <v>358.76564316973571</v>
      </c>
      <c r="GR91" s="33"/>
      <c r="GV91" s="31"/>
      <c r="HD91" s="35">
        <f t="shared" si="107"/>
        <v>0</v>
      </c>
      <c r="HE91" s="35">
        <f t="shared" si="126"/>
        <v>0</v>
      </c>
      <c r="HF91" s="15">
        <f t="shared" si="159"/>
        <v>0.75445271833679117</v>
      </c>
      <c r="HG91" s="28">
        <f t="shared" si="160"/>
        <v>173.25361143924226</v>
      </c>
      <c r="HH91" s="28">
        <f t="shared" si="161"/>
        <v>229.64144369601311</v>
      </c>
      <c r="HI91" s="33"/>
      <c r="HM91" s="31"/>
      <c r="HU91" s="35">
        <f t="shared" si="108"/>
        <v>0</v>
      </c>
      <c r="HV91" s="35">
        <f t="shared" si="127"/>
        <v>0</v>
      </c>
      <c r="HW91" s="15">
        <f t="shared" si="162"/>
        <v>6.498148711714434E-2</v>
      </c>
      <c r="HX91" s="28">
        <f t="shared" si="163"/>
        <v>2.0356144966931171</v>
      </c>
      <c r="HY91" s="28">
        <f t="shared" si="164"/>
        <v>31.326068192675329</v>
      </c>
      <c r="HZ91" s="33"/>
      <c r="ID91" s="31"/>
      <c r="II91" s="12"/>
      <c r="IL91" s="35">
        <f t="shared" si="109"/>
        <v>0</v>
      </c>
      <c r="IM91" s="35">
        <f t="shared" si="110"/>
        <v>4109.4929854285838</v>
      </c>
      <c r="IN91" s="15">
        <f t="shared" si="165"/>
        <v>1.3776699389026739</v>
      </c>
      <c r="IO91" s="28">
        <f t="shared" si="166"/>
        <v>201.90600515830542</v>
      </c>
      <c r="IP91" s="28">
        <f t="shared" si="167"/>
        <v>146.5561521354856</v>
      </c>
      <c r="IQ91" s="33"/>
      <c r="IU91" s="31"/>
      <c r="JC91" s="35">
        <f t="shared" si="111"/>
        <v>0</v>
      </c>
      <c r="JD91" s="35">
        <f t="shared" si="112"/>
        <v>4782.7232258533977</v>
      </c>
      <c r="JE91" s="15" t="e">
        <f t="shared" si="168"/>
        <v>#DIV/0!</v>
      </c>
      <c r="JF91" s="28">
        <f t="shared" si="169"/>
        <v>0</v>
      </c>
      <c r="JG91" s="28">
        <f t="shared" si="170"/>
        <v>0</v>
      </c>
      <c r="JH91" s="33"/>
      <c r="JL91" s="31"/>
      <c r="JR91" s="99"/>
      <c r="JS91" s="99"/>
      <c r="JT91" s="99"/>
      <c r="JU91" s="99"/>
      <c r="JV91" s="99"/>
      <c r="JW91" s="99"/>
      <c r="JX91" s="99"/>
      <c r="JY91" s="99"/>
      <c r="JZ91" s="99"/>
      <c r="KA91" s="99"/>
      <c r="KB91" s="99"/>
      <c r="KC91" s="99"/>
      <c r="KD91" s="99"/>
      <c r="KE91" s="99"/>
      <c r="KF91" s="99"/>
      <c r="KG91" s="99"/>
      <c r="KH91" s="99"/>
      <c r="KI91" s="99"/>
      <c r="KJ91" s="99"/>
      <c r="KK91" s="99"/>
      <c r="KL91" s="99"/>
      <c r="KM91" s="99"/>
      <c r="KN91" s="99"/>
      <c r="KO91" s="99"/>
      <c r="KP91" s="99"/>
      <c r="KQ91" s="99"/>
      <c r="KR91" s="99"/>
      <c r="KS91" s="99"/>
      <c r="KT91" s="99"/>
      <c r="KU91" s="99"/>
      <c r="KV91" s="99"/>
      <c r="KW91" s="99"/>
      <c r="KX91" s="99"/>
      <c r="KY91" s="99"/>
      <c r="KZ91" s="99"/>
      <c r="LA91" s="99"/>
      <c r="LB91" s="99"/>
      <c r="LC91" s="99"/>
      <c r="LD91" s="99"/>
      <c r="LE91" s="99"/>
      <c r="LF91" s="99"/>
      <c r="LG91" s="99"/>
      <c r="LH91" s="99"/>
      <c r="LI91" s="99"/>
      <c r="LJ91" s="99"/>
      <c r="LK91" s="99"/>
      <c r="LL91" s="99"/>
      <c r="LM91" s="99"/>
      <c r="LN91" s="99"/>
      <c r="LO91" s="99"/>
      <c r="LP91" s="99"/>
      <c r="LQ91" s="99"/>
      <c r="LR91" s="99"/>
      <c r="LS91" s="99"/>
      <c r="LT91" s="99"/>
      <c r="LU91" s="99"/>
      <c r="LV91" s="99"/>
      <c r="LW91" s="99"/>
      <c r="LX91" s="99"/>
      <c r="LY91" s="99"/>
      <c r="LZ91" s="99"/>
      <c r="MA91" s="99"/>
      <c r="MB91" s="99"/>
      <c r="MC91" s="99"/>
      <c r="MD91" s="99"/>
      <c r="ME91" s="99"/>
      <c r="MF91" s="99"/>
    </row>
    <row r="92" spans="1:344" ht="17.25" customHeight="1" x14ac:dyDescent="0.25">
      <c r="A92" s="156"/>
      <c r="B92" s="81" t="s">
        <v>5</v>
      </c>
      <c r="C92" s="82">
        <v>45226</v>
      </c>
      <c r="D92" s="49">
        <v>13</v>
      </c>
      <c r="F92" s="103">
        <v>75</v>
      </c>
      <c r="G92" s="89">
        <f t="shared" si="93"/>
        <v>6.5545454545454538</v>
      </c>
      <c r="H92" s="35">
        <f t="shared" si="94"/>
        <v>491.59090909090901</v>
      </c>
      <c r="I92" s="39"/>
      <c r="L92" s="89">
        <f t="shared" si="95"/>
        <v>0</v>
      </c>
      <c r="M92" s="35">
        <f t="shared" si="113"/>
        <v>0</v>
      </c>
      <c r="N92" s="35">
        <f t="shared" si="114"/>
        <v>491.59090909090901</v>
      </c>
      <c r="O92" s="97"/>
      <c r="P92" s="150"/>
      <c r="W92" s="11">
        <v>7</v>
      </c>
      <c r="X92" s="1">
        <v>0</v>
      </c>
      <c r="Y92" s="35">
        <f t="shared" si="96"/>
        <v>525</v>
      </c>
      <c r="Z92" s="35">
        <f t="shared" si="115"/>
        <v>0</v>
      </c>
      <c r="AA92" s="15">
        <f t="shared" si="128"/>
        <v>1.0605889301487095</v>
      </c>
      <c r="AB92" s="43">
        <f t="shared" si="173"/>
        <v>545.58589170086498</v>
      </c>
      <c r="AC92" s="43">
        <f t="shared" si="174"/>
        <v>514.41786369047452</v>
      </c>
      <c r="AD92" s="33"/>
      <c r="AH92" s="31"/>
      <c r="AN92" s="11">
        <v>4</v>
      </c>
      <c r="AP92" s="35">
        <f t="shared" si="97"/>
        <v>300</v>
      </c>
      <c r="AQ92" s="35">
        <f t="shared" si="116"/>
        <v>0</v>
      </c>
      <c r="AR92" s="15">
        <f t="shared" si="129"/>
        <v>1.3412043191242222</v>
      </c>
      <c r="AS92" s="28">
        <f t="shared" si="130"/>
        <v>279.58177675890187</v>
      </c>
      <c r="AT92" s="28">
        <f t="shared" si="131"/>
        <v>208.45576827657607</v>
      </c>
      <c r="AU92" s="33"/>
      <c r="AY92" s="31"/>
      <c r="BE92" s="11">
        <v>7</v>
      </c>
      <c r="BG92" s="35">
        <f t="shared" si="98"/>
        <v>525</v>
      </c>
      <c r="BH92" s="35">
        <f t="shared" si="117"/>
        <v>0</v>
      </c>
      <c r="BI92" s="15">
        <f t="shared" si="132"/>
        <v>1.0911147694682404</v>
      </c>
      <c r="BJ92" s="28">
        <f t="shared" si="133"/>
        <v>513.50468748786454</v>
      </c>
      <c r="BK92" s="28">
        <f t="shared" si="134"/>
        <v>470.62389938880887</v>
      </c>
      <c r="BL92" s="33"/>
      <c r="BP92" s="31"/>
      <c r="BV92" s="11">
        <v>5</v>
      </c>
      <c r="BX92" s="35">
        <f t="shared" si="99"/>
        <v>375</v>
      </c>
      <c r="BY92" s="35">
        <f t="shared" si="118"/>
        <v>0</v>
      </c>
      <c r="BZ92" s="15">
        <f t="shared" si="135"/>
        <v>1.0724264881268954</v>
      </c>
      <c r="CA92" s="28">
        <f t="shared" si="136"/>
        <v>410.12197951523052</v>
      </c>
      <c r="CB92" s="28">
        <f t="shared" si="137"/>
        <v>382.42432843257285</v>
      </c>
      <c r="CC92" s="33"/>
      <c r="CG92" s="31"/>
      <c r="CM92" s="11">
        <v>7</v>
      </c>
      <c r="CO92" s="35">
        <f t="shared" si="100"/>
        <v>525</v>
      </c>
      <c r="CP92" s="35">
        <f t="shared" si="119"/>
        <v>0</v>
      </c>
      <c r="CQ92" s="15">
        <f t="shared" si="138"/>
        <v>1.238144191976599</v>
      </c>
      <c r="CR92" s="28">
        <f t="shared" si="139"/>
        <v>527.09180744500009</v>
      </c>
      <c r="CS92" s="28">
        <f t="shared" si="140"/>
        <v>425.71116584049861</v>
      </c>
      <c r="CT92" s="33"/>
      <c r="CX92" s="31"/>
      <c r="DD92" s="11">
        <v>5.0999999999999996</v>
      </c>
      <c r="DF92" s="35">
        <f t="shared" si="101"/>
        <v>382.5</v>
      </c>
      <c r="DG92" s="35">
        <f t="shared" si="120"/>
        <v>0</v>
      </c>
      <c r="DH92" s="15">
        <f t="shared" si="141"/>
        <v>0.97026572132086053</v>
      </c>
      <c r="DI92" s="28">
        <f t="shared" si="142"/>
        <v>381.14251631316404</v>
      </c>
      <c r="DJ92" s="28">
        <f t="shared" si="143"/>
        <v>392.8228194996932</v>
      </c>
      <c r="DK92" s="33"/>
      <c r="DO92" s="31"/>
      <c r="DU92" s="11">
        <v>5</v>
      </c>
      <c r="DW92" s="35">
        <f t="shared" si="102"/>
        <v>375</v>
      </c>
      <c r="DX92" s="35">
        <f t="shared" si="121"/>
        <v>0</v>
      </c>
      <c r="DY92" s="15">
        <f t="shared" si="144"/>
        <v>1.0527581109762765</v>
      </c>
      <c r="DZ92" s="28">
        <f t="shared" si="145"/>
        <v>371.45116130210425</v>
      </c>
      <c r="EA92" s="28">
        <f t="shared" si="146"/>
        <v>352.83619041190627</v>
      </c>
      <c r="EB92" s="33"/>
      <c r="EF92" s="31"/>
      <c r="EL92" s="11">
        <v>9</v>
      </c>
      <c r="EN92" s="35">
        <f t="shared" si="103"/>
        <v>675</v>
      </c>
      <c r="EO92" s="35">
        <f t="shared" si="122"/>
        <v>0</v>
      </c>
      <c r="EP92" s="15">
        <f t="shared" si="147"/>
        <v>1.1091380294980941</v>
      </c>
      <c r="EQ92" s="28">
        <f t="shared" si="148"/>
        <v>608.36615774230859</v>
      </c>
      <c r="ER92" s="28">
        <f t="shared" si="149"/>
        <v>548.50356002814704</v>
      </c>
      <c r="ES92" s="33"/>
      <c r="EW92" s="31"/>
      <c r="FC92" s="11">
        <v>9</v>
      </c>
      <c r="FE92" s="35">
        <f t="shared" si="104"/>
        <v>675</v>
      </c>
      <c r="FF92" s="35">
        <f t="shared" si="123"/>
        <v>0</v>
      </c>
      <c r="FG92" s="15">
        <f t="shared" si="150"/>
        <v>1.1167576110352109</v>
      </c>
      <c r="FH92" s="28">
        <f t="shared" si="151"/>
        <v>588.63167871176745</v>
      </c>
      <c r="FI92" s="28">
        <f t="shared" si="152"/>
        <v>527.08991897186911</v>
      </c>
      <c r="FJ92" s="33"/>
      <c r="FN92" s="31"/>
      <c r="FT92" s="11">
        <v>7</v>
      </c>
      <c r="FV92" s="35">
        <f t="shared" si="105"/>
        <v>525</v>
      </c>
      <c r="FW92" s="35">
        <f t="shared" si="124"/>
        <v>0</v>
      </c>
      <c r="FX92" s="15">
        <f t="shared" si="153"/>
        <v>1.0608169631090916</v>
      </c>
      <c r="FY92" s="28">
        <f t="shared" si="154"/>
        <v>509.60302672523324</v>
      </c>
      <c r="FZ92" s="28">
        <f t="shared" si="155"/>
        <v>480.38732830182602</v>
      </c>
      <c r="GA92" s="33"/>
      <c r="GE92" s="31"/>
      <c r="GK92" s="11">
        <v>7</v>
      </c>
      <c r="GM92" s="35">
        <f t="shared" si="106"/>
        <v>525</v>
      </c>
      <c r="GN92" s="35">
        <f t="shared" si="125"/>
        <v>0</v>
      </c>
      <c r="GO92" s="15">
        <f t="shared" si="156"/>
        <v>0.70977221698821769</v>
      </c>
      <c r="GP92" s="28">
        <f t="shared" si="157"/>
        <v>262.77902579296142</v>
      </c>
      <c r="GQ92" s="28">
        <f t="shared" si="158"/>
        <v>370.23008157182289</v>
      </c>
      <c r="GR92" s="33"/>
      <c r="GV92" s="31"/>
      <c r="HB92" s="11">
        <v>3</v>
      </c>
      <c r="HD92" s="35">
        <f t="shared" si="107"/>
        <v>225</v>
      </c>
      <c r="HE92" s="35">
        <f t="shared" si="126"/>
        <v>0</v>
      </c>
      <c r="HF92" s="15">
        <f t="shared" si="159"/>
        <v>0.81191835537670864</v>
      </c>
      <c r="HG92" s="28">
        <f t="shared" si="160"/>
        <v>186.1902085794317</v>
      </c>
      <c r="HH92" s="28">
        <f t="shared" si="161"/>
        <v>229.32134413077083</v>
      </c>
      <c r="HI92" s="33"/>
      <c r="HM92" s="31"/>
      <c r="HU92" s="35">
        <f t="shared" si="108"/>
        <v>0</v>
      </c>
      <c r="HV92" s="35">
        <f t="shared" si="127"/>
        <v>0</v>
      </c>
      <c r="HW92" s="15">
        <f t="shared" si="162"/>
        <v>5.2346197955477382E-2</v>
      </c>
      <c r="HX92" s="28">
        <f t="shared" si="163"/>
        <v>1.5267108725198377</v>
      </c>
      <c r="HY92" s="28">
        <f t="shared" si="164"/>
        <v>29.165649696628755</v>
      </c>
      <c r="HZ92" s="33"/>
      <c r="ID92" s="31"/>
      <c r="II92" s="12"/>
      <c r="IL92" s="35">
        <f t="shared" si="109"/>
        <v>0</v>
      </c>
      <c r="IM92" s="35">
        <f t="shared" si="110"/>
        <v>3930.8268396881667</v>
      </c>
      <c r="IN92" s="15">
        <f t="shared" si="165"/>
        <v>1.1097896730049317</v>
      </c>
      <c r="IO92" s="28">
        <f t="shared" si="166"/>
        <v>151.42950386872906</v>
      </c>
      <c r="IP92" s="28">
        <f t="shared" si="167"/>
        <v>136.44883129855555</v>
      </c>
      <c r="IQ92" s="33"/>
      <c r="IU92" s="31"/>
      <c r="JC92" s="35">
        <f t="shared" si="111"/>
        <v>0</v>
      </c>
      <c r="JD92" s="35">
        <f t="shared" si="112"/>
        <v>4765.6374915584238</v>
      </c>
      <c r="JE92" s="15" t="e">
        <f t="shared" si="168"/>
        <v>#DIV/0!</v>
      </c>
      <c r="JF92" s="28">
        <f t="shared" si="169"/>
        <v>0</v>
      </c>
      <c r="JG92" s="28">
        <f t="shared" si="170"/>
        <v>0</v>
      </c>
      <c r="JH92" s="33"/>
      <c r="JL92" s="31"/>
      <c r="JR92" s="99"/>
      <c r="JS92" s="99"/>
      <c r="JT92" s="99"/>
      <c r="JU92" s="99"/>
      <c r="JV92" s="99"/>
      <c r="JW92" s="99"/>
      <c r="JX92" s="99"/>
      <c r="JY92" s="99"/>
      <c r="JZ92" s="99"/>
      <c r="KA92" s="99"/>
      <c r="KB92" s="99"/>
      <c r="KC92" s="99"/>
      <c r="KD92" s="99"/>
      <c r="KE92" s="99"/>
      <c r="KF92" s="99"/>
      <c r="KG92" s="99"/>
      <c r="KH92" s="99"/>
      <c r="KI92" s="99"/>
      <c r="KJ92" s="99"/>
      <c r="KK92" s="99"/>
      <c r="KL92" s="99"/>
      <c r="KM92" s="99"/>
      <c r="KN92" s="99"/>
      <c r="KO92" s="99"/>
      <c r="KP92" s="99"/>
      <c r="KQ92" s="99"/>
      <c r="KR92" s="99"/>
      <c r="KS92" s="99"/>
      <c r="KT92" s="99"/>
      <c r="KU92" s="99"/>
      <c r="KV92" s="99"/>
      <c r="KW92" s="99"/>
      <c r="KX92" s="99"/>
      <c r="KY92" s="99"/>
      <c r="KZ92" s="99"/>
      <c r="LA92" s="99"/>
      <c r="LB92" s="99"/>
      <c r="LC92" s="99"/>
      <c r="LD92" s="99"/>
      <c r="LE92" s="99"/>
      <c r="LF92" s="99"/>
      <c r="LG92" s="99"/>
      <c r="LH92" s="99"/>
      <c r="LI92" s="99"/>
      <c r="LJ92" s="99"/>
      <c r="LK92" s="99"/>
      <c r="LL92" s="99"/>
      <c r="LM92" s="99"/>
      <c r="LN92" s="99"/>
      <c r="LO92" s="99"/>
      <c r="LP92" s="99"/>
      <c r="LQ92" s="99"/>
      <c r="LR92" s="99"/>
      <c r="LS92" s="99"/>
      <c r="LT92" s="99"/>
      <c r="LU92" s="99"/>
      <c r="LV92" s="99"/>
      <c r="LW92" s="99"/>
      <c r="LX92" s="99"/>
      <c r="LY92" s="99"/>
      <c r="LZ92" s="99"/>
      <c r="MA92" s="99"/>
      <c r="MB92" s="99"/>
      <c r="MC92" s="99"/>
      <c r="MD92" s="99"/>
      <c r="ME92" s="99"/>
      <c r="MF92" s="99"/>
    </row>
    <row r="93" spans="1:344" ht="17.25" customHeight="1" x14ac:dyDescent="0.25">
      <c r="A93" s="156"/>
      <c r="B93" s="90" t="s">
        <v>6</v>
      </c>
      <c r="C93" s="91">
        <v>45227</v>
      </c>
      <c r="D93" s="49"/>
      <c r="G93" s="89">
        <f t="shared" si="93"/>
        <v>0</v>
      </c>
      <c r="H93" s="35">
        <f t="shared" si="94"/>
        <v>0</v>
      </c>
      <c r="I93" s="39">
        <v>10</v>
      </c>
      <c r="K93" s="103">
        <v>100</v>
      </c>
      <c r="L93" s="89">
        <f t="shared" si="95"/>
        <v>7.7</v>
      </c>
      <c r="M93" s="35">
        <f t="shared" si="113"/>
        <v>770</v>
      </c>
      <c r="N93" s="35">
        <f t="shared" si="114"/>
        <v>770</v>
      </c>
      <c r="O93" s="97"/>
      <c r="P93" s="150"/>
      <c r="W93" s="11">
        <v>0</v>
      </c>
      <c r="X93" s="1">
        <v>7</v>
      </c>
      <c r="Y93" s="35">
        <f t="shared" si="96"/>
        <v>700</v>
      </c>
      <c r="Z93" s="35">
        <f t="shared" si="115"/>
        <v>0</v>
      </c>
      <c r="AA93" s="15">
        <f t="shared" si="128"/>
        <v>1.1080633341911894</v>
      </c>
      <c r="AB93" s="43">
        <f t="shared" si="173"/>
        <v>584.18941877564873</v>
      </c>
      <c r="AC93" s="43">
        <f t="shared" si="174"/>
        <v>527.21663171182104</v>
      </c>
      <c r="AD93" s="33"/>
      <c r="AH93" s="31"/>
      <c r="AO93" s="1">
        <v>9</v>
      </c>
      <c r="AP93" s="35">
        <f t="shared" si="97"/>
        <v>900</v>
      </c>
      <c r="AQ93" s="35">
        <f t="shared" si="116"/>
        <v>0</v>
      </c>
      <c r="AR93" s="15">
        <f t="shared" si="129"/>
        <v>1.6970092615791612</v>
      </c>
      <c r="AS93" s="28">
        <f t="shared" si="130"/>
        <v>434.68633256917639</v>
      </c>
      <c r="AT93" s="28">
        <f t="shared" si="131"/>
        <v>256.14847391267426</v>
      </c>
      <c r="AU93" s="33"/>
      <c r="AY93" s="31"/>
      <c r="BG93" s="35">
        <f t="shared" si="98"/>
        <v>0</v>
      </c>
      <c r="BH93" s="35">
        <f t="shared" si="117"/>
        <v>0</v>
      </c>
      <c r="BI93" s="15">
        <f t="shared" si="132"/>
        <v>0.8789535642938604</v>
      </c>
      <c r="BJ93" s="28">
        <f t="shared" si="133"/>
        <v>385.12851561589844</v>
      </c>
      <c r="BK93" s="28">
        <f t="shared" si="134"/>
        <v>438.16707874130481</v>
      </c>
      <c r="BL93" s="33"/>
      <c r="BP93" s="31"/>
      <c r="BW93" s="1">
        <v>8</v>
      </c>
      <c r="BX93" s="35">
        <f t="shared" si="99"/>
        <v>800</v>
      </c>
      <c r="BY93" s="35">
        <f t="shared" si="118"/>
        <v>0</v>
      </c>
      <c r="BZ93" s="15">
        <f t="shared" si="135"/>
        <v>1.2343470961142813</v>
      </c>
      <c r="CA93" s="28">
        <f t="shared" si="136"/>
        <v>507.59148463642288</v>
      </c>
      <c r="CB93" s="28">
        <f t="shared" si="137"/>
        <v>411.22265060963679</v>
      </c>
      <c r="CC93" s="33"/>
      <c r="CG93" s="31"/>
      <c r="CN93" s="1">
        <v>7.5</v>
      </c>
      <c r="CO93" s="35">
        <f t="shared" si="100"/>
        <v>750</v>
      </c>
      <c r="CP93" s="35">
        <f t="shared" si="119"/>
        <v>0</v>
      </c>
      <c r="CQ93" s="15">
        <f t="shared" si="138"/>
        <v>1.3007145410930552</v>
      </c>
      <c r="CR93" s="28">
        <f t="shared" si="139"/>
        <v>582.81885558375006</v>
      </c>
      <c r="CS93" s="28">
        <f t="shared" si="140"/>
        <v>448.07591302391251</v>
      </c>
      <c r="CT93" s="33"/>
      <c r="CX93" s="31"/>
      <c r="DE93" s="1">
        <v>7.5</v>
      </c>
      <c r="DF93" s="35">
        <f t="shared" si="101"/>
        <v>750</v>
      </c>
      <c r="DG93" s="35">
        <f t="shared" si="120"/>
        <v>0</v>
      </c>
      <c r="DH93" s="15">
        <f t="shared" si="141"/>
        <v>1.133909190648936</v>
      </c>
      <c r="DI93" s="28">
        <f t="shared" si="142"/>
        <v>473.35688723487306</v>
      </c>
      <c r="DJ93" s="28">
        <f t="shared" si="143"/>
        <v>417.45572849971433</v>
      </c>
      <c r="DK93" s="33"/>
      <c r="DO93" s="31"/>
      <c r="DV93" s="1">
        <v>7</v>
      </c>
      <c r="DW93" s="35">
        <f t="shared" si="102"/>
        <v>700</v>
      </c>
      <c r="DX93" s="35">
        <f t="shared" si="121"/>
        <v>0</v>
      </c>
      <c r="DY93" s="15">
        <f t="shared" si="144"/>
        <v>1.2038594143829635</v>
      </c>
      <c r="DZ93" s="28">
        <f t="shared" si="145"/>
        <v>453.58837097657818</v>
      </c>
      <c r="EA93" s="28">
        <f t="shared" si="146"/>
        <v>376.77852210763689</v>
      </c>
      <c r="EB93" s="33"/>
      <c r="EF93" s="31"/>
      <c r="EM93" s="1">
        <v>6</v>
      </c>
      <c r="EN93" s="35">
        <f t="shared" si="103"/>
        <v>600</v>
      </c>
      <c r="EO93" s="35">
        <f t="shared" si="122"/>
        <v>0</v>
      </c>
      <c r="EP93" s="15">
        <f t="shared" si="147"/>
        <v>1.0982140834956056</v>
      </c>
      <c r="EQ93" s="28">
        <f t="shared" si="148"/>
        <v>606.27461830673144</v>
      </c>
      <c r="ER93" s="28">
        <f t="shared" si="149"/>
        <v>552.05503864689547</v>
      </c>
      <c r="ES93" s="33"/>
      <c r="EW93" s="31"/>
      <c r="FD93" s="1">
        <v>8</v>
      </c>
      <c r="FE93" s="35">
        <f t="shared" si="104"/>
        <v>800</v>
      </c>
      <c r="FF93" s="35">
        <f t="shared" si="123"/>
        <v>0</v>
      </c>
      <c r="FG93" s="15">
        <f t="shared" si="150"/>
        <v>1.1750512482265032</v>
      </c>
      <c r="FH93" s="28">
        <f t="shared" si="151"/>
        <v>641.47375903382556</v>
      </c>
      <c r="FI93" s="28">
        <f t="shared" si="152"/>
        <v>545.91130387036094</v>
      </c>
      <c r="FJ93" s="33"/>
      <c r="FN93" s="31"/>
      <c r="FU93" s="1">
        <v>7.5</v>
      </c>
      <c r="FV93" s="35">
        <f t="shared" si="105"/>
        <v>750</v>
      </c>
      <c r="FW93" s="35">
        <f t="shared" si="124"/>
        <v>0</v>
      </c>
      <c r="FX93" s="15">
        <f t="shared" si="153"/>
        <v>1.1417306892690429</v>
      </c>
      <c r="FY93" s="28">
        <f t="shared" si="154"/>
        <v>569.70227004392495</v>
      </c>
      <c r="FZ93" s="28">
        <f t="shared" si="155"/>
        <v>498.98130566032074</v>
      </c>
      <c r="GA93" s="33"/>
      <c r="GE93" s="31"/>
      <c r="GL93" s="1">
        <v>9.5</v>
      </c>
      <c r="GM93" s="35">
        <f t="shared" si="106"/>
        <v>950</v>
      </c>
      <c r="GN93" s="35">
        <f t="shared" si="125"/>
        <v>0</v>
      </c>
      <c r="GO93" s="15">
        <f t="shared" si="156"/>
        <v>1.0594081205455281</v>
      </c>
      <c r="GP93" s="28">
        <f t="shared" si="157"/>
        <v>434.58426934472106</v>
      </c>
      <c r="GQ93" s="28">
        <f t="shared" si="158"/>
        <v>410.21421387721443</v>
      </c>
      <c r="GR93" s="33"/>
      <c r="GV93" s="31"/>
      <c r="HD93" s="35">
        <f t="shared" si="107"/>
        <v>0</v>
      </c>
      <c r="HE93" s="35">
        <f t="shared" si="126"/>
        <v>0</v>
      </c>
      <c r="HF93" s="15">
        <f t="shared" si="159"/>
        <v>0.65404534183123764</v>
      </c>
      <c r="HG93" s="28">
        <f t="shared" si="160"/>
        <v>139.64265643457378</v>
      </c>
      <c r="HH93" s="28">
        <f t="shared" si="161"/>
        <v>213.50607901830386</v>
      </c>
      <c r="HI93" s="33"/>
      <c r="HM93" s="31"/>
      <c r="HU93" s="35">
        <f t="shared" si="108"/>
        <v>0</v>
      </c>
      <c r="HV93" s="35">
        <f t="shared" si="127"/>
        <v>0</v>
      </c>
      <c r="HW93" s="15">
        <f t="shared" si="162"/>
        <v>4.2167770575245671E-2</v>
      </c>
      <c r="HX93" s="28">
        <f t="shared" si="163"/>
        <v>1.1450331543898784</v>
      </c>
      <c r="HY93" s="28">
        <f t="shared" si="164"/>
        <v>27.154225579619876</v>
      </c>
      <c r="HZ93" s="33"/>
      <c r="ID93" s="31"/>
      <c r="II93" s="12"/>
      <c r="IL93" s="35">
        <f t="shared" si="109"/>
        <v>0</v>
      </c>
      <c r="IM93" s="35">
        <f t="shared" si="110"/>
        <v>4890.1822328822182</v>
      </c>
      <c r="IN93" s="15">
        <f t="shared" si="165"/>
        <v>0.89399723658730612</v>
      </c>
      <c r="IO93" s="28">
        <f t="shared" si="166"/>
        <v>113.57212790154679</v>
      </c>
      <c r="IP93" s="28">
        <f t="shared" si="167"/>
        <v>127.03856707106895</v>
      </c>
      <c r="IQ93" s="33"/>
      <c r="IU93" s="31"/>
      <c r="JC93" s="35">
        <f t="shared" si="111"/>
        <v>0</v>
      </c>
      <c r="JD93" s="35">
        <f t="shared" si="112"/>
        <v>5325.5571310778414</v>
      </c>
      <c r="JE93" s="15" t="e">
        <f t="shared" si="168"/>
        <v>#DIV/0!</v>
      </c>
      <c r="JF93" s="28">
        <f t="shared" si="169"/>
        <v>0</v>
      </c>
      <c r="JG93" s="28">
        <f t="shared" si="170"/>
        <v>0</v>
      </c>
      <c r="JH93" s="33"/>
      <c r="JL93" s="31"/>
      <c r="JR93" s="99"/>
      <c r="JS93" s="99"/>
      <c r="JT93" s="99"/>
      <c r="JU93" s="99"/>
      <c r="JV93" s="99"/>
      <c r="JW93" s="99"/>
      <c r="JX93" s="99"/>
      <c r="JY93" s="99"/>
      <c r="JZ93" s="99"/>
      <c r="KA93" s="99"/>
      <c r="KB93" s="99"/>
      <c r="KC93" s="99"/>
      <c r="KD93" s="99"/>
      <c r="KE93" s="99"/>
      <c r="KF93" s="99"/>
      <c r="KG93" s="99"/>
      <c r="KH93" s="99"/>
      <c r="KI93" s="99"/>
      <c r="KJ93" s="99"/>
      <c r="KK93" s="99"/>
      <c r="KL93" s="99"/>
      <c r="KM93" s="99"/>
      <c r="KN93" s="99"/>
      <c r="KO93" s="99"/>
      <c r="KP93" s="99"/>
      <c r="KQ93" s="99"/>
      <c r="KR93" s="99"/>
      <c r="KS93" s="99"/>
      <c r="KT93" s="99"/>
      <c r="KU93" s="99"/>
      <c r="KV93" s="99"/>
      <c r="KW93" s="99"/>
      <c r="KX93" s="99"/>
      <c r="KY93" s="99"/>
      <c r="KZ93" s="99"/>
      <c r="LA93" s="99"/>
      <c r="LB93" s="99"/>
      <c r="LC93" s="99"/>
      <c r="LD93" s="99"/>
      <c r="LE93" s="99"/>
      <c r="LF93" s="99"/>
      <c r="LG93" s="99"/>
      <c r="LH93" s="99"/>
      <c r="LI93" s="99"/>
      <c r="LJ93" s="99"/>
      <c r="LK93" s="99"/>
      <c r="LL93" s="99"/>
      <c r="LM93" s="99"/>
      <c r="LN93" s="99"/>
      <c r="LO93" s="99"/>
      <c r="LP93" s="99"/>
      <c r="LQ93" s="99"/>
      <c r="LR93" s="99"/>
      <c r="LS93" s="99"/>
      <c r="LT93" s="99"/>
      <c r="LU93" s="99"/>
      <c r="LV93" s="99"/>
      <c r="LW93" s="99"/>
      <c r="LX93" s="99"/>
      <c r="LY93" s="99"/>
      <c r="LZ93" s="99"/>
      <c r="MA93" s="99"/>
      <c r="MB93" s="99"/>
      <c r="MC93" s="99"/>
      <c r="MD93" s="99"/>
      <c r="ME93" s="99"/>
      <c r="MF93" s="99"/>
    </row>
    <row r="94" spans="1:344" ht="17.25" customHeight="1" x14ac:dyDescent="0.25">
      <c r="A94" s="157"/>
      <c r="B94" s="83" t="s">
        <v>7</v>
      </c>
      <c r="C94" s="84">
        <v>45228</v>
      </c>
      <c r="D94" s="51"/>
      <c r="E94" s="48"/>
      <c r="F94" s="104"/>
      <c r="G94" s="37">
        <f t="shared" si="93"/>
        <v>0</v>
      </c>
      <c r="H94" s="26">
        <f t="shared" si="94"/>
        <v>0</v>
      </c>
      <c r="I94" s="48"/>
      <c r="J94" s="48"/>
      <c r="K94" s="104"/>
      <c r="L94" s="37">
        <f t="shared" si="95"/>
        <v>0</v>
      </c>
      <c r="M94" s="26">
        <f t="shared" si="113"/>
        <v>0</v>
      </c>
      <c r="N94" s="26">
        <f t="shared" si="114"/>
        <v>0</v>
      </c>
      <c r="O94" s="98"/>
      <c r="P94" s="151"/>
      <c r="W94" s="13">
        <v>0</v>
      </c>
      <c r="X94" s="2">
        <v>0</v>
      </c>
      <c r="Y94" s="26">
        <f t="shared" si="96"/>
        <v>0</v>
      </c>
      <c r="Z94" s="26">
        <f t="shared" si="115"/>
        <v>0</v>
      </c>
      <c r="AA94" s="16">
        <f t="shared" si="128"/>
        <v>0.89260657476512473</v>
      </c>
      <c r="AB94" s="44">
        <f t="shared" si="173"/>
        <v>438.14206408173652</v>
      </c>
      <c r="AC94" s="44">
        <f t="shared" si="174"/>
        <v>490.85686400755748</v>
      </c>
      <c r="AD94" s="34"/>
      <c r="AE94" s="4"/>
      <c r="AF94" s="5"/>
      <c r="AG94" s="6"/>
      <c r="AH94" s="32"/>
      <c r="AI94" s="3"/>
      <c r="AJ94" s="4"/>
      <c r="AK94" s="5"/>
      <c r="AL94" s="6"/>
      <c r="AM94" s="14"/>
      <c r="AN94" s="13"/>
      <c r="AO94" s="2"/>
      <c r="AP94" s="26">
        <f t="shared" si="97"/>
        <v>0</v>
      </c>
      <c r="AQ94" s="26">
        <f t="shared" si="116"/>
        <v>0</v>
      </c>
      <c r="AR94" s="16">
        <f t="shared" si="129"/>
        <v>1.3670352384943243</v>
      </c>
      <c r="AS94" s="29">
        <f t="shared" si="130"/>
        <v>326.0147494268823</v>
      </c>
      <c r="AT94" s="29">
        <f t="shared" si="131"/>
        <v>238.48306191869673</v>
      </c>
      <c r="AU94" s="34"/>
      <c r="AV94" s="4"/>
      <c r="AW94" s="5"/>
      <c r="AX94" s="6"/>
      <c r="AY94" s="32"/>
      <c r="AZ94" s="3"/>
      <c r="BA94" s="4"/>
      <c r="BB94" s="5"/>
      <c r="BC94" s="6"/>
      <c r="BD94" s="14"/>
      <c r="BE94" s="13"/>
      <c r="BF94" s="2"/>
      <c r="BG94" s="26">
        <f t="shared" si="98"/>
        <v>0</v>
      </c>
      <c r="BH94" s="26">
        <f t="shared" si="117"/>
        <v>0</v>
      </c>
      <c r="BI94" s="16">
        <f t="shared" si="132"/>
        <v>0.70804592679227651</v>
      </c>
      <c r="BJ94" s="29">
        <f t="shared" si="133"/>
        <v>288.84638671192386</v>
      </c>
      <c r="BK94" s="29">
        <f t="shared" si="134"/>
        <v>407.94865951776654</v>
      </c>
      <c r="BL94" s="34"/>
      <c r="BM94" s="4"/>
      <c r="BN94" s="5"/>
      <c r="BO94" s="6"/>
      <c r="BP94" s="32"/>
      <c r="BQ94" s="3"/>
      <c r="BR94" s="4"/>
      <c r="BS94" s="5"/>
      <c r="BT94" s="6"/>
      <c r="BU94" s="14"/>
      <c r="BV94" s="13"/>
      <c r="BW94" s="2"/>
      <c r="BX94" s="26">
        <f t="shared" si="99"/>
        <v>0</v>
      </c>
      <c r="BY94" s="26">
        <f t="shared" si="118"/>
        <v>0</v>
      </c>
      <c r="BZ94" s="16">
        <f t="shared" si="135"/>
        <v>0.99433516075872674</v>
      </c>
      <c r="CA94" s="29">
        <f t="shared" si="136"/>
        <v>380.69361347731717</v>
      </c>
      <c r="CB94" s="29">
        <f t="shared" si="137"/>
        <v>382.86246780897216</v>
      </c>
      <c r="CC94" s="34"/>
      <c r="CD94" s="4"/>
      <c r="CE94" s="5"/>
      <c r="CF94" s="6"/>
      <c r="CG94" s="32"/>
      <c r="CH94" s="3"/>
      <c r="CI94" s="4"/>
      <c r="CJ94" s="5"/>
      <c r="CK94" s="6"/>
      <c r="CL94" s="14"/>
      <c r="CM94" s="13"/>
      <c r="CN94" s="2"/>
      <c r="CO94" s="26">
        <f t="shared" si="100"/>
        <v>0</v>
      </c>
      <c r="CP94" s="26">
        <f t="shared" si="119"/>
        <v>0</v>
      </c>
      <c r="CQ94" s="16">
        <f t="shared" si="138"/>
        <v>1.0477978247694055</v>
      </c>
      <c r="CR94" s="29">
        <f t="shared" si="139"/>
        <v>437.11414168781255</v>
      </c>
      <c r="CS94" s="29">
        <f t="shared" si="140"/>
        <v>417.17412591881509</v>
      </c>
      <c r="CT94" s="34"/>
      <c r="CU94" s="4"/>
      <c r="CV94" s="5"/>
      <c r="CW94" s="6"/>
      <c r="CX94" s="32"/>
      <c r="CY94" s="3"/>
      <c r="CZ94" s="4"/>
      <c r="DA94" s="5"/>
      <c r="DB94" s="6"/>
      <c r="DC94" s="14"/>
      <c r="DD94" s="13"/>
      <c r="DE94" s="2"/>
      <c r="DF94" s="26">
        <f t="shared" si="101"/>
        <v>0</v>
      </c>
      <c r="DG94" s="26">
        <f t="shared" si="120"/>
        <v>0</v>
      </c>
      <c r="DH94" s="16">
        <f t="shared" si="141"/>
        <v>0.91342684802275409</v>
      </c>
      <c r="DI94" s="29">
        <f t="shared" si="142"/>
        <v>355.01766542615479</v>
      </c>
      <c r="DJ94" s="29">
        <f t="shared" si="143"/>
        <v>388.66567825835472</v>
      </c>
      <c r="DK94" s="34"/>
      <c r="DL94" s="4"/>
      <c r="DM94" s="5"/>
      <c r="DN94" s="6"/>
      <c r="DO94" s="32"/>
      <c r="DP94" s="3"/>
      <c r="DQ94" s="4"/>
      <c r="DR94" s="5"/>
      <c r="DS94" s="6"/>
      <c r="DT94" s="14"/>
      <c r="DU94" s="95"/>
      <c r="DV94" s="96"/>
      <c r="DW94" s="26">
        <f t="shared" si="102"/>
        <v>0</v>
      </c>
      <c r="DX94" s="26">
        <f t="shared" si="121"/>
        <v>0</v>
      </c>
      <c r="DY94" s="16">
        <f t="shared" si="144"/>
        <v>0.96977563936405398</v>
      </c>
      <c r="DZ94" s="29">
        <f t="shared" si="145"/>
        <v>340.19127823243366</v>
      </c>
      <c r="EA94" s="29">
        <f t="shared" si="146"/>
        <v>350.79379644504121</v>
      </c>
      <c r="EB94" s="34"/>
      <c r="EC94" s="4"/>
      <c r="ED94" s="5"/>
      <c r="EE94" s="6"/>
      <c r="EF94" s="32"/>
      <c r="EG94" s="3"/>
      <c r="EH94" s="4"/>
      <c r="EI94" s="5"/>
      <c r="EJ94" s="6"/>
      <c r="EK94" s="14"/>
      <c r="EL94" s="13"/>
      <c r="EM94" s="2"/>
      <c r="EN94" s="26">
        <f t="shared" si="103"/>
        <v>0</v>
      </c>
      <c r="EO94" s="26">
        <f t="shared" si="122"/>
        <v>0</v>
      </c>
      <c r="EP94" s="16">
        <f t="shared" si="147"/>
        <v>0.88467245614923773</v>
      </c>
      <c r="EQ94" s="29">
        <f t="shared" si="148"/>
        <v>454.70596373004855</v>
      </c>
      <c r="ER94" s="29">
        <f t="shared" si="149"/>
        <v>513.98227736090269</v>
      </c>
      <c r="ES94" s="34"/>
      <c r="ET94" s="4"/>
      <c r="EU94" s="5"/>
      <c r="EV94" s="6"/>
      <c r="EW94" s="32"/>
      <c r="EX94" s="3"/>
      <c r="EY94" s="4"/>
      <c r="EZ94" s="5"/>
      <c r="FA94" s="6"/>
      <c r="FB94" s="14"/>
      <c r="FC94" s="13"/>
      <c r="FD94" s="2"/>
      <c r="FE94" s="26">
        <f t="shared" si="104"/>
        <v>0</v>
      </c>
      <c r="FF94" s="26">
        <f t="shared" si="123"/>
        <v>0</v>
      </c>
      <c r="FG94" s="16">
        <f t="shared" si="150"/>
        <v>0.94656906107134997</v>
      </c>
      <c r="FH94" s="29">
        <f t="shared" si="151"/>
        <v>481.1053192753692</v>
      </c>
      <c r="FI94" s="29">
        <f t="shared" si="152"/>
        <v>508.26224843102568</v>
      </c>
      <c r="FJ94" s="34"/>
      <c r="FK94" s="4"/>
      <c r="FL94" s="5"/>
      <c r="FM94" s="6"/>
      <c r="FN94" s="32"/>
      <c r="FO94" s="3"/>
      <c r="FP94" s="4"/>
      <c r="FQ94" s="5"/>
      <c r="FR94" s="6"/>
      <c r="FS94" s="14"/>
      <c r="FT94" s="13"/>
      <c r="FU94" s="2"/>
      <c r="FV94" s="26">
        <f t="shared" si="105"/>
        <v>0</v>
      </c>
      <c r="FW94" s="26">
        <f t="shared" si="124"/>
        <v>0</v>
      </c>
      <c r="FX94" s="16">
        <f t="shared" si="153"/>
        <v>0.91972749968895118</v>
      </c>
      <c r="FY94" s="29">
        <f t="shared" si="154"/>
        <v>427.27670253294372</v>
      </c>
      <c r="FZ94" s="29">
        <f t="shared" si="155"/>
        <v>464.56880182167794</v>
      </c>
      <c r="GA94" s="34"/>
      <c r="GB94" s="4"/>
      <c r="GC94" s="5"/>
      <c r="GD94" s="6"/>
      <c r="GE94" s="32"/>
      <c r="GF94" s="3"/>
      <c r="GG94" s="4"/>
      <c r="GH94" s="5"/>
      <c r="GI94" s="6"/>
      <c r="GJ94" s="14"/>
      <c r="GK94" s="13"/>
      <c r="GL94" s="2"/>
      <c r="GM94" s="26">
        <f t="shared" si="106"/>
        <v>0</v>
      </c>
      <c r="GN94" s="26">
        <f t="shared" si="125"/>
        <v>0</v>
      </c>
      <c r="GO94" s="16">
        <f t="shared" si="156"/>
        <v>0.85341209710611987</v>
      </c>
      <c r="GP94" s="29">
        <f t="shared" si="157"/>
        <v>325.93820200854077</v>
      </c>
      <c r="GQ94" s="29">
        <f t="shared" si="158"/>
        <v>381.92357843740655</v>
      </c>
      <c r="GR94" s="34"/>
      <c r="GS94" s="4"/>
      <c r="GT94" s="5"/>
      <c r="GU94" s="6"/>
      <c r="GV94" s="32"/>
      <c r="GW94" s="3"/>
      <c r="GX94" s="4"/>
      <c r="GY94" s="5"/>
      <c r="GZ94" s="6"/>
      <c r="HA94" s="14"/>
      <c r="HB94" s="13"/>
      <c r="HC94" s="2"/>
      <c r="HD94" s="26">
        <f t="shared" si="107"/>
        <v>0</v>
      </c>
      <c r="HE94" s="26">
        <f t="shared" si="126"/>
        <v>0</v>
      </c>
      <c r="HF94" s="16">
        <f t="shared" si="159"/>
        <v>0.5268698586973859</v>
      </c>
      <c r="HG94" s="29">
        <f t="shared" si="160"/>
        <v>104.73199232593034</v>
      </c>
      <c r="HH94" s="29">
        <f t="shared" si="161"/>
        <v>198.78152184462772</v>
      </c>
      <c r="HI94" s="34"/>
      <c r="HJ94" s="4"/>
      <c r="HK94" s="5"/>
      <c r="HL94" s="6"/>
      <c r="HM94" s="32"/>
      <c r="HN94" s="3"/>
      <c r="HO94" s="4"/>
      <c r="HP94" s="5"/>
      <c r="HQ94" s="6"/>
      <c r="HR94" s="14"/>
      <c r="HS94" s="13"/>
      <c r="HT94" s="2"/>
      <c r="HU94" s="26">
        <f t="shared" si="108"/>
        <v>0</v>
      </c>
      <c r="HV94" s="26">
        <f t="shared" si="127"/>
        <v>0</v>
      </c>
      <c r="HW94" s="16">
        <f t="shared" si="162"/>
        <v>3.396848185228124E-2</v>
      </c>
      <c r="HX94" s="29">
        <f t="shared" si="163"/>
        <v>0.8587748657924088</v>
      </c>
      <c r="HY94" s="29">
        <f t="shared" si="164"/>
        <v>25.281520367232297</v>
      </c>
      <c r="HZ94" s="34"/>
      <c r="IA94" s="4"/>
      <c r="IB94" s="5"/>
      <c r="IC94" s="6"/>
      <c r="ID94" s="32"/>
      <c r="IE94" s="3"/>
      <c r="IF94" s="4"/>
      <c r="IG94" s="5"/>
      <c r="IH94" s="6"/>
      <c r="II94" s="14"/>
      <c r="IJ94" s="13"/>
      <c r="IK94" s="2"/>
      <c r="IL94" s="26">
        <f t="shared" si="109"/>
        <v>0</v>
      </c>
      <c r="IM94" s="26">
        <f t="shared" si="110"/>
        <v>3440.069798436406</v>
      </c>
      <c r="IN94" s="16">
        <f t="shared" si="165"/>
        <v>0.72016444058421891</v>
      </c>
      <c r="IO94" s="29">
        <f t="shared" si="166"/>
        <v>85.179095926160102</v>
      </c>
      <c r="IP94" s="29">
        <f t="shared" si="167"/>
        <v>118.27728658340902</v>
      </c>
      <c r="IQ94" s="34"/>
      <c r="IR94" s="4"/>
      <c r="IS94" s="5"/>
      <c r="IT94" s="6"/>
      <c r="IU94" s="32"/>
      <c r="IV94" s="3"/>
      <c r="IW94" s="4"/>
      <c r="IX94" s="5"/>
      <c r="IY94" s="6"/>
      <c r="IZ94" s="14"/>
      <c r="JA94" s="13"/>
      <c r="JB94" s="2"/>
      <c r="JC94" s="26">
        <f t="shared" si="111"/>
        <v>0</v>
      </c>
      <c r="JD94" s="26">
        <f t="shared" si="112"/>
        <v>3837.4705898196339</v>
      </c>
      <c r="JE94" s="16" t="e">
        <f t="shared" si="168"/>
        <v>#DIV/0!</v>
      </c>
      <c r="JF94" s="29">
        <f t="shared" si="169"/>
        <v>0</v>
      </c>
      <c r="JG94" s="29">
        <f t="shared" si="170"/>
        <v>0</v>
      </c>
      <c r="JH94" s="34"/>
      <c r="JI94" s="4"/>
      <c r="JJ94" s="5"/>
      <c r="JK94" s="6"/>
      <c r="JL94" s="32"/>
      <c r="JM94" s="3"/>
      <c r="JN94" s="4"/>
      <c r="JO94" s="5"/>
      <c r="JP94" s="6"/>
      <c r="JQ94" s="14"/>
      <c r="JR94" s="99"/>
      <c r="JS94" s="99"/>
      <c r="JT94" s="99"/>
      <c r="JU94" s="99"/>
      <c r="JV94" s="99"/>
      <c r="JW94" s="99"/>
      <c r="JX94" s="99"/>
      <c r="JY94" s="99"/>
      <c r="JZ94" s="99"/>
      <c r="KA94" s="99"/>
      <c r="KB94" s="99"/>
      <c r="KC94" s="99"/>
      <c r="KD94" s="99"/>
      <c r="KE94" s="99"/>
      <c r="KF94" s="99"/>
      <c r="KG94" s="99"/>
      <c r="KH94" s="99"/>
      <c r="KI94" s="99"/>
      <c r="KJ94" s="99"/>
      <c r="KK94" s="99"/>
      <c r="KL94" s="99"/>
      <c r="KM94" s="99"/>
      <c r="KN94" s="99"/>
      <c r="KO94" s="99"/>
      <c r="KP94" s="99"/>
      <c r="KQ94" s="99"/>
      <c r="KR94" s="99"/>
      <c r="KS94" s="99"/>
      <c r="KT94" s="99"/>
      <c r="KU94" s="99"/>
      <c r="KV94" s="99"/>
      <c r="KW94" s="99"/>
      <c r="KX94" s="99"/>
      <c r="KY94" s="99"/>
      <c r="KZ94" s="99"/>
      <c r="LA94" s="99"/>
      <c r="LB94" s="99"/>
      <c r="LC94" s="99"/>
      <c r="LD94" s="99"/>
      <c r="LE94" s="99"/>
      <c r="LF94" s="99"/>
      <c r="LG94" s="99"/>
      <c r="LH94" s="99"/>
      <c r="LI94" s="99"/>
      <c r="LJ94" s="99"/>
      <c r="LK94" s="99"/>
      <c r="LL94" s="99"/>
      <c r="LM94" s="99"/>
      <c r="LN94" s="99"/>
      <c r="LO94" s="99"/>
      <c r="LP94" s="99"/>
      <c r="LQ94" s="99"/>
      <c r="LR94" s="99"/>
      <c r="LS94" s="99"/>
      <c r="LT94" s="99"/>
      <c r="LU94" s="99"/>
      <c r="LV94" s="99"/>
      <c r="LW94" s="99"/>
      <c r="LX94" s="99"/>
      <c r="LY94" s="99"/>
      <c r="LZ94" s="99"/>
      <c r="MA94" s="99"/>
      <c r="MB94" s="99"/>
      <c r="MC94" s="99"/>
      <c r="MD94" s="99"/>
      <c r="ME94" s="99"/>
      <c r="MF94" s="99"/>
    </row>
    <row r="95" spans="1:344" ht="17.25" customHeight="1" x14ac:dyDescent="0.25">
      <c r="A95" s="155" t="s">
        <v>19</v>
      </c>
      <c r="B95" s="79" t="s">
        <v>1</v>
      </c>
      <c r="C95" s="80">
        <v>45229</v>
      </c>
      <c r="D95" s="50" t="s">
        <v>90</v>
      </c>
      <c r="F95" s="103">
        <v>50</v>
      </c>
      <c r="G95" s="36">
        <f t="shared" si="93"/>
        <v>4.6875</v>
      </c>
      <c r="H95" s="27">
        <f t="shared" si="94"/>
        <v>234.375</v>
      </c>
      <c r="I95" s="47">
        <v>12</v>
      </c>
      <c r="K95" s="105">
        <v>65</v>
      </c>
      <c r="L95" s="89">
        <f t="shared" si="95"/>
        <v>6.625</v>
      </c>
      <c r="M95" s="27">
        <f t="shared" si="113"/>
        <v>430.625</v>
      </c>
      <c r="N95" s="35">
        <f t="shared" si="114"/>
        <v>665</v>
      </c>
      <c r="O95" s="97"/>
      <c r="P95" s="149">
        <f t="shared" ref="P95" si="175">SUM(N95:N101)</f>
        <v>3964.9788888888888</v>
      </c>
      <c r="W95" s="11">
        <v>6</v>
      </c>
      <c r="X95" s="1">
        <v>7.5</v>
      </c>
      <c r="Y95" s="27">
        <f t="shared" si="96"/>
        <v>787.5</v>
      </c>
      <c r="Z95" s="27">
        <f t="shared" si="115"/>
        <v>0</v>
      </c>
      <c r="AA95" s="15">
        <f t="shared" si="128"/>
        <v>1.0277060841758232</v>
      </c>
      <c r="AB95" s="43">
        <f t="shared" si="173"/>
        <v>525.48154806130242</v>
      </c>
      <c r="AC95" s="43">
        <f t="shared" si="174"/>
        <v>511.31501131738111</v>
      </c>
      <c r="AD95" s="33"/>
      <c r="AH95" s="31"/>
      <c r="AO95" s="1">
        <v>9</v>
      </c>
      <c r="AP95" s="27">
        <f t="shared" si="97"/>
        <v>585</v>
      </c>
      <c r="AQ95" s="27">
        <f t="shared" si="116"/>
        <v>0</v>
      </c>
      <c r="AR95" s="15">
        <f t="shared" si="129"/>
        <v>1.489289952601462</v>
      </c>
      <c r="AS95" s="28">
        <f t="shared" si="130"/>
        <v>390.76106207016176</v>
      </c>
      <c r="AT95" s="28">
        <f t="shared" si="131"/>
        <v>262.38078178637284</v>
      </c>
      <c r="AU95" s="33"/>
      <c r="AY95" s="31"/>
      <c r="BE95" s="11">
        <v>4</v>
      </c>
      <c r="BF95" s="1">
        <v>7.25</v>
      </c>
      <c r="BG95" s="27">
        <f t="shared" si="98"/>
        <v>671.25</v>
      </c>
      <c r="BH95" s="27">
        <f t="shared" si="117"/>
        <v>0</v>
      </c>
      <c r="BI95" s="15">
        <f t="shared" si="132"/>
        <v>0.90223102134796596</v>
      </c>
      <c r="BJ95" s="28">
        <f t="shared" si="133"/>
        <v>384.44729003394286</v>
      </c>
      <c r="BK95" s="28">
        <f t="shared" si="134"/>
        <v>426.10737265447227</v>
      </c>
      <c r="BL95" s="33"/>
      <c r="BP95" s="31"/>
      <c r="BV95" s="11">
        <v>5</v>
      </c>
      <c r="BW95" s="1">
        <v>5</v>
      </c>
      <c r="BX95" s="27">
        <f t="shared" si="99"/>
        <v>575</v>
      </c>
      <c r="BY95" s="27">
        <f t="shared" si="118"/>
        <v>0</v>
      </c>
      <c r="BZ95" s="15">
        <f t="shared" si="135"/>
        <v>1.0837055340560349</v>
      </c>
      <c r="CA95" s="28">
        <f t="shared" si="136"/>
        <v>429.27021010798785</v>
      </c>
      <c r="CB95" s="28">
        <f t="shared" si="137"/>
        <v>396.11333209800853</v>
      </c>
      <c r="CC95" s="33"/>
      <c r="CG95" s="31"/>
      <c r="CM95" s="11">
        <v>5</v>
      </c>
      <c r="CN95" s="1">
        <v>6.5</v>
      </c>
      <c r="CO95" s="27">
        <f t="shared" si="100"/>
        <v>672.5</v>
      </c>
      <c r="CP95" s="27">
        <f t="shared" si="119"/>
        <v>0</v>
      </c>
      <c r="CQ95" s="15">
        <f t="shared" si="138"/>
        <v>1.1407088744229386</v>
      </c>
      <c r="CR95" s="28">
        <f t="shared" si="139"/>
        <v>495.96060626585938</v>
      </c>
      <c r="CS95" s="28">
        <f t="shared" si="140"/>
        <v>434.78280688993129</v>
      </c>
      <c r="CT95" s="33"/>
      <c r="CX95" s="31"/>
      <c r="DD95" s="11">
        <v>2</v>
      </c>
      <c r="DE95" s="1">
        <v>4.5</v>
      </c>
      <c r="DF95" s="27">
        <f t="shared" si="101"/>
        <v>392.5</v>
      </c>
      <c r="DG95" s="27">
        <f t="shared" si="120"/>
        <v>0</v>
      </c>
      <c r="DH95" s="15">
        <f t="shared" si="141"/>
        <v>0.93689903591331858</v>
      </c>
      <c r="DI95" s="28">
        <f t="shared" si="142"/>
        <v>364.38824906961611</v>
      </c>
      <c r="DJ95" s="28">
        <f t="shared" si="143"/>
        <v>388.93011424053714</v>
      </c>
      <c r="DK95" s="33"/>
      <c r="DO95" s="31"/>
      <c r="DU95" s="86"/>
      <c r="DV95" s="87"/>
      <c r="DW95" s="27">
        <f t="shared" si="102"/>
        <v>0</v>
      </c>
      <c r="DX95" s="27">
        <f t="shared" si="121"/>
        <v>0</v>
      </c>
      <c r="DY95" s="15">
        <f t="shared" si="144"/>
        <v>0.7812081539321547</v>
      </c>
      <c r="DZ95" s="28">
        <f t="shared" si="145"/>
        <v>255.14345867432525</v>
      </c>
      <c r="EA95" s="28">
        <f t="shared" si="146"/>
        <v>326.6011208281418</v>
      </c>
      <c r="EB95" s="33"/>
      <c r="EF95" s="31"/>
      <c r="EL95" s="11">
        <v>5</v>
      </c>
      <c r="EM95" s="1">
        <v>6</v>
      </c>
      <c r="EN95" s="27">
        <f t="shared" si="103"/>
        <v>640</v>
      </c>
      <c r="EO95" s="27">
        <f t="shared" si="122"/>
        <v>0</v>
      </c>
      <c r="EP95" s="15">
        <f t="shared" si="147"/>
        <v>0.95859040819556762</v>
      </c>
      <c r="EQ95" s="28">
        <f t="shared" si="148"/>
        <v>501.02947279753641</v>
      </c>
      <c r="ER95" s="28">
        <f t="shared" si="149"/>
        <v>522.67315478428873</v>
      </c>
      <c r="ES95" s="33"/>
      <c r="EW95" s="31"/>
      <c r="FC95" s="11">
        <v>5</v>
      </c>
      <c r="FD95" s="1">
        <v>7</v>
      </c>
      <c r="FE95" s="27">
        <f t="shared" si="104"/>
        <v>705</v>
      </c>
      <c r="FF95" s="27">
        <f t="shared" si="123"/>
        <v>0</v>
      </c>
      <c r="FG95" s="15">
        <f t="shared" si="150"/>
        <v>1.0292214120273873</v>
      </c>
      <c r="FH95" s="28">
        <f t="shared" si="151"/>
        <v>537.07898945652687</v>
      </c>
      <c r="FI95" s="28">
        <f t="shared" si="152"/>
        <v>521.83036922888596</v>
      </c>
      <c r="FJ95" s="33"/>
      <c r="FN95" s="31"/>
      <c r="FU95" s="1">
        <v>6</v>
      </c>
      <c r="FV95" s="27">
        <f t="shared" si="105"/>
        <v>390</v>
      </c>
      <c r="FW95" s="27">
        <f t="shared" si="124"/>
        <v>0</v>
      </c>
      <c r="FX95" s="15">
        <f t="shared" si="153"/>
        <v>0.90973826562650939</v>
      </c>
      <c r="FY95" s="28">
        <f t="shared" si="154"/>
        <v>417.95752689970777</v>
      </c>
      <c r="FZ95" s="28">
        <f t="shared" si="155"/>
        <v>459.42612583397596</v>
      </c>
      <c r="GA95" s="33"/>
      <c r="GE95" s="31"/>
      <c r="GK95" s="11">
        <v>5.5</v>
      </c>
      <c r="GL95" s="1">
        <v>7.5</v>
      </c>
      <c r="GM95" s="27">
        <f t="shared" si="106"/>
        <v>762.5</v>
      </c>
      <c r="GN95" s="27">
        <f t="shared" si="125"/>
        <v>0</v>
      </c>
      <c r="GO95" s="15">
        <f t="shared" si="156"/>
        <v>1.0659245124876036</v>
      </c>
      <c r="GP95" s="28">
        <f t="shared" si="157"/>
        <v>435.07865150640555</v>
      </c>
      <c r="GQ95" s="28">
        <f t="shared" si="158"/>
        <v>408.17022820034401</v>
      </c>
      <c r="GR95" s="33"/>
      <c r="GV95" s="31"/>
      <c r="HB95" s="11">
        <v>6.5</v>
      </c>
      <c r="HC95" s="1">
        <v>7</v>
      </c>
      <c r="HD95" s="27">
        <f t="shared" si="107"/>
        <v>780</v>
      </c>
      <c r="HE95" s="27">
        <f t="shared" si="126"/>
        <v>0</v>
      </c>
      <c r="HF95" s="15">
        <f t="shared" si="159"/>
        <v>1.1452006734482862</v>
      </c>
      <c r="HG95" s="28">
        <f t="shared" si="160"/>
        <v>273.54899424444773</v>
      </c>
      <c r="HH95" s="28">
        <f t="shared" si="161"/>
        <v>238.8655548208603</v>
      </c>
      <c r="HI95" s="33"/>
      <c r="HM95" s="31"/>
      <c r="HU95" s="27">
        <f t="shared" si="108"/>
        <v>0</v>
      </c>
      <c r="HV95" s="27">
        <f t="shared" si="127"/>
        <v>0</v>
      </c>
      <c r="HW95" s="15">
        <f t="shared" si="162"/>
        <v>2.7363499269893222E-2</v>
      </c>
      <c r="HX95" s="28">
        <f t="shared" si="163"/>
        <v>0.6440811493443066</v>
      </c>
      <c r="HY95" s="28">
        <f t="shared" si="164"/>
        <v>23.537967238457654</v>
      </c>
      <c r="HZ95" s="33"/>
      <c r="ID95" s="31"/>
      <c r="II95" s="12"/>
      <c r="IL95" s="27">
        <f t="shared" si="109"/>
        <v>0</v>
      </c>
      <c r="IM95" s="27">
        <f t="shared" si="110"/>
        <v>4275.8986175241625</v>
      </c>
      <c r="IN95" s="15">
        <f t="shared" si="165"/>
        <v>0.5801324660261763</v>
      </c>
      <c r="IO95" s="28">
        <f t="shared" si="166"/>
        <v>63.884321944620076</v>
      </c>
      <c r="IP95" s="28">
        <f t="shared" si="167"/>
        <v>110.12023233627737</v>
      </c>
      <c r="IQ95" s="33"/>
      <c r="IU95" s="31"/>
      <c r="JC95" s="27">
        <f t="shared" si="111"/>
        <v>0</v>
      </c>
      <c r="JD95" s="27">
        <f t="shared" si="112"/>
        <v>4833.6785861363624</v>
      </c>
      <c r="JE95" s="15" t="e">
        <f t="shared" si="168"/>
        <v>#DIV/0!</v>
      </c>
      <c r="JF95" s="28">
        <f t="shared" si="169"/>
        <v>0</v>
      </c>
      <c r="JG95" s="28">
        <f t="shared" si="170"/>
        <v>0</v>
      </c>
      <c r="JH95" s="33"/>
      <c r="JL95" s="31"/>
      <c r="JR95" s="99"/>
      <c r="JS95" s="99"/>
      <c r="JT95" s="99"/>
      <c r="JU95" s="99"/>
      <c r="JV95" s="99"/>
      <c r="JW95" s="99"/>
      <c r="JX95" s="99"/>
      <c r="JY95" s="99"/>
      <c r="JZ95" s="99"/>
      <c r="KA95" s="99"/>
      <c r="KB95" s="99"/>
      <c r="KC95" s="99"/>
      <c r="KD95" s="99"/>
      <c r="KE95" s="99"/>
      <c r="KF95" s="99"/>
      <c r="KG95" s="99"/>
      <c r="KH95" s="99"/>
      <c r="KI95" s="99"/>
      <c r="KJ95" s="99"/>
      <c r="KK95" s="99"/>
      <c r="KL95" s="99"/>
      <c r="KM95" s="99"/>
      <c r="KN95" s="99"/>
      <c r="KO95" s="99"/>
      <c r="KP95" s="99"/>
      <c r="KQ95" s="99"/>
      <c r="KR95" s="99"/>
      <c r="KS95" s="99"/>
      <c r="KT95" s="99"/>
      <c r="KU95" s="99"/>
      <c r="KV95" s="99"/>
      <c r="KW95" s="99"/>
      <c r="KX95" s="99"/>
      <c r="KY95" s="99"/>
      <c r="KZ95" s="99"/>
      <c r="LA95" s="99"/>
      <c r="LB95" s="99"/>
      <c r="LC95" s="99"/>
      <c r="LD95" s="99"/>
      <c r="LE95" s="99"/>
      <c r="LF95" s="99"/>
      <c r="LG95" s="99"/>
      <c r="LH95" s="99"/>
      <c r="LI95" s="99"/>
      <c r="LJ95" s="99"/>
      <c r="LK95" s="99"/>
      <c r="LL95" s="99"/>
      <c r="LM95" s="99"/>
      <c r="LN95" s="99"/>
      <c r="LO95" s="99"/>
      <c r="LP95" s="99"/>
      <c r="LQ95" s="99"/>
      <c r="LR95" s="99"/>
      <c r="LS95" s="99"/>
      <c r="LT95" s="99"/>
      <c r="LU95" s="99"/>
      <c r="LV95" s="99"/>
      <c r="LW95" s="99"/>
      <c r="LX95" s="99"/>
      <c r="LY95" s="99"/>
      <c r="LZ95" s="99"/>
      <c r="MA95" s="99"/>
      <c r="MB95" s="99"/>
      <c r="MC95" s="99"/>
      <c r="MD95" s="99"/>
      <c r="ME95" s="99"/>
      <c r="MF95" s="99"/>
    </row>
    <row r="96" spans="1:344" ht="17.25" customHeight="1" x14ac:dyDescent="0.25">
      <c r="A96" s="156"/>
      <c r="B96" s="81" t="s">
        <v>2</v>
      </c>
      <c r="C96" s="82">
        <v>45230</v>
      </c>
      <c r="D96" s="49">
        <v>10</v>
      </c>
      <c r="F96" s="103">
        <v>68</v>
      </c>
      <c r="G96" s="89">
        <f t="shared" si="93"/>
        <v>7.0333333333333332</v>
      </c>
      <c r="H96" s="35">
        <f t="shared" si="94"/>
        <v>478.26666666666665</v>
      </c>
      <c r="I96" s="39"/>
      <c r="L96" s="89">
        <f t="shared" si="95"/>
        <v>0</v>
      </c>
      <c r="M96" s="35">
        <f t="shared" si="113"/>
        <v>0</v>
      </c>
      <c r="N96" s="35">
        <f t="shared" si="114"/>
        <v>478.26666666666665</v>
      </c>
      <c r="O96" s="97"/>
      <c r="P96" s="150"/>
      <c r="W96" s="11">
        <v>7.5</v>
      </c>
      <c r="X96" s="1">
        <v>0</v>
      </c>
      <c r="Y96" s="35">
        <f t="shared" si="96"/>
        <v>510</v>
      </c>
      <c r="Z96" s="35">
        <f t="shared" si="115"/>
        <v>0</v>
      </c>
      <c r="AA96" s="15">
        <f t="shared" si="128"/>
        <v>1.020317578291978</v>
      </c>
      <c r="AB96" s="43">
        <f t="shared" si="173"/>
        <v>521.61116104597681</v>
      </c>
      <c r="AC96" s="43">
        <f t="shared" si="174"/>
        <v>511.22432088169961</v>
      </c>
      <c r="AD96" s="33"/>
      <c r="AH96" s="31"/>
      <c r="AN96" s="11">
        <v>6</v>
      </c>
      <c r="AP96" s="35">
        <f t="shared" si="97"/>
        <v>408</v>
      </c>
      <c r="AQ96" s="35">
        <f t="shared" si="116"/>
        <v>0</v>
      </c>
      <c r="AR96" s="15">
        <f t="shared" si="129"/>
        <v>1.4502082828531009</v>
      </c>
      <c r="AS96" s="28">
        <f t="shared" si="130"/>
        <v>395.07079655262135</v>
      </c>
      <c r="AT96" s="28">
        <f t="shared" si="131"/>
        <v>272.42348649076092</v>
      </c>
      <c r="AU96" s="33"/>
      <c r="AY96" s="31"/>
      <c r="BE96" s="86"/>
      <c r="BF96" s="87"/>
      <c r="BG96" s="35">
        <f t="shared" si="98"/>
        <v>0</v>
      </c>
      <c r="BH96" s="35">
        <f t="shared" si="117"/>
        <v>0</v>
      </c>
      <c r="BI96" s="15">
        <f t="shared" si="132"/>
        <v>0.72679721164141708</v>
      </c>
      <c r="BJ96" s="28">
        <f t="shared" si="133"/>
        <v>288.33546752545715</v>
      </c>
      <c r="BK96" s="28">
        <f t="shared" si="134"/>
        <v>396.7206572989914</v>
      </c>
      <c r="BL96" s="33"/>
      <c r="BP96" s="31"/>
      <c r="BV96" s="11">
        <v>7</v>
      </c>
      <c r="BX96" s="35">
        <f t="shared" si="99"/>
        <v>476</v>
      </c>
      <c r="BY96" s="35">
        <f t="shared" si="118"/>
        <v>0</v>
      </c>
      <c r="BZ96" s="15">
        <f t="shared" si="135"/>
        <v>1.0979274689465628</v>
      </c>
      <c r="CA96" s="28">
        <f t="shared" si="136"/>
        <v>440.95265758099089</v>
      </c>
      <c r="CB96" s="28">
        <f t="shared" si="137"/>
        <v>401.62275747055969</v>
      </c>
      <c r="CC96" s="33"/>
      <c r="CG96" s="31"/>
      <c r="CM96" s="11">
        <v>7</v>
      </c>
      <c r="CO96" s="35">
        <f t="shared" si="100"/>
        <v>476</v>
      </c>
      <c r="CP96" s="35">
        <f t="shared" si="119"/>
        <v>0</v>
      </c>
      <c r="CQ96" s="15">
        <f t="shared" si="138"/>
        <v>1.1218966865012521</v>
      </c>
      <c r="CR96" s="28">
        <f t="shared" si="139"/>
        <v>490.97045469939451</v>
      </c>
      <c r="CS96" s="28">
        <f t="shared" si="140"/>
        <v>437.62537193200501</v>
      </c>
      <c r="CT96" s="33"/>
      <c r="CX96" s="31"/>
      <c r="DD96" s="11">
        <v>6</v>
      </c>
      <c r="DF96" s="35">
        <f t="shared" si="101"/>
        <v>408</v>
      </c>
      <c r="DG96" s="35">
        <f t="shared" si="120"/>
        <v>0</v>
      </c>
      <c r="DH96" s="15">
        <f t="shared" si="141"/>
        <v>0.96168027446641691</v>
      </c>
      <c r="DI96" s="28">
        <f t="shared" si="142"/>
        <v>375.29118680221211</v>
      </c>
      <c r="DJ96" s="28">
        <f t="shared" si="143"/>
        <v>390.24527877567249</v>
      </c>
      <c r="DK96" s="33"/>
      <c r="DO96" s="31"/>
      <c r="DU96" s="86"/>
      <c r="DV96" s="87"/>
      <c r="DW96" s="35">
        <f t="shared" si="102"/>
        <v>0</v>
      </c>
      <c r="DX96" s="35">
        <f t="shared" si="121"/>
        <v>0</v>
      </c>
      <c r="DY96" s="15">
        <f t="shared" si="144"/>
        <v>0.62930656844534683</v>
      </c>
      <c r="DZ96" s="28">
        <f t="shared" si="145"/>
        <v>191.35759400574392</v>
      </c>
      <c r="EA96" s="28">
        <f t="shared" si="146"/>
        <v>304.07690559861476</v>
      </c>
      <c r="EB96" s="33"/>
      <c r="EF96" s="31"/>
      <c r="EL96" s="11">
        <v>7</v>
      </c>
      <c r="EN96" s="35">
        <f t="shared" si="103"/>
        <v>476</v>
      </c>
      <c r="EO96" s="35">
        <f t="shared" si="122"/>
        <v>0</v>
      </c>
      <c r="EP96" s="15">
        <f t="shared" si="147"/>
        <v>0.95248434532155102</v>
      </c>
      <c r="EQ96" s="28">
        <f t="shared" si="148"/>
        <v>494.77210459815228</v>
      </c>
      <c r="ER96" s="28">
        <f t="shared" si="149"/>
        <v>519.45431652330331</v>
      </c>
      <c r="ES96" s="33"/>
      <c r="EW96" s="31"/>
      <c r="FC96" s="11">
        <v>8</v>
      </c>
      <c r="FE96" s="35">
        <f t="shared" si="104"/>
        <v>544</v>
      </c>
      <c r="FF96" s="35">
        <f t="shared" si="123"/>
        <v>0</v>
      </c>
      <c r="FG96" s="15">
        <f t="shared" si="150"/>
        <v>1.0295206993289616</v>
      </c>
      <c r="FH96" s="28">
        <f t="shared" si="151"/>
        <v>538.80924209239515</v>
      </c>
      <c r="FI96" s="28">
        <f t="shared" si="152"/>
        <v>523.35930928206619</v>
      </c>
      <c r="FJ96" s="33"/>
      <c r="FN96" s="31"/>
      <c r="FT96" s="11">
        <v>7</v>
      </c>
      <c r="FV96" s="35">
        <f t="shared" si="105"/>
        <v>476</v>
      </c>
      <c r="FW96" s="35">
        <f t="shared" si="124"/>
        <v>0</v>
      </c>
      <c r="FX96" s="15">
        <f t="shared" si="153"/>
        <v>0.93898634686284166</v>
      </c>
      <c r="FY96" s="28">
        <f t="shared" si="154"/>
        <v>432.46814517478083</v>
      </c>
      <c r="FZ96" s="28">
        <f t="shared" si="155"/>
        <v>460.56915163852932</v>
      </c>
      <c r="GA96" s="33"/>
      <c r="GE96" s="31"/>
      <c r="GK96" s="11">
        <v>7.8</v>
      </c>
      <c r="GM96" s="35">
        <f t="shared" si="106"/>
        <v>530.4</v>
      </c>
      <c r="GN96" s="35">
        <f t="shared" si="125"/>
        <v>0</v>
      </c>
      <c r="GO96" s="15">
        <f t="shared" si="156"/>
        <v>1.101558171958158</v>
      </c>
      <c r="GP96" s="28">
        <f t="shared" si="157"/>
        <v>458.90898862980418</v>
      </c>
      <c r="GQ96" s="28">
        <f t="shared" si="158"/>
        <v>416.59986763480305</v>
      </c>
      <c r="GR96" s="33"/>
      <c r="GV96" s="31"/>
      <c r="HB96" s="11">
        <v>8</v>
      </c>
      <c r="HD96" s="35">
        <f t="shared" si="107"/>
        <v>544</v>
      </c>
      <c r="HE96" s="35">
        <f t="shared" si="126"/>
        <v>0</v>
      </c>
      <c r="HF96" s="15">
        <f t="shared" si="159"/>
        <v>1.3126184134326495</v>
      </c>
      <c r="HG96" s="28">
        <f t="shared" si="160"/>
        <v>341.16174568333577</v>
      </c>
      <c r="HH96" s="28">
        <f t="shared" si="161"/>
        <v>259.90930966080094</v>
      </c>
      <c r="HI96" s="33"/>
      <c r="HM96" s="31"/>
      <c r="HU96" s="35">
        <f t="shared" si="108"/>
        <v>0</v>
      </c>
      <c r="HV96" s="35">
        <f t="shared" si="127"/>
        <v>0</v>
      </c>
      <c r="HW96" s="15">
        <f t="shared" si="162"/>
        <v>2.2042818856302875E-2</v>
      </c>
      <c r="HX96" s="28">
        <f t="shared" si="163"/>
        <v>0.48306086200822995</v>
      </c>
      <c r="HY96" s="28">
        <f t="shared" si="164"/>
        <v>21.914659153046781</v>
      </c>
      <c r="HZ96" s="33"/>
      <c r="ID96" s="31"/>
      <c r="II96" s="12"/>
      <c r="IL96" s="35">
        <f t="shared" si="109"/>
        <v>0</v>
      </c>
      <c r="IM96" s="35">
        <f t="shared" si="110"/>
        <v>4251.2182000836019</v>
      </c>
      <c r="IN96" s="15">
        <f t="shared" si="165"/>
        <v>0.46732893096553096</v>
      </c>
      <c r="IO96" s="28">
        <f t="shared" si="166"/>
        <v>47.913241458465059</v>
      </c>
      <c r="IP96" s="28">
        <f t="shared" si="167"/>
        <v>102.52573355446513</v>
      </c>
      <c r="IQ96" s="33"/>
      <c r="IU96" s="31"/>
      <c r="JC96" s="35">
        <f t="shared" si="111"/>
        <v>0</v>
      </c>
      <c r="JD96" s="35">
        <f t="shared" si="112"/>
        <v>4631.3743685171066</v>
      </c>
      <c r="JE96" s="15" t="e">
        <f t="shared" si="168"/>
        <v>#DIV/0!</v>
      </c>
      <c r="JF96" s="28">
        <f t="shared" si="169"/>
        <v>0</v>
      </c>
      <c r="JG96" s="28">
        <f t="shared" si="170"/>
        <v>0</v>
      </c>
      <c r="JH96" s="33"/>
      <c r="JL96" s="31"/>
      <c r="JR96" s="99"/>
      <c r="JS96" s="99"/>
      <c r="JT96" s="99"/>
      <c r="JU96" s="99"/>
      <c r="JV96" s="99"/>
      <c r="JW96" s="99"/>
      <c r="JX96" s="99"/>
      <c r="JY96" s="99"/>
      <c r="JZ96" s="99"/>
      <c r="KA96" s="99"/>
      <c r="KB96" s="99"/>
      <c r="KC96" s="99"/>
      <c r="KD96" s="99"/>
      <c r="KE96" s="99"/>
      <c r="KF96" s="99"/>
      <c r="KG96" s="99"/>
      <c r="KH96" s="99"/>
      <c r="KI96" s="99"/>
      <c r="KJ96" s="99"/>
      <c r="KK96" s="99"/>
      <c r="KL96" s="99"/>
      <c r="KM96" s="99"/>
      <c r="KN96" s="99"/>
      <c r="KO96" s="99"/>
      <c r="KP96" s="99"/>
      <c r="KQ96" s="99"/>
      <c r="KR96" s="99"/>
      <c r="KS96" s="99"/>
      <c r="KT96" s="99"/>
      <c r="KU96" s="99"/>
      <c r="KV96" s="99"/>
      <c r="KW96" s="99"/>
      <c r="KX96" s="99"/>
      <c r="KY96" s="99"/>
      <c r="KZ96" s="99"/>
      <c r="LA96" s="99"/>
      <c r="LB96" s="99"/>
      <c r="LC96" s="99"/>
      <c r="LD96" s="99"/>
      <c r="LE96" s="99"/>
      <c r="LF96" s="99"/>
      <c r="LG96" s="99"/>
      <c r="LH96" s="99"/>
      <c r="LI96" s="99"/>
      <c r="LJ96" s="99"/>
      <c r="LK96" s="99"/>
      <c r="LL96" s="99"/>
      <c r="LM96" s="99"/>
      <c r="LN96" s="99"/>
      <c r="LO96" s="99"/>
      <c r="LP96" s="99"/>
      <c r="LQ96" s="99"/>
      <c r="LR96" s="99"/>
      <c r="LS96" s="99"/>
      <c r="LT96" s="99"/>
      <c r="LU96" s="99"/>
      <c r="LV96" s="99"/>
      <c r="LW96" s="99"/>
      <c r="LX96" s="99"/>
      <c r="LY96" s="99"/>
      <c r="LZ96" s="99"/>
      <c r="MA96" s="99"/>
      <c r="MB96" s="99"/>
      <c r="MC96" s="99"/>
      <c r="MD96" s="99"/>
      <c r="ME96" s="99"/>
      <c r="MF96" s="99"/>
    </row>
    <row r="97" spans="1:344" ht="17.25" customHeight="1" x14ac:dyDescent="0.25">
      <c r="A97" s="156"/>
      <c r="B97" s="81" t="s">
        <v>3</v>
      </c>
      <c r="C97" s="82">
        <v>45231</v>
      </c>
      <c r="D97" s="49" t="s">
        <v>90</v>
      </c>
      <c r="F97" s="103">
        <v>50</v>
      </c>
      <c r="G97" s="89">
        <f t="shared" si="93"/>
        <v>4.4444444444444446</v>
      </c>
      <c r="H97" s="35">
        <f t="shared" si="94"/>
        <v>222.22222222222223</v>
      </c>
      <c r="I97" s="39">
        <v>11</v>
      </c>
      <c r="K97" s="103">
        <v>63</v>
      </c>
      <c r="L97" s="89">
        <f t="shared" si="95"/>
        <v>6.4599999999999991</v>
      </c>
      <c r="M97" s="35">
        <f t="shared" si="113"/>
        <v>406.97999999999996</v>
      </c>
      <c r="N97" s="35">
        <f t="shared" si="114"/>
        <v>629.20222222222219</v>
      </c>
      <c r="O97" s="97"/>
      <c r="P97" s="150"/>
      <c r="W97" s="11">
        <v>5</v>
      </c>
      <c r="X97" s="1">
        <v>7.5</v>
      </c>
      <c r="Y97" s="35">
        <f t="shared" si="96"/>
        <v>722.5</v>
      </c>
      <c r="Z97" s="35">
        <f t="shared" si="115"/>
        <v>0</v>
      </c>
      <c r="AA97" s="15">
        <f t="shared" si="128"/>
        <v>1.0875594259898866</v>
      </c>
      <c r="AB97" s="43">
        <f t="shared" si="173"/>
        <v>571.83337078448267</v>
      </c>
      <c r="AC97" s="43">
        <f t="shared" si="174"/>
        <v>525.79505737261684</v>
      </c>
      <c r="AD97" s="33"/>
      <c r="AH97" s="31"/>
      <c r="AN97" s="11">
        <v>5</v>
      </c>
      <c r="AO97" s="1">
        <v>7</v>
      </c>
      <c r="AP97" s="35">
        <f t="shared" si="97"/>
        <v>691</v>
      </c>
      <c r="AQ97" s="35">
        <f t="shared" si="116"/>
        <v>0</v>
      </c>
      <c r="AR97" s="15">
        <f t="shared" si="129"/>
        <v>1.556811715483045</v>
      </c>
      <c r="AS97" s="28">
        <f t="shared" si="130"/>
        <v>469.05309741446604</v>
      </c>
      <c r="AT97" s="28">
        <f t="shared" si="131"/>
        <v>301.29083225001875</v>
      </c>
      <c r="AU97" s="33"/>
      <c r="AY97" s="31"/>
      <c r="BE97" s="86"/>
      <c r="BF97" s="87"/>
      <c r="BG97" s="35">
        <f t="shared" si="98"/>
        <v>0</v>
      </c>
      <c r="BH97" s="35">
        <f t="shared" si="117"/>
        <v>0</v>
      </c>
      <c r="BI97" s="15">
        <f t="shared" si="132"/>
        <v>0.58547553160003041</v>
      </c>
      <c r="BJ97" s="28">
        <f t="shared" si="133"/>
        <v>216.25160064409286</v>
      </c>
      <c r="BK97" s="28">
        <f t="shared" si="134"/>
        <v>369.36061196802649</v>
      </c>
      <c r="BL97" s="33"/>
      <c r="BP97" s="31"/>
      <c r="BV97" s="11">
        <v>4</v>
      </c>
      <c r="BW97" s="1">
        <v>5</v>
      </c>
      <c r="BX97" s="35">
        <f t="shared" si="99"/>
        <v>515</v>
      </c>
      <c r="BY97" s="35">
        <f t="shared" si="118"/>
        <v>0</v>
      </c>
      <c r="BZ97" s="15">
        <f t="shared" si="135"/>
        <v>1.1221726898783668</v>
      </c>
      <c r="CA97" s="28">
        <f t="shared" si="136"/>
        <v>459.46449318574315</v>
      </c>
      <c r="CB97" s="28">
        <f t="shared" si="137"/>
        <v>409.44187764500384</v>
      </c>
      <c r="CC97" s="33"/>
      <c r="CG97" s="31"/>
      <c r="CM97" s="11">
        <v>4</v>
      </c>
      <c r="CN97" s="1">
        <v>6.5</v>
      </c>
      <c r="CO97" s="35">
        <f t="shared" si="100"/>
        <v>609.5</v>
      </c>
      <c r="CP97" s="35">
        <f t="shared" si="119"/>
        <v>0</v>
      </c>
      <c r="CQ97" s="15">
        <f t="shared" si="138"/>
        <v>1.158236711783478</v>
      </c>
      <c r="CR97" s="28">
        <f t="shared" si="139"/>
        <v>520.60284102454591</v>
      </c>
      <c r="CS97" s="28">
        <f t="shared" si="140"/>
        <v>449.47879455738399</v>
      </c>
      <c r="CT97" s="33"/>
      <c r="CX97" s="31"/>
      <c r="DD97" s="11">
        <v>3</v>
      </c>
      <c r="DE97" s="1">
        <v>4</v>
      </c>
      <c r="DF97" s="35">
        <f t="shared" si="101"/>
        <v>402</v>
      </c>
      <c r="DG97" s="35">
        <f t="shared" si="120"/>
        <v>0</v>
      </c>
      <c r="DH97" s="15">
        <f t="shared" si="141"/>
        <v>0.97676148612045555</v>
      </c>
      <c r="DI97" s="28">
        <f t="shared" si="142"/>
        <v>381.96839010165911</v>
      </c>
      <c r="DJ97" s="28">
        <f t="shared" si="143"/>
        <v>391.05594920493644</v>
      </c>
      <c r="DK97" s="33"/>
      <c r="DO97" s="31"/>
      <c r="DU97" s="11">
        <v>3.5</v>
      </c>
      <c r="DV97" s="1">
        <v>4.0999999999999996</v>
      </c>
      <c r="DW97" s="35">
        <f t="shared" si="102"/>
        <v>433.29999999999995</v>
      </c>
      <c r="DX97" s="35">
        <f t="shared" si="121"/>
        <v>0</v>
      </c>
      <c r="DY97" s="15">
        <f t="shared" si="144"/>
        <v>0.80463952955924278</v>
      </c>
      <c r="DZ97" s="28">
        <f t="shared" si="145"/>
        <v>251.84319550430791</v>
      </c>
      <c r="EA97" s="28">
        <f t="shared" si="146"/>
        <v>312.98884314353785</v>
      </c>
      <c r="EB97" s="33"/>
      <c r="EF97" s="31"/>
      <c r="EL97" s="11">
        <v>5</v>
      </c>
      <c r="EM97" s="1">
        <v>7</v>
      </c>
      <c r="EN97" s="35">
        <f t="shared" si="103"/>
        <v>691</v>
      </c>
      <c r="EO97" s="35">
        <f t="shared" si="122"/>
        <v>0</v>
      </c>
      <c r="EP97" s="15">
        <f t="shared" si="147"/>
        <v>1.0236107247052213</v>
      </c>
      <c r="EQ97" s="28">
        <f t="shared" si="148"/>
        <v>543.82907844861415</v>
      </c>
      <c r="ER97" s="28">
        <f t="shared" si="149"/>
        <v>531.2850533147996</v>
      </c>
      <c r="ES97" s="33"/>
      <c r="EW97" s="31"/>
      <c r="FC97" s="11">
        <v>5.5</v>
      </c>
      <c r="FD97" s="1">
        <v>8</v>
      </c>
      <c r="FE97" s="35">
        <f t="shared" si="104"/>
        <v>779</v>
      </c>
      <c r="FF97" s="35">
        <f t="shared" si="123"/>
        <v>0</v>
      </c>
      <c r="FG97" s="15">
        <f t="shared" si="150"/>
        <v>1.106965492387803</v>
      </c>
      <c r="FH97" s="28">
        <f t="shared" si="151"/>
        <v>598.85693156929642</v>
      </c>
      <c r="FI97" s="28">
        <f t="shared" si="152"/>
        <v>540.98970174537203</v>
      </c>
      <c r="FJ97" s="33"/>
      <c r="FN97" s="31"/>
      <c r="FU97" s="1">
        <v>8</v>
      </c>
      <c r="FV97" s="35">
        <f t="shared" si="105"/>
        <v>504</v>
      </c>
      <c r="FW97" s="35">
        <f t="shared" si="124"/>
        <v>0</v>
      </c>
      <c r="FX97" s="15">
        <f t="shared" si="153"/>
        <v>0.97149635697644665</v>
      </c>
      <c r="FY97" s="28">
        <f t="shared" si="154"/>
        <v>450.35110888108562</v>
      </c>
      <c r="FZ97" s="28">
        <f t="shared" si="155"/>
        <v>463.56438256001007</v>
      </c>
      <c r="GA97" s="33"/>
      <c r="GE97" s="31"/>
      <c r="GK97" s="11">
        <v>5</v>
      </c>
      <c r="GL97" s="1">
        <v>7.5</v>
      </c>
      <c r="GM97" s="35">
        <f t="shared" si="106"/>
        <v>722.5</v>
      </c>
      <c r="GN97" s="35">
        <f t="shared" si="125"/>
        <v>0</v>
      </c>
      <c r="GO97" s="15">
        <f t="shared" si="156"/>
        <v>1.1990199309731189</v>
      </c>
      <c r="GP97" s="28">
        <f t="shared" si="157"/>
        <v>524.80674147235311</v>
      </c>
      <c r="GQ97" s="28">
        <f t="shared" si="158"/>
        <v>437.69642848757525</v>
      </c>
      <c r="GR97" s="33"/>
      <c r="GV97" s="31"/>
      <c r="HD97" s="35">
        <f t="shared" si="107"/>
        <v>0</v>
      </c>
      <c r="HE97" s="35">
        <f t="shared" si="126"/>
        <v>0</v>
      </c>
      <c r="HF97" s="15">
        <f t="shared" si="159"/>
        <v>1.0573870552651901</v>
      </c>
      <c r="HG97" s="28">
        <f t="shared" si="160"/>
        <v>255.87130926250182</v>
      </c>
      <c r="HH97" s="28">
        <f t="shared" si="161"/>
        <v>241.98452968419397</v>
      </c>
      <c r="HI97" s="33"/>
      <c r="HM97" s="31"/>
      <c r="HU97" s="35">
        <f t="shared" si="108"/>
        <v>0</v>
      </c>
      <c r="HV97" s="35">
        <f t="shared" si="127"/>
        <v>0</v>
      </c>
      <c r="HW97" s="15">
        <f t="shared" si="162"/>
        <v>1.775671518979954E-2</v>
      </c>
      <c r="HX97" s="28">
        <f t="shared" si="163"/>
        <v>0.36229564650617246</v>
      </c>
      <c r="HY97" s="28">
        <f t="shared" si="164"/>
        <v>20.403303349388381</v>
      </c>
      <c r="HZ97" s="33"/>
      <c r="ID97" s="31"/>
      <c r="II97" s="12"/>
      <c r="IL97" s="35">
        <f t="shared" si="109"/>
        <v>0</v>
      </c>
      <c r="IM97" s="35">
        <f t="shared" si="110"/>
        <v>4403.4338790376269</v>
      </c>
      <c r="IN97" s="15">
        <f t="shared" si="165"/>
        <v>0.3764594166111222</v>
      </c>
      <c r="IO97" s="28">
        <f t="shared" si="166"/>
        <v>35.934931093848796</v>
      </c>
      <c r="IP97" s="28">
        <f t="shared" si="167"/>
        <v>95.454993309329609</v>
      </c>
      <c r="IQ97" s="33"/>
      <c r="IU97" s="31"/>
      <c r="JC97" s="35">
        <f t="shared" si="111"/>
        <v>0</v>
      </c>
      <c r="JD97" s="35">
        <f t="shared" si="112"/>
        <v>4942.7800470204547</v>
      </c>
      <c r="JE97" s="15" t="e">
        <f t="shared" si="168"/>
        <v>#DIV/0!</v>
      </c>
      <c r="JF97" s="28">
        <f t="shared" si="169"/>
        <v>0</v>
      </c>
      <c r="JG97" s="28">
        <f t="shared" si="170"/>
        <v>0</v>
      </c>
      <c r="JH97" s="33"/>
      <c r="JL97" s="31"/>
      <c r="JR97" s="99"/>
      <c r="JS97" s="99"/>
      <c r="JT97" s="99"/>
      <c r="JU97" s="99"/>
      <c r="JV97" s="99"/>
      <c r="JW97" s="99"/>
      <c r="JX97" s="99"/>
      <c r="JY97" s="99"/>
      <c r="JZ97" s="99"/>
      <c r="KA97" s="99"/>
      <c r="KB97" s="99"/>
      <c r="KC97" s="99"/>
      <c r="KD97" s="99"/>
      <c r="KE97" s="99"/>
      <c r="KF97" s="99"/>
      <c r="KG97" s="99"/>
      <c r="KH97" s="99"/>
      <c r="KI97" s="99"/>
      <c r="KJ97" s="99"/>
      <c r="KK97" s="99"/>
      <c r="KL97" s="99"/>
      <c r="KM97" s="99"/>
      <c r="KN97" s="99"/>
      <c r="KO97" s="99"/>
      <c r="KP97" s="99"/>
      <c r="KQ97" s="99"/>
      <c r="KR97" s="99"/>
      <c r="KS97" s="99"/>
      <c r="KT97" s="99"/>
      <c r="KU97" s="99"/>
      <c r="KV97" s="99"/>
      <c r="KW97" s="99"/>
      <c r="KX97" s="99"/>
      <c r="KY97" s="99"/>
      <c r="KZ97" s="99"/>
      <c r="LA97" s="99"/>
      <c r="LB97" s="99"/>
      <c r="LC97" s="99"/>
      <c r="LD97" s="99"/>
      <c r="LE97" s="99"/>
      <c r="LF97" s="99"/>
      <c r="LG97" s="99"/>
      <c r="LH97" s="99"/>
      <c r="LI97" s="99"/>
      <c r="LJ97" s="99"/>
      <c r="LK97" s="99"/>
      <c r="LL97" s="99"/>
      <c r="LM97" s="99"/>
      <c r="LN97" s="99"/>
      <c r="LO97" s="99"/>
      <c r="LP97" s="99"/>
      <c r="LQ97" s="99"/>
      <c r="LR97" s="99"/>
      <c r="LS97" s="99"/>
      <c r="LT97" s="99"/>
      <c r="LU97" s="99"/>
      <c r="LV97" s="99"/>
      <c r="LW97" s="99"/>
      <c r="LX97" s="99"/>
      <c r="LY97" s="99"/>
      <c r="LZ97" s="99"/>
      <c r="MA97" s="99"/>
      <c r="MB97" s="99"/>
      <c r="MC97" s="99"/>
      <c r="MD97" s="99"/>
      <c r="ME97" s="99"/>
      <c r="MF97" s="99"/>
    </row>
    <row r="98" spans="1:344" ht="17.25" customHeight="1" x14ac:dyDescent="0.25">
      <c r="A98" s="156"/>
      <c r="B98" s="81" t="s">
        <v>4</v>
      </c>
      <c r="C98" s="82">
        <v>45232</v>
      </c>
      <c r="D98" s="49">
        <v>10</v>
      </c>
      <c r="F98" s="103">
        <v>62</v>
      </c>
      <c r="G98" s="89">
        <f t="shared" si="93"/>
        <v>6.6650000000000009</v>
      </c>
      <c r="H98" s="35">
        <f t="shared" si="94"/>
        <v>413.23000000000008</v>
      </c>
      <c r="I98" s="39"/>
      <c r="L98" s="89">
        <f t="shared" si="95"/>
        <v>0</v>
      </c>
      <c r="M98" s="35">
        <f t="shared" si="113"/>
        <v>0</v>
      </c>
      <c r="N98" s="35">
        <f t="shared" si="114"/>
        <v>413.23000000000008</v>
      </c>
      <c r="O98" s="97"/>
      <c r="P98" s="150"/>
      <c r="W98" s="11">
        <v>8</v>
      </c>
      <c r="X98" s="1">
        <v>0</v>
      </c>
      <c r="Y98" s="35">
        <f t="shared" si="96"/>
        <v>496</v>
      </c>
      <c r="Z98" s="35">
        <f t="shared" si="115"/>
        <v>0</v>
      </c>
      <c r="AA98" s="15">
        <f t="shared" si="128"/>
        <v>1.0556283455457915</v>
      </c>
      <c r="AB98" s="43">
        <f t="shared" si="173"/>
        <v>552.875028088362</v>
      </c>
      <c r="AC98" s="43">
        <f t="shared" si="174"/>
        <v>523.7402258296778</v>
      </c>
      <c r="AD98" s="33"/>
      <c r="AH98" s="31"/>
      <c r="AN98" s="11">
        <v>6</v>
      </c>
      <c r="AP98" s="35">
        <f t="shared" si="97"/>
        <v>372</v>
      </c>
      <c r="AQ98" s="35">
        <f t="shared" si="116"/>
        <v>0</v>
      </c>
      <c r="AR98" s="15">
        <f t="shared" si="129"/>
        <v>1.4527671127837003</v>
      </c>
      <c r="AS98" s="28">
        <f t="shared" si="130"/>
        <v>444.78982306084953</v>
      </c>
      <c r="AT98" s="28">
        <f t="shared" si="131"/>
        <v>306.16732657760366</v>
      </c>
      <c r="AU98" s="33"/>
      <c r="AY98" s="31"/>
      <c r="BE98" s="86"/>
      <c r="BF98" s="87"/>
      <c r="BG98" s="35">
        <f t="shared" si="98"/>
        <v>0</v>
      </c>
      <c r="BH98" s="35">
        <f t="shared" si="117"/>
        <v>0</v>
      </c>
      <c r="BI98" s="15">
        <f t="shared" si="132"/>
        <v>0.47163306712224673</v>
      </c>
      <c r="BJ98" s="28">
        <f t="shared" si="133"/>
        <v>162.18870048306965</v>
      </c>
      <c r="BK98" s="28">
        <f t="shared" si="134"/>
        <v>343.88746631505916</v>
      </c>
      <c r="BL98" s="33"/>
      <c r="BP98" s="31"/>
      <c r="BV98" s="11">
        <v>6</v>
      </c>
      <c r="BX98" s="35">
        <f t="shared" si="99"/>
        <v>372</v>
      </c>
      <c r="BY98" s="35">
        <f t="shared" si="118"/>
        <v>0</v>
      </c>
      <c r="BZ98" s="15">
        <f t="shared" si="135"/>
        <v>1.0755510862222162</v>
      </c>
      <c r="CA98" s="28">
        <f t="shared" si="136"/>
        <v>437.59836988930738</v>
      </c>
      <c r="CB98" s="28">
        <f t="shared" si="137"/>
        <v>406.8596791867277</v>
      </c>
      <c r="CC98" s="33"/>
      <c r="CG98" s="31"/>
      <c r="CM98" s="11">
        <v>8</v>
      </c>
      <c r="CO98" s="35">
        <f t="shared" si="100"/>
        <v>496</v>
      </c>
      <c r="CP98" s="35">
        <f t="shared" si="119"/>
        <v>0</v>
      </c>
      <c r="CQ98" s="15">
        <f t="shared" si="138"/>
        <v>1.1364407554536302</v>
      </c>
      <c r="CR98" s="28">
        <f t="shared" si="139"/>
        <v>514.45213076840946</v>
      </c>
      <c r="CS98" s="28">
        <f t="shared" si="140"/>
        <v>452.68715355342647</v>
      </c>
      <c r="CT98" s="33"/>
      <c r="CX98" s="31"/>
      <c r="DD98" s="11">
        <v>4</v>
      </c>
      <c r="DF98" s="35">
        <f t="shared" si="101"/>
        <v>248</v>
      </c>
      <c r="DG98" s="35">
        <f t="shared" si="120"/>
        <v>0</v>
      </c>
      <c r="DH98" s="15">
        <f t="shared" si="141"/>
        <v>0.91417999622946011</v>
      </c>
      <c r="DI98" s="28">
        <f t="shared" si="142"/>
        <v>348.4762925762443</v>
      </c>
      <c r="DJ98" s="28">
        <f t="shared" si="143"/>
        <v>381.19002167356155</v>
      </c>
      <c r="DK98" s="33"/>
      <c r="DO98" s="31"/>
      <c r="DU98" s="11">
        <v>3.9</v>
      </c>
      <c r="DW98" s="35">
        <f t="shared" si="102"/>
        <v>241.79999999999998</v>
      </c>
      <c r="DX98" s="35">
        <f t="shared" si="121"/>
        <v>0</v>
      </c>
      <c r="DY98" s="15">
        <f t="shared" si="144"/>
        <v>0.8093124813158673</v>
      </c>
      <c r="DZ98" s="28">
        <f t="shared" si="145"/>
        <v>249.33239662823092</v>
      </c>
      <c r="EA98" s="28">
        <f t="shared" si="146"/>
        <v>308.07926775432833</v>
      </c>
      <c r="EB98" s="33"/>
      <c r="EF98" s="31"/>
      <c r="EL98" s="11">
        <v>7</v>
      </c>
      <c r="EN98" s="35">
        <f t="shared" si="103"/>
        <v>434</v>
      </c>
      <c r="EO98" s="35">
        <f t="shared" si="122"/>
        <v>0</v>
      </c>
      <c r="EP98" s="15">
        <f t="shared" si="147"/>
        <v>0.98436082753715548</v>
      </c>
      <c r="EQ98" s="28">
        <f t="shared" si="148"/>
        <v>516.37180883646056</v>
      </c>
      <c r="ER98" s="28">
        <f t="shared" si="149"/>
        <v>524.57573929308933</v>
      </c>
      <c r="ES98" s="33"/>
      <c r="EW98" s="31"/>
      <c r="FC98" s="11">
        <v>8</v>
      </c>
      <c r="FE98" s="35">
        <f t="shared" si="104"/>
        <v>496</v>
      </c>
      <c r="FF98" s="35">
        <f t="shared" si="123"/>
        <v>0</v>
      </c>
      <c r="FG98" s="15">
        <f t="shared" si="150"/>
        <v>1.0655448772003777</v>
      </c>
      <c r="FH98" s="28">
        <f t="shared" si="151"/>
        <v>573.14269867697226</v>
      </c>
      <c r="FI98" s="28">
        <f t="shared" si="152"/>
        <v>537.88696369396712</v>
      </c>
      <c r="FJ98" s="33"/>
      <c r="FN98" s="31"/>
      <c r="FT98" s="11">
        <v>7.5</v>
      </c>
      <c r="FV98" s="35">
        <f t="shared" si="105"/>
        <v>465</v>
      </c>
      <c r="FW98" s="35">
        <f t="shared" si="124"/>
        <v>0</v>
      </c>
      <c r="FX98" s="15">
        <f t="shared" si="153"/>
        <v>0.97918736050136868</v>
      </c>
      <c r="FY98" s="28">
        <f t="shared" si="154"/>
        <v>454.01333166081423</v>
      </c>
      <c r="FZ98" s="28">
        <f t="shared" si="155"/>
        <v>463.6633906593197</v>
      </c>
      <c r="GA98" s="33"/>
      <c r="GE98" s="31"/>
      <c r="GK98" s="11">
        <v>8.25</v>
      </c>
      <c r="GM98" s="35">
        <f t="shared" si="106"/>
        <v>511.5</v>
      </c>
      <c r="GN98" s="35">
        <f t="shared" si="125"/>
        <v>0</v>
      </c>
      <c r="GO98" s="15">
        <f t="shared" si="156"/>
        <v>1.1777239286908296</v>
      </c>
      <c r="GP98" s="28">
        <f t="shared" si="157"/>
        <v>521.4800561042648</v>
      </c>
      <c r="GQ98" s="28">
        <f t="shared" si="158"/>
        <v>442.78632997119075</v>
      </c>
      <c r="GR98" s="33"/>
      <c r="GV98" s="31"/>
      <c r="HD98" s="35">
        <f t="shared" si="107"/>
        <v>0</v>
      </c>
      <c r="HE98" s="35">
        <f t="shared" si="126"/>
        <v>0</v>
      </c>
      <c r="HF98" s="15">
        <f t="shared" si="159"/>
        <v>0.85178401674140303</v>
      </c>
      <c r="HG98" s="28">
        <f t="shared" si="160"/>
        <v>191.90348194687635</v>
      </c>
      <c r="HH98" s="28">
        <f t="shared" si="161"/>
        <v>225.29594143011161</v>
      </c>
      <c r="HI98" s="33"/>
      <c r="HM98" s="31"/>
      <c r="HU98" s="35">
        <f t="shared" si="108"/>
        <v>0</v>
      </c>
      <c r="HV98" s="35">
        <f t="shared" si="127"/>
        <v>0</v>
      </c>
      <c r="HW98" s="15">
        <f t="shared" si="162"/>
        <v>1.4304020569560741E-2</v>
      </c>
      <c r="HX98" s="28">
        <f t="shared" si="163"/>
        <v>0.27172173487962936</v>
      </c>
      <c r="HY98" s="28">
        <f t="shared" si="164"/>
        <v>18.996178980465043</v>
      </c>
      <c r="HZ98" s="33"/>
      <c r="ID98" s="31"/>
      <c r="II98" s="12"/>
      <c r="IL98" s="35">
        <f t="shared" si="109"/>
        <v>0</v>
      </c>
      <c r="IM98" s="35">
        <f t="shared" si="110"/>
        <v>4159.9185287495347</v>
      </c>
      <c r="IN98" s="15">
        <f t="shared" si="165"/>
        <v>0.30325897449229289</v>
      </c>
      <c r="IO98" s="28">
        <f t="shared" si="166"/>
        <v>26.951198320386595</v>
      </c>
      <c r="IP98" s="28">
        <f t="shared" si="167"/>
        <v>88.871890322479288</v>
      </c>
      <c r="IQ98" s="33"/>
      <c r="IU98" s="31"/>
      <c r="JC98" s="35">
        <f t="shared" si="111"/>
        <v>0</v>
      </c>
      <c r="JD98" s="35">
        <f t="shared" si="112"/>
        <v>4820.6536131071316</v>
      </c>
      <c r="JE98" s="15" t="e">
        <f t="shared" si="168"/>
        <v>#DIV/0!</v>
      </c>
      <c r="JF98" s="28">
        <f t="shared" si="169"/>
        <v>0</v>
      </c>
      <c r="JG98" s="28">
        <f t="shared" si="170"/>
        <v>0</v>
      </c>
      <c r="JH98" s="33"/>
      <c r="JL98" s="31"/>
      <c r="JR98" s="99"/>
      <c r="JS98" s="99"/>
      <c r="JT98" s="99"/>
      <c r="JU98" s="99"/>
      <c r="JV98" s="99"/>
      <c r="JW98" s="99"/>
      <c r="JX98" s="99"/>
      <c r="JY98" s="99"/>
      <c r="JZ98" s="99"/>
      <c r="KA98" s="99"/>
      <c r="KB98" s="99"/>
      <c r="KC98" s="99"/>
      <c r="KD98" s="99"/>
      <c r="KE98" s="99"/>
      <c r="KF98" s="99"/>
      <c r="KG98" s="99"/>
      <c r="KH98" s="99"/>
      <c r="KI98" s="99"/>
      <c r="KJ98" s="99"/>
      <c r="KK98" s="99"/>
      <c r="KL98" s="99"/>
      <c r="KM98" s="99"/>
      <c r="KN98" s="99"/>
      <c r="KO98" s="99"/>
      <c r="KP98" s="99"/>
      <c r="KQ98" s="99"/>
      <c r="KR98" s="99"/>
      <c r="KS98" s="99"/>
      <c r="KT98" s="99"/>
      <c r="KU98" s="99"/>
      <c r="KV98" s="99"/>
      <c r="KW98" s="99"/>
      <c r="KX98" s="99"/>
      <c r="KY98" s="99"/>
      <c r="KZ98" s="99"/>
      <c r="LA98" s="99"/>
      <c r="LB98" s="99"/>
      <c r="LC98" s="99"/>
      <c r="LD98" s="99"/>
      <c r="LE98" s="99"/>
      <c r="LF98" s="99"/>
      <c r="LG98" s="99"/>
      <c r="LH98" s="99"/>
      <c r="LI98" s="99"/>
      <c r="LJ98" s="99"/>
      <c r="LK98" s="99"/>
      <c r="LL98" s="99"/>
      <c r="LM98" s="99"/>
      <c r="LN98" s="99"/>
      <c r="LO98" s="99"/>
      <c r="LP98" s="99"/>
      <c r="LQ98" s="99"/>
      <c r="LR98" s="99"/>
      <c r="LS98" s="99"/>
      <c r="LT98" s="99"/>
      <c r="LU98" s="99"/>
      <c r="LV98" s="99"/>
      <c r="LW98" s="99"/>
      <c r="LX98" s="99"/>
      <c r="LY98" s="99"/>
      <c r="LZ98" s="99"/>
      <c r="MA98" s="99"/>
      <c r="MB98" s="99"/>
      <c r="MC98" s="99"/>
      <c r="MD98" s="99"/>
      <c r="ME98" s="99"/>
      <c r="MF98" s="99"/>
    </row>
    <row r="99" spans="1:344" ht="17.25" customHeight="1" x14ac:dyDescent="0.25">
      <c r="A99" s="156"/>
      <c r="B99" s="81" t="s">
        <v>5</v>
      </c>
      <c r="C99" s="82">
        <v>45233</v>
      </c>
      <c r="D99" s="49">
        <v>11</v>
      </c>
      <c r="F99" s="103">
        <v>78</v>
      </c>
      <c r="G99" s="89">
        <f t="shared" si="93"/>
        <v>7.2</v>
      </c>
      <c r="H99" s="35">
        <f t="shared" si="94"/>
        <v>561.6</v>
      </c>
      <c r="I99" s="39"/>
      <c r="L99" s="89">
        <f t="shared" si="95"/>
        <v>0</v>
      </c>
      <c r="M99" s="35">
        <f t="shared" si="113"/>
        <v>0</v>
      </c>
      <c r="N99" s="35">
        <f t="shared" si="114"/>
        <v>561.6</v>
      </c>
      <c r="O99" s="97"/>
      <c r="P99" s="150"/>
      <c r="W99" s="11">
        <v>8</v>
      </c>
      <c r="X99" s="1">
        <v>0</v>
      </c>
      <c r="Y99" s="35">
        <f t="shared" si="96"/>
        <v>624</v>
      </c>
      <c r="Z99" s="35">
        <f t="shared" si="115"/>
        <v>0</v>
      </c>
      <c r="AA99" s="15">
        <f t="shared" si="128"/>
        <v>1.0753815590044928</v>
      </c>
      <c r="AB99" s="43">
        <f t="shared" si="173"/>
        <v>570.65627106627153</v>
      </c>
      <c r="AC99" s="43">
        <f t="shared" si="174"/>
        <v>530.65469301383791</v>
      </c>
      <c r="AD99" s="33"/>
      <c r="AH99" s="31"/>
      <c r="AN99" s="11">
        <v>8</v>
      </c>
      <c r="AP99" s="35">
        <f t="shared" si="97"/>
        <v>624</v>
      </c>
      <c r="AQ99" s="35">
        <f t="shared" si="116"/>
        <v>0</v>
      </c>
      <c r="AR99" s="15">
        <f t="shared" si="129"/>
        <v>1.4922646553161776</v>
      </c>
      <c r="AS99" s="28">
        <f t="shared" si="130"/>
        <v>489.59236729563713</v>
      </c>
      <c r="AT99" s="28">
        <f t="shared" si="131"/>
        <v>328.08682129638959</v>
      </c>
      <c r="AU99" s="33"/>
      <c r="AY99" s="31"/>
      <c r="BE99" s="86"/>
      <c r="BF99" s="87"/>
      <c r="BG99" s="35">
        <f t="shared" si="98"/>
        <v>0</v>
      </c>
      <c r="BH99" s="35">
        <f t="shared" si="117"/>
        <v>0</v>
      </c>
      <c r="BI99" s="15">
        <f t="shared" si="132"/>
        <v>0.37992663740403215</v>
      </c>
      <c r="BJ99" s="28">
        <f t="shared" si="133"/>
        <v>121.64152536230225</v>
      </c>
      <c r="BK99" s="28">
        <f t="shared" si="134"/>
        <v>320.17108932781366</v>
      </c>
      <c r="BL99" s="33"/>
      <c r="BP99" s="31"/>
      <c r="BV99" s="11">
        <v>6</v>
      </c>
      <c r="BX99" s="35">
        <f t="shared" si="99"/>
        <v>468</v>
      </c>
      <c r="BY99" s="35">
        <f t="shared" si="118"/>
        <v>0</v>
      </c>
      <c r="BZ99" s="15">
        <f t="shared" si="135"/>
        <v>1.0830077732027981</v>
      </c>
      <c r="CA99" s="28">
        <f t="shared" si="136"/>
        <v>445.19877741698053</v>
      </c>
      <c r="CB99" s="28">
        <f t="shared" si="137"/>
        <v>411.07625303591891</v>
      </c>
      <c r="CC99" s="33"/>
      <c r="CG99" s="31"/>
      <c r="CM99" s="11">
        <v>8.5</v>
      </c>
      <c r="CO99" s="35">
        <f t="shared" si="100"/>
        <v>663</v>
      </c>
      <c r="CP99" s="35">
        <f t="shared" si="119"/>
        <v>0</v>
      </c>
      <c r="CQ99" s="15">
        <f t="shared" si="138"/>
        <v>1.1806488613142705</v>
      </c>
      <c r="CR99" s="28">
        <f t="shared" si="139"/>
        <v>551.5890980763071</v>
      </c>
      <c r="CS99" s="28">
        <f t="shared" si="140"/>
        <v>467.19148779112118</v>
      </c>
      <c r="CT99" s="33"/>
      <c r="CX99" s="31"/>
      <c r="DD99" s="11">
        <v>5.5</v>
      </c>
      <c r="DF99" s="35">
        <f t="shared" si="101"/>
        <v>429</v>
      </c>
      <c r="DG99" s="35">
        <f t="shared" si="120"/>
        <v>0</v>
      </c>
      <c r="DH99" s="15">
        <f t="shared" si="141"/>
        <v>0.95869813199634735</v>
      </c>
      <c r="DI99" s="28">
        <f t="shared" si="142"/>
        <v>368.60721943218323</v>
      </c>
      <c r="DJ99" s="28">
        <f t="shared" si="143"/>
        <v>384.48726155814353</v>
      </c>
      <c r="DK99" s="33"/>
      <c r="DO99" s="31"/>
      <c r="DU99" s="11">
        <v>5</v>
      </c>
      <c r="DW99" s="35">
        <f t="shared" si="102"/>
        <v>390</v>
      </c>
      <c r="DX99" s="35">
        <f t="shared" si="121"/>
        <v>0</v>
      </c>
      <c r="DY99" s="15">
        <f t="shared" si="144"/>
        <v>0.90683144232413859</v>
      </c>
      <c r="DZ99" s="28">
        <f t="shared" si="145"/>
        <v>284.49929747117318</v>
      </c>
      <c r="EA99" s="28">
        <f t="shared" si="146"/>
        <v>313.72897342644359</v>
      </c>
      <c r="EB99" s="33"/>
      <c r="EF99" s="31"/>
      <c r="EL99" s="11">
        <v>8</v>
      </c>
      <c r="EN99" s="35">
        <f t="shared" si="103"/>
        <v>624</v>
      </c>
      <c r="EO99" s="35">
        <f t="shared" si="122"/>
        <v>0</v>
      </c>
      <c r="EP99" s="15">
        <f t="shared" si="147"/>
        <v>1.0222912032603413</v>
      </c>
      <c r="EQ99" s="28">
        <f t="shared" si="148"/>
        <v>543.27885662734548</v>
      </c>
      <c r="ER99" s="28">
        <f t="shared" si="149"/>
        <v>531.43258485908314</v>
      </c>
      <c r="ES99" s="33"/>
      <c r="EW99" s="31"/>
      <c r="FC99" s="11">
        <v>7</v>
      </c>
      <c r="FE99" s="35">
        <f t="shared" si="104"/>
        <v>546</v>
      </c>
      <c r="FF99" s="35">
        <f t="shared" si="123"/>
        <v>0</v>
      </c>
      <c r="FG99" s="15">
        <f t="shared" si="150"/>
        <v>1.0518353103362212</v>
      </c>
      <c r="FH99" s="28">
        <f t="shared" si="151"/>
        <v>566.35702400772925</v>
      </c>
      <c r="FI99" s="28">
        <f t="shared" si="152"/>
        <v>538.44648343921074</v>
      </c>
      <c r="FJ99" s="33"/>
      <c r="FN99" s="31"/>
      <c r="FT99" s="11">
        <v>7</v>
      </c>
      <c r="FV99" s="35">
        <f t="shared" si="105"/>
        <v>546</v>
      </c>
      <c r="FW99" s="35">
        <f t="shared" si="124"/>
        <v>0</v>
      </c>
      <c r="FX99" s="15">
        <f t="shared" si="153"/>
        <v>1.0163382456083183</v>
      </c>
      <c r="FY99" s="28">
        <f t="shared" si="154"/>
        <v>477.00999874561069</v>
      </c>
      <c r="FZ99" s="28">
        <f t="shared" si="155"/>
        <v>469.34177751040107</v>
      </c>
      <c r="GA99" s="33"/>
      <c r="GE99" s="31"/>
      <c r="GK99" s="11">
        <v>9</v>
      </c>
      <c r="GM99" s="35">
        <f t="shared" si="106"/>
        <v>702</v>
      </c>
      <c r="GN99" s="35">
        <f t="shared" si="125"/>
        <v>0</v>
      </c>
      <c r="GO99" s="15">
        <f t="shared" si="156"/>
        <v>1.2299878138137899</v>
      </c>
      <c r="GP99" s="28">
        <f t="shared" si="157"/>
        <v>566.6100420781986</v>
      </c>
      <c r="GQ99" s="28">
        <f t="shared" si="158"/>
        <v>460.66313480076377</v>
      </c>
      <c r="GR99" s="33"/>
      <c r="GV99" s="31"/>
      <c r="HB99" s="11">
        <v>5</v>
      </c>
      <c r="HD99" s="35">
        <f t="shared" si="107"/>
        <v>390</v>
      </c>
      <c r="HE99" s="35">
        <f t="shared" si="126"/>
        <v>0</v>
      </c>
      <c r="HF99" s="15">
        <f t="shared" si="159"/>
        <v>1.0201676390740932</v>
      </c>
      <c r="HG99" s="28">
        <f t="shared" si="160"/>
        <v>241.42761146015727</v>
      </c>
      <c r="HH99" s="28">
        <f t="shared" si="161"/>
        <v>236.65484202113839</v>
      </c>
      <c r="HI99" s="33"/>
      <c r="HM99" s="31"/>
      <c r="HU99" s="35">
        <f t="shared" si="108"/>
        <v>0</v>
      </c>
      <c r="HV99" s="35">
        <f t="shared" si="127"/>
        <v>0</v>
      </c>
      <c r="HW99" s="15">
        <f t="shared" si="162"/>
        <v>1.1522683236590597E-2</v>
      </c>
      <c r="HX99" s="28">
        <f t="shared" si="163"/>
        <v>0.20379130115972202</v>
      </c>
      <c r="HY99" s="28">
        <f t="shared" si="164"/>
        <v>17.686097671467454</v>
      </c>
      <c r="HZ99" s="33"/>
      <c r="ID99" s="31"/>
      <c r="II99" s="12"/>
      <c r="IL99" s="35">
        <f t="shared" si="109"/>
        <v>0</v>
      </c>
      <c r="IM99" s="35">
        <f t="shared" si="110"/>
        <v>4307.4253981671254</v>
      </c>
      <c r="IN99" s="15">
        <f t="shared" si="165"/>
        <v>0.24429195167434706</v>
      </c>
      <c r="IO99" s="28">
        <f t="shared" si="166"/>
        <v>20.213398740289946</v>
      </c>
      <c r="IP99" s="28">
        <f t="shared" si="167"/>
        <v>82.742794438170364</v>
      </c>
      <c r="IQ99" s="33"/>
      <c r="IU99" s="31"/>
      <c r="JC99" s="35">
        <f t="shared" si="111"/>
        <v>0</v>
      </c>
      <c r="JD99" s="35">
        <f t="shared" si="112"/>
        <v>5208.8557778447775</v>
      </c>
      <c r="JE99" s="15" t="e">
        <f t="shared" si="168"/>
        <v>#DIV/0!</v>
      </c>
      <c r="JF99" s="28">
        <f t="shared" si="169"/>
        <v>0</v>
      </c>
      <c r="JG99" s="28">
        <f t="shared" si="170"/>
        <v>0</v>
      </c>
      <c r="JH99" s="33"/>
      <c r="JL99" s="31"/>
      <c r="JR99" s="99"/>
      <c r="JS99" s="99"/>
      <c r="JT99" s="99"/>
      <c r="JU99" s="99"/>
      <c r="JV99" s="99"/>
      <c r="JW99" s="99"/>
      <c r="JX99" s="99"/>
      <c r="JY99" s="99"/>
      <c r="JZ99" s="99"/>
      <c r="KA99" s="99"/>
      <c r="KB99" s="99"/>
      <c r="KC99" s="99"/>
      <c r="KD99" s="99"/>
      <c r="KE99" s="99"/>
      <c r="KF99" s="99"/>
      <c r="KG99" s="99"/>
      <c r="KH99" s="99"/>
      <c r="KI99" s="99"/>
      <c r="KJ99" s="99"/>
      <c r="KK99" s="99"/>
      <c r="KL99" s="99"/>
      <c r="KM99" s="99"/>
      <c r="KN99" s="99"/>
      <c r="KO99" s="99"/>
      <c r="KP99" s="99"/>
      <c r="KQ99" s="99"/>
      <c r="KR99" s="99"/>
      <c r="KS99" s="99"/>
      <c r="KT99" s="99"/>
      <c r="KU99" s="99"/>
      <c r="KV99" s="99"/>
      <c r="KW99" s="99"/>
      <c r="KX99" s="99"/>
      <c r="KY99" s="99"/>
      <c r="KZ99" s="99"/>
      <c r="LA99" s="99"/>
      <c r="LB99" s="99"/>
      <c r="LC99" s="99"/>
      <c r="LD99" s="99"/>
      <c r="LE99" s="99"/>
      <c r="LF99" s="99"/>
      <c r="LG99" s="99"/>
      <c r="LH99" s="99"/>
      <c r="LI99" s="99"/>
      <c r="LJ99" s="99"/>
      <c r="LK99" s="99"/>
      <c r="LL99" s="99"/>
      <c r="LM99" s="99"/>
      <c r="LN99" s="99"/>
      <c r="LO99" s="99"/>
      <c r="LP99" s="99"/>
      <c r="LQ99" s="99"/>
      <c r="LR99" s="99"/>
      <c r="LS99" s="99"/>
      <c r="LT99" s="99"/>
      <c r="LU99" s="99"/>
      <c r="LV99" s="99"/>
      <c r="LW99" s="99"/>
      <c r="LX99" s="99"/>
      <c r="LY99" s="99"/>
      <c r="LZ99" s="99"/>
      <c r="MA99" s="99"/>
      <c r="MB99" s="99"/>
      <c r="MC99" s="99"/>
      <c r="MD99" s="99"/>
      <c r="ME99" s="99"/>
      <c r="MF99" s="99"/>
    </row>
    <row r="100" spans="1:344" ht="17.25" customHeight="1" x14ac:dyDescent="0.25">
      <c r="A100" s="156"/>
      <c r="B100" s="81" t="s">
        <v>6</v>
      </c>
      <c r="C100" s="82">
        <v>45234</v>
      </c>
      <c r="D100" s="49">
        <v>11</v>
      </c>
      <c r="F100" s="103">
        <v>60</v>
      </c>
      <c r="G100" s="89">
        <f t="shared" si="93"/>
        <v>6.5329999999999995</v>
      </c>
      <c r="H100" s="35">
        <f t="shared" si="94"/>
        <v>391.97999999999996</v>
      </c>
      <c r="I100" s="39"/>
      <c r="L100" s="89">
        <f t="shared" si="95"/>
        <v>0</v>
      </c>
      <c r="M100" s="35">
        <f t="shared" si="113"/>
        <v>0</v>
      </c>
      <c r="N100" s="35">
        <f t="shared" si="114"/>
        <v>391.97999999999996</v>
      </c>
      <c r="O100" s="97"/>
      <c r="P100" s="150"/>
      <c r="W100" s="11">
        <v>7</v>
      </c>
      <c r="X100" s="1">
        <v>0</v>
      </c>
      <c r="Y100" s="35">
        <f t="shared" si="96"/>
        <v>420</v>
      </c>
      <c r="Z100" s="35">
        <f t="shared" si="115"/>
        <v>0</v>
      </c>
      <c r="AA100" s="15">
        <f t="shared" si="128"/>
        <v>1.0190600834800889</v>
      </c>
      <c r="AB100" s="43">
        <f t="shared" si="173"/>
        <v>532.99220329970365</v>
      </c>
      <c r="AC100" s="43">
        <f t="shared" si="174"/>
        <v>523.02333487495252</v>
      </c>
      <c r="AD100" s="33"/>
      <c r="AH100" s="31"/>
      <c r="AN100" s="11">
        <v>6</v>
      </c>
      <c r="AP100" s="35">
        <f t="shared" si="97"/>
        <v>360</v>
      </c>
      <c r="AQ100" s="35">
        <f t="shared" si="116"/>
        <v>0</v>
      </c>
      <c r="AR100" s="15">
        <f t="shared" si="129"/>
        <v>1.3842302747151618</v>
      </c>
      <c r="AS100" s="28">
        <f t="shared" si="130"/>
        <v>457.19427547172785</v>
      </c>
      <c r="AT100" s="28">
        <f t="shared" si="131"/>
        <v>330.28773017250069</v>
      </c>
      <c r="AU100" s="33"/>
      <c r="AY100" s="31"/>
      <c r="BE100" s="86"/>
      <c r="BF100" s="87"/>
      <c r="BG100" s="35">
        <f t="shared" si="98"/>
        <v>0</v>
      </c>
      <c r="BH100" s="35">
        <f t="shared" si="117"/>
        <v>0</v>
      </c>
      <c r="BI100" s="15">
        <f t="shared" si="132"/>
        <v>0.30605201346435928</v>
      </c>
      <c r="BJ100" s="28">
        <f t="shared" si="133"/>
        <v>91.231144021726692</v>
      </c>
      <c r="BK100" s="28">
        <f t="shared" si="134"/>
        <v>298.09032454658512</v>
      </c>
      <c r="BL100" s="33"/>
      <c r="BP100" s="31"/>
      <c r="BV100" s="11">
        <v>5</v>
      </c>
      <c r="BX100" s="35">
        <f t="shared" si="99"/>
        <v>300</v>
      </c>
      <c r="BY100" s="35">
        <f t="shared" si="118"/>
        <v>0</v>
      </c>
      <c r="BZ100" s="15">
        <f t="shared" si="135"/>
        <v>1.0135920828447311</v>
      </c>
      <c r="CA100" s="28">
        <f t="shared" si="136"/>
        <v>408.89908306273537</v>
      </c>
      <c r="CB100" s="28">
        <f t="shared" si="137"/>
        <v>403.41582179206239</v>
      </c>
      <c r="CC100" s="33"/>
      <c r="CG100" s="31"/>
      <c r="CM100" s="11">
        <v>7.5</v>
      </c>
      <c r="CO100" s="35">
        <f t="shared" si="100"/>
        <v>450</v>
      </c>
      <c r="CP100" s="35">
        <f t="shared" si="119"/>
        <v>0</v>
      </c>
      <c r="CQ100" s="15">
        <f t="shared" si="138"/>
        <v>1.1291527848766816</v>
      </c>
      <c r="CR100" s="28">
        <f t="shared" si="139"/>
        <v>526.19182355723035</v>
      </c>
      <c r="CS100" s="28">
        <f t="shared" si="140"/>
        <v>466.00586794345764</v>
      </c>
      <c r="CT100" s="33"/>
      <c r="CX100" s="31"/>
      <c r="DD100" s="11">
        <v>5.4</v>
      </c>
      <c r="DF100" s="35">
        <f t="shared" si="101"/>
        <v>324</v>
      </c>
      <c r="DG100" s="35">
        <f t="shared" si="120"/>
        <v>0</v>
      </c>
      <c r="DH100" s="15">
        <f t="shared" si="141"/>
        <v>0.93989122688182603</v>
      </c>
      <c r="DI100" s="28">
        <f t="shared" si="142"/>
        <v>357.45541457413742</v>
      </c>
      <c r="DJ100" s="28">
        <f t="shared" si="143"/>
        <v>380.3157262782716</v>
      </c>
      <c r="DK100" s="33"/>
      <c r="DO100" s="31"/>
      <c r="DU100" s="11">
        <v>5</v>
      </c>
      <c r="DW100" s="35">
        <f t="shared" si="102"/>
        <v>300</v>
      </c>
      <c r="DX100" s="35">
        <f t="shared" si="121"/>
        <v>0</v>
      </c>
      <c r="DY100" s="15">
        <f t="shared" si="144"/>
        <v>0.92196589622806369</v>
      </c>
      <c r="DZ100" s="28">
        <f t="shared" si="145"/>
        <v>288.3744731033799</v>
      </c>
      <c r="EA100" s="28">
        <f t="shared" si="146"/>
        <v>312.78214767289575</v>
      </c>
      <c r="EB100" s="33"/>
      <c r="EF100" s="31"/>
      <c r="EL100" s="11">
        <v>8</v>
      </c>
      <c r="EN100" s="35">
        <f t="shared" si="103"/>
        <v>480</v>
      </c>
      <c r="EO100" s="35">
        <f t="shared" si="122"/>
        <v>0</v>
      </c>
      <c r="EP100" s="15">
        <f t="shared" si="147"/>
        <v>0.9991923105245436</v>
      </c>
      <c r="EQ100" s="28">
        <f t="shared" si="148"/>
        <v>527.45914247050905</v>
      </c>
      <c r="ER100" s="28">
        <f t="shared" si="149"/>
        <v>527.8855100412153</v>
      </c>
      <c r="ES100" s="33"/>
      <c r="EW100" s="31"/>
      <c r="FC100" s="11">
        <v>7</v>
      </c>
      <c r="FE100" s="35">
        <f t="shared" si="104"/>
        <v>420</v>
      </c>
      <c r="FF100" s="35">
        <f t="shared" si="123"/>
        <v>0</v>
      </c>
      <c r="FG100" s="15">
        <f t="shared" si="150"/>
        <v>0.99903825414594105</v>
      </c>
      <c r="FH100" s="28">
        <f t="shared" si="151"/>
        <v>529.76776800579694</v>
      </c>
      <c r="FI100" s="28">
        <f t="shared" si="152"/>
        <v>530.27776044340305</v>
      </c>
      <c r="FJ100" s="33"/>
      <c r="FN100" s="31"/>
      <c r="FT100" s="11">
        <v>7</v>
      </c>
      <c r="FV100" s="35">
        <f t="shared" si="105"/>
        <v>420</v>
      </c>
      <c r="FW100" s="35">
        <f t="shared" si="124"/>
        <v>0</v>
      </c>
      <c r="FX100" s="15">
        <f t="shared" si="153"/>
        <v>0.9931720719844952</v>
      </c>
      <c r="FY100" s="28">
        <f t="shared" si="154"/>
        <v>462.75749905920804</v>
      </c>
      <c r="FZ100" s="28">
        <f t="shared" si="155"/>
        <v>465.93889630278721</v>
      </c>
      <c r="GA100" s="33"/>
      <c r="GE100" s="31"/>
      <c r="GK100" s="11">
        <v>7.43</v>
      </c>
      <c r="GM100" s="35">
        <f t="shared" si="106"/>
        <v>445.79999999999995</v>
      </c>
      <c r="GN100" s="35">
        <f t="shared" si="125"/>
        <v>0</v>
      </c>
      <c r="GO100" s="15">
        <f t="shared" si="156"/>
        <v>1.1670214937292347</v>
      </c>
      <c r="GP100" s="28">
        <f t="shared" si="157"/>
        <v>536.407531558649</v>
      </c>
      <c r="GQ100" s="28">
        <f t="shared" si="158"/>
        <v>459.63809102140073</v>
      </c>
      <c r="GR100" s="33"/>
      <c r="GV100" s="31"/>
      <c r="HB100" s="11">
        <v>6</v>
      </c>
      <c r="HD100" s="35">
        <f t="shared" si="107"/>
        <v>360</v>
      </c>
      <c r="HE100" s="35">
        <f t="shared" si="126"/>
        <v>0</v>
      </c>
      <c r="HF100" s="15">
        <f t="shared" si="159"/>
        <v>1.105682637904422</v>
      </c>
      <c r="HG100" s="28">
        <f t="shared" si="160"/>
        <v>271.07070859511794</v>
      </c>
      <c r="HH100" s="28">
        <f t="shared" si="161"/>
        <v>245.16140464037022</v>
      </c>
      <c r="HI100" s="33"/>
      <c r="HM100" s="31"/>
      <c r="HU100" s="35">
        <f t="shared" si="108"/>
        <v>0</v>
      </c>
      <c r="HV100" s="35">
        <f t="shared" si="127"/>
        <v>0</v>
      </c>
      <c r="HW100" s="15">
        <f t="shared" si="162"/>
        <v>9.2821614961424246E-3</v>
      </c>
      <c r="HX100" s="28">
        <f t="shared" si="163"/>
        <v>0.15284347586979152</v>
      </c>
      <c r="HY100" s="28">
        <f t="shared" si="164"/>
        <v>16.466366797573148</v>
      </c>
      <c r="HZ100" s="33"/>
      <c r="ID100" s="31"/>
      <c r="II100" s="12"/>
      <c r="IL100" s="35">
        <f t="shared" si="109"/>
        <v>0</v>
      </c>
      <c r="IM100" s="35">
        <f t="shared" si="110"/>
        <v>3955.7162174597879</v>
      </c>
      <c r="IN100" s="15">
        <f t="shared" si="165"/>
        <v>0.19679073884877957</v>
      </c>
      <c r="IO100" s="28">
        <f t="shared" si="166"/>
        <v>15.16004905521746</v>
      </c>
      <c r="IP100" s="28">
        <f t="shared" si="167"/>
        <v>77.036394821744821</v>
      </c>
      <c r="IQ100" s="33"/>
      <c r="IU100" s="31"/>
      <c r="JC100" s="35">
        <f t="shared" si="111"/>
        <v>0</v>
      </c>
      <c r="JD100" s="35">
        <f t="shared" si="112"/>
        <v>4888.1840923008394</v>
      </c>
      <c r="JE100" s="15" t="e">
        <f t="shared" si="168"/>
        <v>#DIV/0!</v>
      </c>
      <c r="JF100" s="28">
        <f t="shared" si="169"/>
        <v>0</v>
      </c>
      <c r="JG100" s="28">
        <f t="shared" si="170"/>
        <v>0</v>
      </c>
      <c r="JH100" s="33"/>
      <c r="JL100" s="31"/>
      <c r="JR100" s="99"/>
      <c r="JS100" s="99"/>
      <c r="JT100" s="99"/>
      <c r="JU100" s="99"/>
      <c r="JV100" s="99"/>
      <c r="JW100" s="99"/>
      <c r="JX100" s="99"/>
      <c r="JY100" s="99"/>
      <c r="JZ100" s="99"/>
      <c r="KA100" s="99"/>
      <c r="KB100" s="99"/>
      <c r="KC100" s="99"/>
      <c r="KD100" s="99"/>
      <c r="KE100" s="99"/>
      <c r="KF100" s="99"/>
      <c r="KG100" s="99"/>
      <c r="KH100" s="99"/>
      <c r="KI100" s="99"/>
      <c r="KJ100" s="99"/>
      <c r="KK100" s="99"/>
      <c r="KL100" s="99"/>
      <c r="KM100" s="99"/>
      <c r="KN100" s="99"/>
      <c r="KO100" s="99"/>
      <c r="KP100" s="99"/>
      <c r="KQ100" s="99"/>
      <c r="KR100" s="99"/>
      <c r="KS100" s="99"/>
      <c r="KT100" s="99"/>
      <c r="KU100" s="99"/>
      <c r="KV100" s="99"/>
      <c r="KW100" s="99"/>
      <c r="KX100" s="99"/>
      <c r="KY100" s="99"/>
      <c r="KZ100" s="99"/>
      <c r="LA100" s="99"/>
      <c r="LB100" s="99"/>
      <c r="LC100" s="99"/>
      <c r="LD100" s="99"/>
      <c r="LE100" s="99"/>
      <c r="LF100" s="99"/>
      <c r="LG100" s="99"/>
      <c r="LH100" s="99"/>
      <c r="LI100" s="99"/>
      <c r="LJ100" s="99"/>
      <c r="LK100" s="99"/>
      <c r="LL100" s="99"/>
      <c r="LM100" s="99"/>
      <c r="LN100" s="99"/>
      <c r="LO100" s="99"/>
      <c r="LP100" s="99"/>
      <c r="LQ100" s="99"/>
      <c r="LR100" s="99"/>
      <c r="LS100" s="99"/>
      <c r="LT100" s="99"/>
      <c r="LU100" s="99"/>
      <c r="LV100" s="99"/>
      <c r="LW100" s="99"/>
      <c r="LX100" s="99"/>
      <c r="LY100" s="99"/>
      <c r="LZ100" s="99"/>
      <c r="MA100" s="99"/>
      <c r="MB100" s="99"/>
      <c r="MC100" s="99"/>
      <c r="MD100" s="99"/>
      <c r="ME100" s="99"/>
      <c r="MF100" s="99"/>
    </row>
    <row r="101" spans="1:344" ht="17.25" customHeight="1" x14ac:dyDescent="0.25">
      <c r="A101" s="157"/>
      <c r="B101" s="92" t="s">
        <v>7</v>
      </c>
      <c r="C101" s="93">
        <v>45235</v>
      </c>
      <c r="D101" s="51"/>
      <c r="E101" s="48"/>
      <c r="F101" s="104"/>
      <c r="G101" s="37">
        <f t="shared" si="93"/>
        <v>0</v>
      </c>
      <c r="H101" s="26">
        <f t="shared" si="94"/>
        <v>0</v>
      </c>
      <c r="I101" s="48">
        <v>11</v>
      </c>
      <c r="J101" s="48"/>
      <c r="K101" s="104">
        <v>100</v>
      </c>
      <c r="L101" s="37">
        <f t="shared" si="95"/>
        <v>8.2569999999999997</v>
      </c>
      <c r="M101" s="26">
        <f t="shared" si="113"/>
        <v>825.69999999999993</v>
      </c>
      <c r="N101" s="26">
        <f t="shared" si="114"/>
        <v>825.69999999999993</v>
      </c>
      <c r="O101" s="98"/>
      <c r="P101" s="151"/>
      <c r="Q101" s="125"/>
      <c r="R101" s="115"/>
      <c r="S101" s="130"/>
      <c r="T101" s="110"/>
      <c r="U101" s="120"/>
      <c r="V101" s="23"/>
      <c r="W101" s="13">
        <v>0</v>
      </c>
      <c r="X101" s="2">
        <v>9</v>
      </c>
      <c r="Y101" s="26">
        <f t="shared" si="96"/>
        <v>900</v>
      </c>
      <c r="Z101" s="26">
        <f t="shared" si="115"/>
        <v>0</v>
      </c>
      <c r="AA101" s="16">
        <f t="shared" si="128"/>
        <v>1.1379224598488968</v>
      </c>
      <c r="AB101" s="44">
        <f t="shared" si="173"/>
        <v>624.74415247477771</v>
      </c>
      <c r="AC101" s="44">
        <f t="shared" si="174"/>
        <v>549.02172557323161</v>
      </c>
      <c r="AD101" s="34"/>
      <c r="AE101" s="4"/>
      <c r="AF101" s="5"/>
      <c r="AG101" s="6"/>
      <c r="AH101" s="32"/>
      <c r="AI101" s="3"/>
      <c r="AJ101" s="4"/>
      <c r="AK101" s="5"/>
      <c r="AL101" s="6"/>
      <c r="AM101" s="14"/>
      <c r="AN101" s="13"/>
      <c r="AO101" s="2">
        <v>10</v>
      </c>
      <c r="AP101" s="26">
        <f t="shared" si="97"/>
        <v>1000</v>
      </c>
      <c r="AQ101" s="26">
        <f t="shared" si="116"/>
        <v>0</v>
      </c>
      <c r="AR101" s="16">
        <f t="shared" si="129"/>
        <v>1.5748616719116348</v>
      </c>
      <c r="AS101" s="29">
        <f t="shared" si="130"/>
        <v>592.89570660379582</v>
      </c>
      <c r="AT101" s="29">
        <f t="shared" si="131"/>
        <v>376.47478326405235</v>
      </c>
      <c r="AU101" s="34"/>
      <c r="AV101" s="4"/>
      <c r="AW101" s="5"/>
      <c r="AX101" s="6"/>
      <c r="AY101" s="32"/>
      <c r="AZ101" s="3"/>
      <c r="BA101" s="4"/>
      <c r="BB101" s="5"/>
      <c r="BC101" s="6"/>
      <c r="BD101" s="14"/>
      <c r="BE101" s="95"/>
      <c r="BF101" s="96"/>
      <c r="BG101" s="26">
        <f t="shared" si="98"/>
        <v>0</v>
      </c>
      <c r="BH101" s="26">
        <f t="shared" si="117"/>
        <v>0</v>
      </c>
      <c r="BI101" s="16">
        <f t="shared" si="132"/>
        <v>0.24654189973517832</v>
      </c>
      <c r="BJ101" s="29">
        <f t="shared" si="133"/>
        <v>68.423358016295026</v>
      </c>
      <c r="BK101" s="29">
        <f t="shared" si="134"/>
        <v>277.53237112957925</v>
      </c>
      <c r="BL101" s="34"/>
      <c r="BM101" s="4"/>
      <c r="BN101" s="5"/>
      <c r="BO101" s="6"/>
      <c r="BP101" s="32"/>
      <c r="BQ101" s="3"/>
      <c r="BR101" s="4"/>
      <c r="BS101" s="5"/>
      <c r="BT101" s="6"/>
      <c r="BU101" s="14"/>
      <c r="BV101" s="13"/>
      <c r="BW101" s="2">
        <v>9</v>
      </c>
      <c r="BX101" s="26">
        <f t="shared" si="99"/>
        <v>900</v>
      </c>
      <c r="BY101" s="26">
        <f t="shared" si="118"/>
        <v>0</v>
      </c>
      <c r="BZ101" s="16">
        <f t="shared" si="135"/>
        <v>1.2148029520558534</v>
      </c>
      <c r="CA101" s="29">
        <f t="shared" si="136"/>
        <v>531.67431229705153</v>
      </c>
      <c r="CB101" s="29">
        <f t="shared" si="137"/>
        <v>437.66300649605807</v>
      </c>
      <c r="CC101" s="34"/>
      <c r="CD101" s="4"/>
      <c r="CE101" s="5"/>
      <c r="CF101" s="6"/>
      <c r="CG101" s="32"/>
      <c r="CH101" s="3"/>
      <c r="CI101" s="4"/>
      <c r="CJ101" s="5"/>
      <c r="CK101" s="6"/>
      <c r="CL101" s="14"/>
      <c r="CM101" s="13"/>
      <c r="CN101" s="2">
        <v>6.67</v>
      </c>
      <c r="CO101" s="26">
        <f t="shared" si="100"/>
        <v>667</v>
      </c>
      <c r="CP101" s="26">
        <f t="shared" si="119"/>
        <v>0</v>
      </c>
      <c r="CQ101" s="16">
        <f t="shared" si="138"/>
        <v>1.1698934184336107</v>
      </c>
      <c r="CR101" s="29">
        <f t="shared" si="139"/>
        <v>561.39386766792279</v>
      </c>
      <c r="CS101" s="29">
        <f t="shared" si="140"/>
        <v>479.8675322232192</v>
      </c>
      <c r="CT101" s="34"/>
      <c r="CU101" s="4"/>
      <c r="CV101" s="5"/>
      <c r="CW101" s="6"/>
      <c r="CX101" s="32"/>
      <c r="CY101" s="3"/>
      <c r="CZ101" s="4"/>
      <c r="DA101" s="5"/>
      <c r="DB101" s="6"/>
      <c r="DC101" s="14"/>
      <c r="DD101" s="13"/>
      <c r="DE101" s="2">
        <v>7.4</v>
      </c>
      <c r="DF101" s="26">
        <f t="shared" si="101"/>
        <v>740</v>
      </c>
      <c r="DG101" s="26">
        <f t="shared" si="120"/>
        <v>0</v>
      </c>
      <c r="DH101" s="16">
        <f t="shared" si="141"/>
        <v>1.1184089665478243</v>
      </c>
      <c r="DI101" s="29">
        <f t="shared" si="142"/>
        <v>453.09156093060307</v>
      </c>
      <c r="DJ101" s="29">
        <f t="shared" si="143"/>
        <v>405.12153825908047</v>
      </c>
      <c r="DK101" s="34"/>
      <c r="DL101" s="4"/>
      <c r="DM101" s="5"/>
      <c r="DN101" s="6"/>
      <c r="DO101" s="32"/>
      <c r="DP101" s="3"/>
      <c r="DQ101" s="4"/>
      <c r="DR101" s="5"/>
      <c r="DS101" s="6"/>
      <c r="DT101" s="14"/>
      <c r="DU101" s="13"/>
      <c r="DV101" s="2">
        <v>8.5</v>
      </c>
      <c r="DW101" s="26">
        <f t="shared" si="102"/>
        <v>850</v>
      </c>
      <c r="DX101" s="26">
        <f t="shared" si="121"/>
        <v>0</v>
      </c>
      <c r="DY101" s="16">
        <f t="shared" si="144"/>
        <v>1.225677691055558</v>
      </c>
      <c r="DZ101" s="29">
        <f t="shared" si="145"/>
        <v>428.78085482753494</v>
      </c>
      <c r="EA101" s="29">
        <f t="shared" si="146"/>
        <v>349.83165472993744</v>
      </c>
      <c r="EB101" s="34"/>
      <c r="EC101" s="4"/>
      <c r="ED101" s="5"/>
      <c r="EE101" s="6"/>
      <c r="EF101" s="32"/>
      <c r="EG101" s="3"/>
      <c r="EH101" s="4"/>
      <c r="EI101" s="5"/>
      <c r="EJ101" s="6"/>
      <c r="EK101" s="14"/>
      <c r="EL101" s="13"/>
      <c r="EM101" s="2">
        <v>7</v>
      </c>
      <c r="EN101" s="26">
        <f t="shared" si="103"/>
        <v>700</v>
      </c>
      <c r="EO101" s="26">
        <f t="shared" si="122"/>
        <v>0</v>
      </c>
      <c r="EP101" s="16">
        <f t="shared" si="147"/>
        <v>1.0571349127946894</v>
      </c>
      <c r="EQ101" s="29">
        <f t="shared" si="148"/>
        <v>570.59435685288179</v>
      </c>
      <c r="ER101" s="29">
        <f t="shared" si="149"/>
        <v>539.75547486595906</v>
      </c>
      <c r="ES101" s="34"/>
      <c r="ET101" s="4"/>
      <c r="EU101" s="5"/>
      <c r="EV101" s="6"/>
      <c r="EW101" s="32"/>
      <c r="EX101" s="3"/>
      <c r="EY101" s="4"/>
      <c r="EZ101" s="5"/>
      <c r="FA101" s="6"/>
      <c r="FB101" s="14"/>
      <c r="FC101" s="13"/>
      <c r="FD101" s="2">
        <v>8</v>
      </c>
      <c r="FE101" s="26">
        <f t="shared" si="104"/>
        <v>800</v>
      </c>
      <c r="FF101" s="26">
        <f t="shared" si="123"/>
        <v>0</v>
      </c>
      <c r="FG101" s="16">
        <f t="shared" si="150"/>
        <v>1.0882644550629463</v>
      </c>
      <c r="FH101" s="29">
        <f t="shared" si="151"/>
        <v>597.32582600434773</v>
      </c>
      <c r="FI101" s="29">
        <f t="shared" si="152"/>
        <v>548.87929420592695</v>
      </c>
      <c r="FJ101" s="34"/>
      <c r="FK101" s="4"/>
      <c r="FL101" s="5"/>
      <c r="FM101" s="6"/>
      <c r="FN101" s="32"/>
      <c r="FO101" s="3"/>
      <c r="FP101" s="4"/>
      <c r="FQ101" s="5"/>
      <c r="FR101" s="6"/>
      <c r="FS101" s="14"/>
      <c r="FT101" s="13"/>
      <c r="FU101" s="2">
        <v>7</v>
      </c>
      <c r="FV101" s="26">
        <f t="shared" si="105"/>
        <v>700</v>
      </c>
      <c r="FW101" s="26">
        <f t="shared" si="124"/>
        <v>0</v>
      </c>
      <c r="FX101" s="16">
        <f t="shared" si="153"/>
        <v>1.0829468066077474</v>
      </c>
      <c r="FY101" s="29">
        <f t="shared" si="154"/>
        <v>522.06812429440606</v>
      </c>
      <c r="FZ101" s="29">
        <f t="shared" si="155"/>
        <v>482.08104138535361</v>
      </c>
      <c r="GA101" s="34"/>
      <c r="GB101" s="4"/>
      <c r="GC101" s="5"/>
      <c r="GD101" s="6"/>
      <c r="GE101" s="32"/>
      <c r="GF101" s="3"/>
      <c r="GG101" s="4"/>
      <c r="GH101" s="5"/>
      <c r="GI101" s="6"/>
      <c r="GJ101" s="14"/>
      <c r="GK101" s="13"/>
      <c r="GL101" s="2">
        <v>10</v>
      </c>
      <c r="GM101" s="26">
        <f t="shared" si="106"/>
        <v>1000</v>
      </c>
      <c r="GN101" s="26">
        <f t="shared" si="125"/>
        <v>0</v>
      </c>
      <c r="GO101" s="16">
        <f t="shared" si="156"/>
        <v>1.3127386472108928</v>
      </c>
      <c r="GP101" s="29">
        <f t="shared" si="157"/>
        <v>652.30564866898681</v>
      </c>
      <c r="GQ101" s="29">
        <f t="shared" si="158"/>
        <v>496.9044295716489</v>
      </c>
      <c r="GR101" s="34"/>
      <c r="GS101" s="4"/>
      <c r="GT101" s="5"/>
      <c r="GU101" s="6"/>
      <c r="GV101" s="32"/>
      <c r="GW101" s="3"/>
      <c r="GX101" s="4"/>
      <c r="GY101" s="5"/>
      <c r="GZ101" s="6"/>
      <c r="HA101" s="14"/>
      <c r="HB101" s="13"/>
      <c r="HC101" s="2"/>
      <c r="HD101" s="26">
        <f t="shared" si="107"/>
        <v>0</v>
      </c>
      <c r="HE101" s="26">
        <f t="shared" si="126"/>
        <v>0</v>
      </c>
      <c r="HF101" s="16">
        <f t="shared" si="159"/>
        <v>0.89068879164522874</v>
      </c>
      <c r="HG101" s="29">
        <f t="shared" si="160"/>
        <v>203.30303144633845</v>
      </c>
      <c r="HH101" s="29">
        <f t="shared" si="161"/>
        <v>228.25372156172401</v>
      </c>
      <c r="HI101" s="34"/>
      <c r="HJ101" s="4"/>
      <c r="HK101" s="5"/>
      <c r="HL101" s="6"/>
      <c r="HM101" s="32"/>
      <c r="HN101" s="3"/>
      <c r="HO101" s="4"/>
      <c r="HP101" s="5"/>
      <c r="HQ101" s="6"/>
      <c r="HR101" s="14"/>
      <c r="HS101" s="13"/>
      <c r="HT101" s="2"/>
      <c r="HU101" s="26">
        <f t="shared" si="108"/>
        <v>0</v>
      </c>
      <c r="HV101" s="26">
        <f t="shared" si="127"/>
        <v>0</v>
      </c>
      <c r="HW101" s="16">
        <f t="shared" si="162"/>
        <v>7.4772967607813984E-3</v>
      </c>
      <c r="HX101" s="29">
        <f t="shared" si="163"/>
        <v>0.11463260690234364</v>
      </c>
      <c r="HY101" s="29">
        <f t="shared" si="164"/>
        <v>15.33075529429224</v>
      </c>
      <c r="HZ101" s="34"/>
      <c r="IA101" s="4"/>
      <c r="IB101" s="5"/>
      <c r="IC101" s="6"/>
      <c r="ID101" s="32"/>
      <c r="IE101" s="3"/>
      <c r="IF101" s="4"/>
      <c r="IG101" s="5"/>
      <c r="IH101" s="6"/>
      <c r="II101" s="14"/>
      <c r="IJ101" s="13"/>
      <c r="IK101" s="2"/>
      <c r="IL101" s="26">
        <f t="shared" si="109"/>
        <v>0</v>
      </c>
      <c r="IM101" s="26">
        <f t="shared" si="110"/>
        <v>5218.6566905246636</v>
      </c>
      <c r="IN101" s="16">
        <f t="shared" si="165"/>
        <v>0.15852587296151691</v>
      </c>
      <c r="IO101" s="29">
        <f t="shared" si="166"/>
        <v>11.370036791413096</v>
      </c>
      <c r="IP101" s="29">
        <f t="shared" si="167"/>
        <v>71.723540006452069</v>
      </c>
      <c r="IQ101" s="34"/>
      <c r="IR101" s="4"/>
      <c r="IS101" s="5"/>
      <c r="IT101" s="6"/>
      <c r="IU101" s="32"/>
      <c r="IV101" s="3"/>
      <c r="IW101" s="4"/>
      <c r="IX101" s="5"/>
      <c r="IY101" s="6"/>
      <c r="IZ101" s="14"/>
      <c r="JA101" s="13"/>
      <c r="JB101" s="2"/>
      <c r="JC101" s="26">
        <f t="shared" si="111"/>
        <v>0</v>
      </c>
      <c r="JD101" s="26">
        <f t="shared" si="112"/>
        <v>5315.422812043088</v>
      </c>
      <c r="JE101" s="16" t="e">
        <f t="shared" si="168"/>
        <v>#DIV/0!</v>
      </c>
      <c r="JF101" s="29">
        <f t="shared" si="169"/>
        <v>0</v>
      </c>
      <c r="JG101" s="29">
        <f t="shared" si="170"/>
        <v>0</v>
      </c>
      <c r="JH101" s="34"/>
      <c r="JI101" s="4"/>
      <c r="JJ101" s="5"/>
      <c r="JK101" s="6"/>
      <c r="JL101" s="32"/>
      <c r="JM101" s="3"/>
      <c r="JN101" s="4"/>
      <c r="JO101" s="5"/>
      <c r="JP101" s="6"/>
      <c r="JQ101" s="14"/>
      <c r="JR101" s="99"/>
      <c r="JS101" s="99"/>
      <c r="JT101" s="99"/>
      <c r="JU101" s="99"/>
      <c r="JV101" s="99"/>
      <c r="JW101" s="99"/>
      <c r="JX101" s="99"/>
      <c r="JY101" s="99"/>
      <c r="JZ101" s="99"/>
      <c r="KA101" s="99"/>
      <c r="KB101" s="99"/>
      <c r="KC101" s="99"/>
      <c r="KD101" s="99"/>
      <c r="KE101" s="99"/>
      <c r="KF101" s="99"/>
      <c r="KG101" s="99"/>
      <c r="KH101" s="99"/>
      <c r="KI101" s="99"/>
      <c r="KJ101" s="99"/>
      <c r="KK101" s="99"/>
      <c r="KL101" s="99"/>
      <c r="KM101" s="99"/>
      <c r="KN101" s="99"/>
      <c r="KO101" s="99"/>
      <c r="KP101" s="99"/>
      <c r="KQ101" s="99"/>
      <c r="KR101" s="99"/>
      <c r="KS101" s="99"/>
      <c r="KT101" s="99"/>
      <c r="KU101" s="99"/>
      <c r="KV101" s="99"/>
      <c r="KW101" s="99"/>
      <c r="KX101" s="99"/>
      <c r="KY101" s="99"/>
      <c r="KZ101" s="99"/>
      <c r="LA101" s="99"/>
      <c r="LB101" s="99"/>
      <c r="LC101" s="99"/>
      <c r="LD101" s="99"/>
      <c r="LE101" s="99"/>
      <c r="LF101" s="99"/>
      <c r="LG101" s="99"/>
      <c r="LH101" s="99"/>
      <c r="LI101" s="99"/>
      <c r="LJ101" s="99"/>
      <c r="LK101" s="99"/>
      <c r="LL101" s="99"/>
      <c r="LM101" s="99"/>
      <c r="LN101" s="99"/>
      <c r="LO101" s="99"/>
      <c r="LP101" s="99"/>
      <c r="LQ101" s="99"/>
      <c r="LR101" s="99"/>
      <c r="LS101" s="99"/>
      <c r="LT101" s="99"/>
      <c r="LU101" s="99"/>
      <c r="LV101" s="99"/>
      <c r="LW101" s="99"/>
      <c r="LX101" s="99"/>
      <c r="LY101" s="99"/>
      <c r="LZ101" s="99"/>
      <c r="MA101" s="99"/>
      <c r="MB101" s="99"/>
      <c r="MC101" s="99"/>
      <c r="MD101" s="99"/>
      <c r="ME101" s="99"/>
      <c r="MF101" s="99"/>
    </row>
    <row r="102" spans="1:344" ht="17.25" customHeight="1" x14ac:dyDescent="0.25">
      <c r="A102" s="155" t="s">
        <v>20</v>
      </c>
      <c r="B102" s="79" t="s">
        <v>1</v>
      </c>
      <c r="C102" s="80">
        <v>45236</v>
      </c>
      <c r="D102" s="50"/>
      <c r="G102" s="36">
        <f t="shared" si="93"/>
        <v>0</v>
      </c>
      <c r="H102" s="27">
        <f t="shared" si="94"/>
        <v>0</v>
      </c>
      <c r="I102" s="47"/>
      <c r="K102" s="105"/>
      <c r="L102" s="89">
        <f t="shared" si="95"/>
        <v>0</v>
      </c>
      <c r="M102" s="27">
        <f t="shared" si="113"/>
        <v>0</v>
      </c>
      <c r="N102" s="35">
        <f t="shared" si="114"/>
        <v>0</v>
      </c>
      <c r="O102" s="97"/>
      <c r="P102" s="149">
        <f t="shared" ref="P102" si="176">SUM(N102:N108)</f>
        <v>3643.7663636363636</v>
      </c>
      <c r="W102" s="11">
        <v>0</v>
      </c>
      <c r="X102" s="1">
        <v>0</v>
      </c>
      <c r="Y102" s="27">
        <f t="shared" si="96"/>
        <v>0</v>
      </c>
      <c r="Z102" s="27">
        <f t="shared" si="115"/>
        <v>0</v>
      </c>
      <c r="AA102" s="15">
        <f t="shared" si="128"/>
        <v>0.91665975932272248</v>
      </c>
      <c r="AB102" s="43">
        <f t="shared" si="173"/>
        <v>468.55811435608325</v>
      </c>
      <c r="AC102" s="43">
        <f t="shared" si="174"/>
        <v>511.15815829231906</v>
      </c>
      <c r="AD102" s="33"/>
      <c r="AH102" s="31"/>
      <c r="AP102" s="27">
        <f t="shared" si="97"/>
        <v>0</v>
      </c>
      <c r="AQ102" s="27">
        <f t="shared" si="116"/>
        <v>0</v>
      </c>
      <c r="AR102" s="15">
        <f t="shared" si="129"/>
        <v>1.268638569039928</v>
      </c>
      <c r="AS102" s="28">
        <f t="shared" si="130"/>
        <v>444.67177995284686</v>
      </c>
      <c r="AT102" s="28">
        <f t="shared" si="131"/>
        <v>350.51100510791082</v>
      </c>
      <c r="AU102" s="33"/>
      <c r="AY102" s="31"/>
      <c r="BE102" s="86"/>
      <c r="BF102" s="87"/>
      <c r="BG102" s="27">
        <f t="shared" si="98"/>
        <v>0</v>
      </c>
      <c r="BH102" s="27">
        <f t="shared" si="117"/>
        <v>0</v>
      </c>
      <c r="BI102" s="15">
        <f t="shared" si="132"/>
        <v>0.19860319700889367</v>
      </c>
      <c r="BJ102" s="28">
        <f t="shared" si="133"/>
        <v>51.31751851222127</v>
      </c>
      <c r="BK102" s="28">
        <f t="shared" si="134"/>
        <v>258.39220760340135</v>
      </c>
      <c r="BL102" s="33"/>
      <c r="BP102" s="31"/>
      <c r="BX102" s="27">
        <f t="shared" si="99"/>
        <v>0</v>
      </c>
      <c r="BY102" s="27">
        <f t="shared" si="118"/>
        <v>0</v>
      </c>
      <c r="BZ102" s="15">
        <f t="shared" si="135"/>
        <v>0.97859126693388199</v>
      </c>
      <c r="CA102" s="28">
        <f t="shared" si="136"/>
        <v>398.75573422278865</v>
      </c>
      <c r="CB102" s="28">
        <f t="shared" si="137"/>
        <v>407.47935087564025</v>
      </c>
      <c r="CC102" s="33"/>
      <c r="CG102" s="31"/>
      <c r="CO102" s="27">
        <f t="shared" si="100"/>
        <v>0</v>
      </c>
      <c r="CP102" s="27">
        <f t="shared" si="119"/>
        <v>0</v>
      </c>
      <c r="CQ102" s="15">
        <f t="shared" si="138"/>
        <v>0.94241414262707546</v>
      </c>
      <c r="CR102" s="28">
        <f t="shared" si="139"/>
        <v>421.04540075094212</v>
      </c>
      <c r="CS102" s="28">
        <f t="shared" si="140"/>
        <v>446.77321965610059</v>
      </c>
      <c r="CT102" s="33"/>
      <c r="CX102" s="31"/>
      <c r="DF102" s="27">
        <f t="shared" si="101"/>
        <v>0</v>
      </c>
      <c r="DG102" s="27">
        <f t="shared" si="120"/>
        <v>0</v>
      </c>
      <c r="DH102" s="15">
        <f t="shared" si="141"/>
        <v>0.90094055638574744</v>
      </c>
      <c r="DI102" s="28">
        <f t="shared" si="142"/>
        <v>339.81867069795231</v>
      </c>
      <c r="DJ102" s="28">
        <f t="shared" si="143"/>
        <v>377.18212182741973</v>
      </c>
      <c r="DK102" s="33"/>
      <c r="DO102" s="31"/>
      <c r="DW102" s="27">
        <f t="shared" si="102"/>
        <v>0</v>
      </c>
      <c r="DX102" s="27">
        <f t="shared" si="121"/>
        <v>0</v>
      </c>
      <c r="DY102" s="15">
        <f t="shared" si="144"/>
        <v>0.98735147335031059</v>
      </c>
      <c r="DZ102" s="28">
        <f t="shared" si="145"/>
        <v>321.58564112065119</v>
      </c>
      <c r="EA102" s="28">
        <f t="shared" si="146"/>
        <v>325.7053337140797</v>
      </c>
      <c r="EB102" s="33"/>
      <c r="EF102" s="31"/>
      <c r="EN102" s="27">
        <f t="shared" si="103"/>
        <v>0</v>
      </c>
      <c r="EO102" s="27">
        <f t="shared" si="122"/>
        <v>0</v>
      </c>
      <c r="EP102" s="15">
        <f t="shared" si="147"/>
        <v>0.85158090197349978</v>
      </c>
      <c r="EQ102" s="28">
        <f t="shared" si="148"/>
        <v>427.94576763966131</v>
      </c>
      <c r="ER102" s="28">
        <f t="shared" si="149"/>
        <v>502.53095935796188</v>
      </c>
      <c r="ES102" s="33"/>
      <c r="EW102" s="31"/>
      <c r="FE102" s="27">
        <f t="shared" si="104"/>
        <v>0</v>
      </c>
      <c r="FF102" s="27">
        <f t="shared" si="123"/>
        <v>0</v>
      </c>
      <c r="FG102" s="15">
        <f t="shared" si="150"/>
        <v>0.87665747768959579</v>
      </c>
      <c r="FH102" s="28">
        <f t="shared" si="151"/>
        <v>447.99436950326083</v>
      </c>
      <c r="FI102" s="28">
        <f t="shared" si="152"/>
        <v>511.02554977793199</v>
      </c>
      <c r="FJ102" s="33"/>
      <c r="FN102" s="31"/>
      <c r="FV102" s="27">
        <f t="shared" si="105"/>
        <v>0</v>
      </c>
      <c r="FW102" s="27">
        <f t="shared" si="124"/>
        <v>0</v>
      </c>
      <c r="FX102" s="15">
        <f t="shared" si="153"/>
        <v>0.8723738164340189</v>
      </c>
      <c r="FY102" s="28">
        <f t="shared" si="154"/>
        <v>391.55109322080455</v>
      </c>
      <c r="FZ102" s="28">
        <f t="shared" si="155"/>
        <v>448.83407301394988</v>
      </c>
      <c r="GA102" s="33"/>
      <c r="GE102" s="31"/>
      <c r="GM102" s="27">
        <f t="shared" si="106"/>
        <v>0</v>
      </c>
      <c r="GN102" s="27">
        <f t="shared" si="125"/>
        <v>0</v>
      </c>
      <c r="GO102" s="15">
        <f t="shared" si="156"/>
        <v>1.0574839102532194</v>
      </c>
      <c r="GP102" s="28">
        <f t="shared" si="157"/>
        <v>489.2292365017401</v>
      </c>
      <c r="GQ102" s="28">
        <f t="shared" si="158"/>
        <v>462.63515856670756</v>
      </c>
      <c r="GR102" s="33"/>
      <c r="GV102" s="31"/>
      <c r="HD102" s="27">
        <f t="shared" si="107"/>
        <v>0</v>
      </c>
      <c r="HE102" s="27">
        <f t="shared" si="126"/>
        <v>0</v>
      </c>
      <c r="HF102" s="15">
        <f t="shared" si="159"/>
        <v>0.71749930438087883</v>
      </c>
      <c r="HG102" s="28">
        <f t="shared" si="160"/>
        <v>152.47727358475385</v>
      </c>
      <c r="HH102" s="28">
        <f t="shared" si="161"/>
        <v>212.51208559194993</v>
      </c>
      <c r="HI102" s="33"/>
      <c r="HM102" s="31"/>
      <c r="HU102" s="27">
        <f t="shared" si="108"/>
        <v>0</v>
      </c>
      <c r="HV102" s="27">
        <f t="shared" si="127"/>
        <v>0</v>
      </c>
      <c r="HW102" s="15">
        <f t="shared" si="162"/>
        <v>6.0233779461850157E-3</v>
      </c>
      <c r="HX102" s="28">
        <f t="shared" si="163"/>
        <v>8.5974455176757725E-2</v>
      </c>
      <c r="HY102" s="28">
        <f t="shared" si="164"/>
        <v>14.273461825720361</v>
      </c>
      <c r="HZ102" s="33"/>
      <c r="ID102" s="31"/>
      <c r="II102" s="12"/>
      <c r="IL102" s="27">
        <f t="shared" si="109"/>
        <v>0</v>
      </c>
      <c r="IM102" s="27">
        <f t="shared" si="110"/>
        <v>3635.3554650701572</v>
      </c>
      <c r="IN102" s="15">
        <f t="shared" si="165"/>
        <v>0.12770139766344415</v>
      </c>
      <c r="IO102" s="28">
        <f t="shared" si="166"/>
        <v>8.5275275935598209</v>
      </c>
      <c r="IP102" s="28">
        <f t="shared" si="167"/>
        <v>66.777088971524336</v>
      </c>
      <c r="IQ102" s="33"/>
      <c r="IU102" s="31"/>
      <c r="JC102" s="27">
        <f t="shared" si="111"/>
        <v>0</v>
      </c>
      <c r="JD102" s="27">
        <f t="shared" si="112"/>
        <v>3920.8749437121528</v>
      </c>
      <c r="JE102" s="15" t="e">
        <f t="shared" si="168"/>
        <v>#DIV/0!</v>
      </c>
      <c r="JF102" s="28">
        <f t="shared" si="169"/>
        <v>0</v>
      </c>
      <c r="JG102" s="28">
        <f t="shared" si="170"/>
        <v>0</v>
      </c>
      <c r="JH102" s="33"/>
      <c r="JL102" s="31"/>
      <c r="JR102" s="99"/>
      <c r="JS102" s="99"/>
      <c r="JT102" s="99"/>
      <c r="JU102" s="99"/>
      <c r="JV102" s="99"/>
      <c r="JW102" s="99"/>
      <c r="JX102" s="99"/>
      <c r="JY102" s="99"/>
      <c r="JZ102" s="99"/>
      <c r="KA102" s="99"/>
      <c r="KB102" s="99"/>
      <c r="KC102" s="99"/>
      <c r="KD102" s="99"/>
      <c r="KE102" s="99"/>
      <c r="KF102" s="99"/>
      <c r="KG102" s="99"/>
      <c r="KH102" s="99"/>
      <c r="KI102" s="99"/>
      <c r="KJ102" s="99"/>
      <c r="KK102" s="99"/>
      <c r="KL102" s="99"/>
      <c r="KM102" s="99"/>
      <c r="KN102" s="99"/>
      <c r="KO102" s="99"/>
      <c r="KP102" s="99"/>
      <c r="KQ102" s="99"/>
      <c r="KR102" s="99"/>
      <c r="KS102" s="99"/>
      <c r="KT102" s="99"/>
      <c r="KU102" s="99"/>
      <c r="KV102" s="99"/>
      <c r="KW102" s="99"/>
      <c r="KX102" s="99"/>
      <c r="KY102" s="99"/>
      <c r="KZ102" s="99"/>
      <c r="LA102" s="99"/>
      <c r="LB102" s="99"/>
      <c r="LC102" s="99"/>
      <c r="LD102" s="99"/>
      <c r="LE102" s="99"/>
      <c r="LF102" s="99"/>
      <c r="LG102" s="99"/>
      <c r="LH102" s="99"/>
      <c r="LI102" s="99"/>
      <c r="LJ102" s="99"/>
      <c r="LK102" s="99"/>
      <c r="LL102" s="99"/>
      <c r="LM102" s="99"/>
      <c r="LN102" s="99"/>
      <c r="LO102" s="99"/>
      <c r="LP102" s="99"/>
      <c r="LQ102" s="99"/>
      <c r="LR102" s="99"/>
      <c r="LS102" s="99"/>
      <c r="LT102" s="99"/>
      <c r="LU102" s="99"/>
      <c r="LV102" s="99"/>
      <c r="LW102" s="99"/>
      <c r="LX102" s="99"/>
      <c r="LY102" s="99"/>
      <c r="LZ102" s="99"/>
      <c r="MA102" s="99"/>
      <c r="MB102" s="99"/>
      <c r="MC102" s="99"/>
      <c r="MD102" s="99"/>
      <c r="ME102" s="99"/>
      <c r="MF102" s="99"/>
    </row>
    <row r="103" spans="1:344" ht="17.25" customHeight="1" x14ac:dyDescent="0.25">
      <c r="A103" s="156"/>
      <c r="B103" s="81" t="s">
        <v>2</v>
      </c>
      <c r="C103" s="82">
        <v>45237</v>
      </c>
      <c r="D103" s="49" t="s">
        <v>90</v>
      </c>
      <c r="F103" s="103">
        <v>50</v>
      </c>
      <c r="G103" s="89">
        <f t="shared" si="93"/>
        <v>4.6500000000000004</v>
      </c>
      <c r="H103" s="35">
        <f t="shared" si="94"/>
        <v>232.50000000000003</v>
      </c>
      <c r="I103" s="39">
        <v>12</v>
      </c>
      <c r="K103" s="103">
        <v>69</v>
      </c>
      <c r="L103" s="89">
        <f t="shared" si="95"/>
        <v>7.1</v>
      </c>
      <c r="M103" s="35">
        <f t="shared" si="113"/>
        <v>489.9</v>
      </c>
      <c r="N103" s="35">
        <f t="shared" si="114"/>
        <v>722.4</v>
      </c>
      <c r="O103" s="97"/>
      <c r="P103" s="150"/>
      <c r="W103" s="11">
        <v>0</v>
      </c>
      <c r="X103" s="1">
        <v>7.5</v>
      </c>
      <c r="Y103" s="35">
        <f t="shared" si="96"/>
        <v>517.5</v>
      </c>
      <c r="Z103" s="35">
        <f t="shared" si="115"/>
        <v>0</v>
      </c>
      <c r="AA103" s="15">
        <f t="shared" si="128"/>
        <v>0.93979239592179264</v>
      </c>
      <c r="AB103" s="43">
        <f t="shared" si="173"/>
        <v>480.79358576706244</v>
      </c>
      <c r="AC103" s="43">
        <f t="shared" si="174"/>
        <v>511.59552668595222</v>
      </c>
      <c r="AD103" s="33"/>
      <c r="AH103" s="31"/>
      <c r="AN103" s="11">
        <v>4</v>
      </c>
      <c r="AO103" s="1">
        <v>8</v>
      </c>
      <c r="AP103" s="35">
        <f t="shared" si="97"/>
        <v>752</v>
      </c>
      <c r="AQ103" s="35">
        <f t="shared" si="116"/>
        <v>0</v>
      </c>
      <c r="AR103" s="15">
        <f t="shared" si="129"/>
        <v>1.3789105527576697</v>
      </c>
      <c r="AS103" s="28">
        <f t="shared" si="130"/>
        <v>521.50383496463519</v>
      </c>
      <c r="AT103" s="28">
        <f t="shared" si="131"/>
        <v>378.19990130736528</v>
      </c>
      <c r="AU103" s="33"/>
      <c r="AY103" s="31"/>
      <c r="BG103" s="35">
        <f t="shared" si="98"/>
        <v>0</v>
      </c>
      <c r="BH103" s="35">
        <f t="shared" si="117"/>
        <v>0</v>
      </c>
      <c r="BI103" s="15">
        <f t="shared" si="132"/>
        <v>0.15998590870160878</v>
      </c>
      <c r="BJ103" s="28">
        <f t="shared" si="133"/>
        <v>38.488138884165949</v>
      </c>
      <c r="BK103" s="28">
        <f t="shared" si="134"/>
        <v>240.57205535489089</v>
      </c>
      <c r="BL103" s="33"/>
      <c r="BP103" s="31"/>
      <c r="BV103" s="11">
        <v>5</v>
      </c>
      <c r="BW103" s="1">
        <v>5</v>
      </c>
      <c r="BX103" s="35">
        <f t="shared" si="99"/>
        <v>595</v>
      </c>
      <c r="BY103" s="35">
        <f t="shared" si="118"/>
        <v>0</v>
      </c>
      <c r="BZ103" s="15">
        <f t="shared" si="135"/>
        <v>1.0651860642733118</v>
      </c>
      <c r="CA103" s="28">
        <f t="shared" si="136"/>
        <v>447.81680066709146</v>
      </c>
      <c r="CB103" s="28">
        <f t="shared" si="137"/>
        <v>420.41180943594094</v>
      </c>
      <c r="CC103" s="33"/>
      <c r="CG103" s="31"/>
      <c r="CM103" s="11">
        <v>4.5</v>
      </c>
      <c r="CN103" s="1">
        <v>7</v>
      </c>
      <c r="CO103" s="35">
        <f t="shared" si="100"/>
        <v>708</v>
      </c>
      <c r="CP103" s="35">
        <f t="shared" si="119"/>
        <v>0</v>
      </c>
      <c r="CQ103" s="15">
        <f t="shared" si="138"/>
        <v>1.0602320608602238</v>
      </c>
      <c r="CR103" s="28">
        <f t="shared" si="139"/>
        <v>492.78405056320662</v>
      </c>
      <c r="CS103" s="28">
        <f t="shared" si="140"/>
        <v>464.78885967981779</v>
      </c>
      <c r="CT103" s="33"/>
      <c r="CX103" s="31"/>
      <c r="DD103" s="11">
        <v>4</v>
      </c>
      <c r="DE103" s="1">
        <v>6</v>
      </c>
      <c r="DF103" s="35">
        <f t="shared" si="101"/>
        <v>614</v>
      </c>
      <c r="DG103" s="35">
        <f t="shared" si="120"/>
        <v>0</v>
      </c>
      <c r="DH103" s="15">
        <f t="shared" si="141"/>
        <v>1.0377358849894909</v>
      </c>
      <c r="DI103" s="28">
        <f t="shared" si="142"/>
        <v>408.36400302346425</v>
      </c>
      <c r="DJ103" s="28">
        <f t="shared" si="143"/>
        <v>393.51438928759768</v>
      </c>
      <c r="DK103" s="33"/>
      <c r="DO103" s="31"/>
      <c r="DU103" s="11">
        <v>7</v>
      </c>
      <c r="DV103" s="1">
        <v>7</v>
      </c>
      <c r="DW103" s="35">
        <f t="shared" si="102"/>
        <v>833</v>
      </c>
      <c r="DX103" s="35">
        <f t="shared" si="121"/>
        <v>0</v>
      </c>
      <c r="DY103" s="15">
        <f t="shared" si="144"/>
        <v>1.2460499861725802</v>
      </c>
      <c r="DZ103" s="28">
        <f t="shared" si="145"/>
        <v>449.43923084048839</v>
      </c>
      <c r="EA103" s="28">
        <f t="shared" si="146"/>
        <v>360.69117276828109</v>
      </c>
      <c r="EB103" s="33"/>
      <c r="EF103" s="31"/>
      <c r="EL103" s="11">
        <v>5</v>
      </c>
      <c r="EM103" s="1">
        <v>8</v>
      </c>
      <c r="EN103" s="35">
        <f t="shared" si="103"/>
        <v>802</v>
      </c>
      <c r="EO103" s="35">
        <f t="shared" si="122"/>
        <v>0</v>
      </c>
      <c r="EP103" s="15">
        <f t="shared" si="147"/>
        <v>0.99670350980737576</v>
      </c>
      <c r="EQ103" s="28">
        <f t="shared" si="148"/>
        <v>521.45932572974596</v>
      </c>
      <c r="ER103" s="28">
        <f t="shared" si="149"/>
        <v>523.18399664361959</v>
      </c>
      <c r="ES103" s="33"/>
      <c r="EW103" s="31"/>
      <c r="FC103" s="11">
        <v>6</v>
      </c>
      <c r="FD103" s="1">
        <v>7</v>
      </c>
      <c r="FE103" s="35">
        <f t="shared" si="104"/>
        <v>783</v>
      </c>
      <c r="FF103" s="35">
        <f t="shared" si="123"/>
        <v>0</v>
      </c>
      <c r="FG103" s="15">
        <f t="shared" si="150"/>
        <v>1.0037059907658825</v>
      </c>
      <c r="FH103" s="28">
        <f t="shared" si="151"/>
        <v>531.74577712744565</v>
      </c>
      <c r="FI103" s="28">
        <f t="shared" si="152"/>
        <v>529.78240841393665</v>
      </c>
      <c r="FJ103" s="33"/>
      <c r="FN103" s="31"/>
      <c r="FT103" s="11">
        <v>6</v>
      </c>
      <c r="FU103" s="1">
        <v>7</v>
      </c>
      <c r="FV103" s="35">
        <f t="shared" si="105"/>
        <v>783</v>
      </c>
      <c r="FW103" s="35">
        <f t="shared" si="124"/>
        <v>0</v>
      </c>
      <c r="FX103" s="15">
        <f t="shared" si="153"/>
        <v>1.0371563129170327</v>
      </c>
      <c r="FY103" s="28">
        <f t="shared" si="154"/>
        <v>489.41331991560344</v>
      </c>
      <c r="FZ103" s="28">
        <f t="shared" si="155"/>
        <v>471.87999901298781</v>
      </c>
      <c r="GA103" s="33"/>
      <c r="GE103" s="31"/>
      <c r="GK103" s="11">
        <v>5</v>
      </c>
      <c r="GL103" s="1">
        <v>8.5</v>
      </c>
      <c r="GM103" s="35">
        <f t="shared" si="106"/>
        <v>836.5</v>
      </c>
      <c r="GN103" s="35">
        <f t="shared" si="125"/>
        <v>0</v>
      </c>
      <c r="GO103" s="15">
        <f t="shared" si="156"/>
        <v>1.1794115242746377</v>
      </c>
      <c r="GP103" s="28">
        <f t="shared" si="157"/>
        <v>576.04692737630512</v>
      </c>
      <c r="GQ103" s="28">
        <f t="shared" si="158"/>
        <v>488.41894073452079</v>
      </c>
      <c r="GR103" s="33"/>
      <c r="GV103" s="31"/>
      <c r="HD103" s="35">
        <f t="shared" si="107"/>
        <v>0</v>
      </c>
      <c r="HE103" s="35">
        <f t="shared" si="126"/>
        <v>0</v>
      </c>
      <c r="HF103" s="15">
        <f t="shared" si="159"/>
        <v>0.57798555075126345</v>
      </c>
      <c r="HG103" s="28">
        <f t="shared" si="160"/>
        <v>114.35795518856538</v>
      </c>
      <c r="HH103" s="28">
        <f t="shared" si="161"/>
        <v>197.85607968905683</v>
      </c>
      <c r="HI103" s="33"/>
      <c r="HM103" s="31"/>
      <c r="HU103" s="35">
        <f t="shared" si="108"/>
        <v>0</v>
      </c>
      <c r="HV103" s="35">
        <f t="shared" si="127"/>
        <v>0</v>
      </c>
      <c r="HW103" s="15">
        <f t="shared" si="162"/>
        <v>4.8521655677601517E-3</v>
      </c>
      <c r="HX103" s="28">
        <f t="shared" si="163"/>
        <v>6.4480841382568294E-2</v>
      </c>
      <c r="HY103" s="28">
        <f t="shared" si="164"/>
        <v>13.289085148084473</v>
      </c>
      <c r="HZ103" s="33"/>
      <c r="ID103" s="31"/>
      <c r="II103" s="12"/>
      <c r="IL103" s="35">
        <f t="shared" si="109"/>
        <v>0</v>
      </c>
      <c r="IM103" s="35">
        <f t="shared" si="110"/>
        <v>4491.5218080408904</v>
      </c>
      <c r="IN103" s="15">
        <f t="shared" si="165"/>
        <v>0.10287057033999669</v>
      </c>
      <c r="IO103" s="28">
        <f t="shared" si="166"/>
        <v>6.3956456951698657</v>
      </c>
      <c r="IP103" s="28">
        <f t="shared" si="167"/>
        <v>62.171772490729552</v>
      </c>
      <c r="IQ103" s="33"/>
      <c r="IU103" s="31"/>
      <c r="JC103" s="35">
        <f t="shared" si="111"/>
        <v>0</v>
      </c>
      <c r="JD103" s="35">
        <f t="shared" si="112"/>
        <v>5006.2611968344954</v>
      </c>
      <c r="JE103" s="15" t="e">
        <f t="shared" si="168"/>
        <v>#DIV/0!</v>
      </c>
      <c r="JF103" s="28">
        <f t="shared" si="169"/>
        <v>0</v>
      </c>
      <c r="JG103" s="28">
        <f t="shared" si="170"/>
        <v>0</v>
      </c>
      <c r="JH103" s="33"/>
      <c r="JL103" s="31"/>
      <c r="JR103" s="99"/>
      <c r="JS103" s="99"/>
      <c r="JT103" s="99"/>
      <c r="JU103" s="99"/>
      <c r="JV103" s="99"/>
      <c r="JW103" s="99"/>
      <c r="JX103" s="99"/>
      <c r="JY103" s="99"/>
      <c r="JZ103" s="99"/>
      <c r="KA103" s="99"/>
      <c r="KB103" s="99"/>
      <c r="KC103" s="99"/>
      <c r="KD103" s="99"/>
      <c r="KE103" s="99"/>
      <c r="KF103" s="99"/>
      <c r="KG103" s="99"/>
      <c r="KH103" s="99"/>
      <c r="KI103" s="99"/>
      <c r="KJ103" s="99"/>
      <c r="KK103" s="99"/>
      <c r="KL103" s="99"/>
      <c r="KM103" s="99"/>
      <c r="KN103" s="99"/>
      <c r="KO103" s="99"/>
      <c r="KP103" s="99"/>
      <c r="KQ103" s="99"/>
      <c r="KR103" s="99"/>
      <c r="KS103" s="99"/>
      <c r="KT103" s="99"/>
      <c r="KU103" s="99"/>
      <c r="KV103" s="99"/>
      <c r="KW103" s="99"/>
      <c r="KX103" s="99"/>
      <c r="KY103" s="99"/>
      <c r="KZ103" s="99"/>
      <c r="LA103" s="99"/>
      <c r="LB103" s="99"/>
      <c r="LC103" s="99"/>
      <c r="LD103" s="99"/>
      <c r="LE103" s="99"/>
      <c r="LF103" s="99"/>
      <c r="LG103" s="99"/>
      <c r="LH103" s="99"/>
      <c r="LI103" s="99"/>
      <c r="LJ103" s="99"/>
      <c r="LK103" s="99"/>
      <c r="LL103" s="99"/>
      <c r="LM103" s="99"/>
      <c r="LN103" s="99"/>
      <c r="LO103" s="99"/>
      <c r="LP103" s="99"/>
      <c r="LQ103" s="99"/>
      <c r="LR103" s="99"/>
      <c r="LS103" s="99"/>
      <c r="LT103" s="99"/>
      <c r="LU103" s="99"/>
      <c r="LV103" s="99"/>
      <c r="LW103" s="99"/>
      <c r="LX103" s="99"/>
      <c r="LY103" s="99"/>
      <c r="LZ103" s="99"/>
      <c r="MA103" s="99"/>
      <c r="MB103" s="99"/>
      <c r="MC103" s="99"/>
      <c r="MD103" s="99"/>
      <c r="ME103" s="99"/>
      <c r="MF103" s="99"/>
    </row>
    <row r="104" spans="1:344" ht="17.25" customHeight="1" x14ac:dyDescent="0.25">
      <c r="A104" s="156"/>
      <c r="B104" s="81" t="s">
        <v>3</v>
      </c>
      <c r="C104" s="82">
        <v>45238</v>
      </c>
      <c r="D104" s="49">
        <v>13</v>
      </c>
      <c r="F104" s="103">
        <v>75</v>
      </c>
      <c r="G104" s="89">
        <f t="shared" si="93"/>
        <v>7.2272727272727275</v>
      </c>
      <c r="H104" s="35">
        <f t="shared" si="94"/>
        <v>542.04545454545462</v>
      </c>
      <c r="I104" s="39"/>
      <c r="L104" s="89">
        <f t="shared" si="95"/>
        <v>0</v>
      </c>
      <c r="M104" s="35">
        <f t="shared" si="113"/>
        <v>0</v>
      </c>
      <c r="N104" s="35">
        <f t="shared" si="114"/>
        <v>542.04545454545462</v>
      </c>
      <c r="O104" s="97"/>
      <c r="P104" s="150"/>
      <c r="W104" s="11">
        <v>8</v>
      </c>
      <c r="X104" s="1">
        <v>0</v>
      </c>
      <c r="Y104" s="35">
        <f t="shared" si="96"/>
        <v>600</v>
      </c>
      <c r="Z104" s="35">
        <f t="shared" si="115"/>
        <v>0</v>
      </c>
      <c r="AA104" s="15">
        <f t="shared" si="128"/>
        <v>0.9862907051202543</v>
      </c>
      <c r="AB104" s="43">
        <f t="shared" si="173"/>
        <v>510.59518932529681</v>
      </c>
      <c r="AC104" s="43">
        <f t="shared" si="174"/>
        <v>517.69238691450721</v>
      </c>
      <c r="AD104" s="33"/>
      <c r="AH104" s="31"/>
      <c r="AN104" s="11">
        <v>8</v>
      </c>
      <c r="AP104" s="35">
        <f t="shared" si="97"/>
        <v>600</v>
      </c>
      <c r="AQ104" s="35">
        <f t="shared" si="116"/>
        <v>0</v>
      </c>
      <c r="AR104" s="15">
        <f t="shared" si="129"/>
        <v>1.3751785122702349</v>
      </c>
      <c r="AS104" s="28">
        <f t="shared" si="130"/>
        <v>541.12787622347639</v>
      </c>
      <c r="AT104" s="28">
        <f t="shared" si="131"/>
        <v>393.49645983789185</v>
      </c>
      <c r="AU104" s="33"/>
      <c r="AY104" s="31"/>
      <c r="BE104" s="11">
        <v>7</v>
      </c>
      <c r="BG104" s="35">
        <f t="shared" si="98"/>
        <v>525</v>
      </c>
      <c r="BH104" s="35">
        <f t="shared" si="117"/>
        <v>0</v>
      </c>
      <c r="BI104" s="15">
        <f t="shared" si="132"/>
        <v>0.61538672886375523</v>
      </c>
      <c r="BJ104" s="28">
        <f t="shared" si="133"/>
        <v>160.11610416312448</v>
      </c>
      <c r="BK104" s="28">
        <f t="shared" si="134"/>
        <v>260.18777567524324</v>
      </c>
      <c r="BL104" s="33"/>
      <c r="BP104" s="31"/>
      <c r="BV104" s="11">
        <v>6</v>
      </c>
      <c r="BX104" s="35">
        <f t="shared" si="99"/>
        <v>450</v>
      </c>
      <c r="BY104" s="35">
        <f t="shared" si="118"/>
        <v>0</v>
      </c>
      <c r="BZ104" s="15">
        <f t="shared" si="135"/>
        <v>1.0613328928276826</v>
      </c>
      <c r="CA104" s="28">
        <f t="shared" si="136"/>
        <v>448.36260050031859</v>
      </c>
      <c r="CB104" s="28">
        <f t="shared" si="137"/>
        <v>422.45237430242776</v>
      </c>
      <c r="CC104" s="33"/>
      <c r="CG104" s="31"/>
      <c r="CM104" s="11">
        <v>7</v>
      </c>
      <c r="CO104" s="35">
        <f t="shared" si="100"/>
        <v>525</v>
      </c>
      <c r="CP104" s="35">
        <f t="shared" si="119"/>
        <v>0</v>
      </c>
      <c r="CQ104" s="15">
        <f t="shared" si="138"/>
        <v>1.0680184966900581</v>
      </c>
      <c r="CR104" s="28">
        <f t="shared" si="139"/>
        <v>500.83803792240496</v>
      </c>
      <c r="CS104" s="28">
        <f t="shared" si="140"/>
        <v>468.94135211569238</v>
      </c>
      <c r="CT104" s="33"/>
      <c r="CX104" s="31"/>
      <c r="DD104" s="11">
        <v>7</v>
      </c>
      <c r="DF104" s="35">
        <f t="shared" si="101"/>
        <v>525</v>
      </c>
      <c r="DG104" s="35">
        <f t="shared" si="120"/>
        <v>0</v>
      </c>
      <c r="DH104" s="15">
        <f t="shared" si="141"/>
        <v>1.0867912831939159</v>
      </c>
      <c r="DI104" s="28">
        <f t="shared" si="142"/>
        <v>437.5230022675982</v>
      </c>
      <c r="DJ104" s="28">
        <f t="shared" si="143"/>
        <v>402.58236244017712</v>
      </c>
      <c r="DK104" s="33"/>
      <c r="DO104" s="31"/>
      <c r="DU104" s="11">
        <v>6</v>
      </c>
      <c r="DW104" s="35">
        <f t="shared" si="102"/>
        <v>450</v>
      </c>
      <c r="DX104" s="35">
        <f t="shared" si="121"/>
        <v>0</v>
      </c>
      <c r="DY104" s="15">
        <f t="shared" si="144"/>
        <v>1.2255115992632573</v>
      </c>
      <c r="DZ104" s="28">
        <f t="shared" si="145"/>
        <v>449.57942313036631</v>
      </c>
      <c r="EA104" s="28">
        <f t="shared" si="146"/>
        <v>366.85040223253759</v>
      </c>
      <c r="EB104" s="33"/>
      <c r="EF104" s="31"/>
      <c r="EL104" s="11">
        <v>7</v>
      </c>
      <c r="EN104" s="35">
        <f t="shared" si="103"/>
        <v>525</v>
      </c>
      <c r="EO104" s="35">
        <f t="shared" si="122"/>
        <v>0</v>
      </c>
      <c r="EP104" s="15">
        <f t="shared" si="147"/>
        <v>0.99815645532971453</v>
      </c>
      <c r="EQ104" s="28">
        <f t="shared" si="148"/>
        <v>522.34449429730944</v>
      </c>
      <c r="ER104" s="28">
        <f t="shared" si="149"/>
        <v>523.30923825440448</v>
      </c>
      <c r="ES104" s="33"/>
      <c r="EW104" s="31"/>
      <c r="FC104" s="11">
        <v>8</v>
      </c>
      <c r="FE104" s="35">
        <f t="shared" si="104"/>
        <v>600</v>
      </c>
      <c r="FF104" s="35">
        <f t="shared" si="123"/>
        <v>0</v>
      </c>
      <c r="FG104" s="15">
        <f t="shared" si="150"/>
        <v>1.0265313666282121</v>
      </c>
      <c r="FH104" s="28">
        <f t="shared" si="151"/>
        <v>548.80933284558421</v>
      </c>
      <c r="FI104" s="28">
        <f t="shared" si="152"/>
        <v>534.62500093711344</v>
      </c>
      <c r="FJ104" s="33"/>
      <c r="FN104" s="31"/>
      <c r="FT104" s="11">
        <v>7</v>
      </c>
      <c r="FV104" s="35">
        <f t="shared" si="105"/>
        <v>525</v>
      </c>
      <c r="FW104" s="35">
        <f t="shared" si="124"/>
        <v>0</v>
      </c>
      <c r="FX104" s="15">
        <f t="shared" si="153"/>
        <v>1.0478747897932772</v>
      </c>
      <c r="FY104" s="28">
        <f t="shared" si="154"/>
        <v>498.30998993670255</v>
      </c>
      <c r="FZ104" s="28">
        <f t="shared" si="155"/>
        <v>475.54344735691967</v>
      </c>
      <c r="GA104" s="33"/>
      <c r="GE104" s="31"/>
      <c r="GK104" s="11">
        <v>8.5</v>
      </c>
      <c r="GM104" s="35">
        <f t="shared" si="106"/>
        <v>637.5</v>
      </c>
      <c r="GN104" s="35">
        <f t="shared" si="125"/>
        <v>0</v>
      </c>
      <c r="GO104" s="15">
        <f t="shared" si="156"/>
        <v>1.1859028060088512</v>
      </c>
      <c r="GP104" s="28">
        <f t="shared" si="157"/>
        <v>591.41019553222884</v>
      </c>
      <c r="GQ104" s="28">
        <f t="shared" si="158"/>
        <v>498.70039309765724</v>
      </c>
      <c r="GR104" s="33"/>
      <c r="GV104" s="31"/>
      <c r="HD104" s="35">
        <f t="shared" si="107"/>
        <v>0</v>
      </c>
      <c r="HE104" s="35">
        <f t="shared" si="126"/>
        <v>0</v>
      </c>
      <c r="HF104" s="15">
        <f t="shared" si="159"/>
        <v>0.46559947143851782</v>
      </c>
      <c r="HG104" s="28">
        <f t="shared" si="160"/>
        <v>85.768466391424042</v>
      </c>
      <c r="HH104" s="28">
        <f t="shared" si="161"/>
        <v>184.21083281394945</v>
      </c>
      <c r="HI104" s="33"/>
      <c r="HM104" s="31"/>
      <c r="HS104" s="11">
        <v>6</v>
      </c>
      <c r="HU104" s="35">
        <f t="shared" si="108"/>
        <v>450</v>
      </c>
      <c r="HV104" s="35">
        <f t="shared" si="127"/>
        <v>0</v>
      </c>
      <c r="HW104" s="15">
        <f t="shared" si="162"/>
        <v>2.5928572598934765</v>
      </c>
      <c r="HX104" s="28">
        <f t="shared" si="163"/>
        <v>112.54836063103693</v>
      </c>
      <c r="HY104" s="28">
        <f t="shared" si="164"/>
        <v>43.407079275802786</v>
      </c>
      <c r="HZ104" s="33"/>
      <c r="ID104" s="31"/>
      <c r="II104" s="12"/>
      <c r="IL104" s="35">
        <f t="shared" si="109"/>
        <v>0</v>
      </c>
      <c r="IM104" s="35">
        <f t="shared" si="110"/>
        <v>4358.8962721918961</v>
      </c>
      <c r="IN104" s="15">
        <f t="shared" si="165"/>
        <v>8.2867959440552905E-2</v>
      </c>
      <c r="IO104" s="28">
        <f t="shared" si="166"/>
        <v>4.7967342713773995</v>
      </c>
      <c r="IP104" s="28">
        <f t="shared" si="167"/>
        <v>57.884064043093026</v>
      </c>
      <c r="IQ104" s="33"/>
      <c r="IU104" s="31"/>
      <c r="JC104" s="35">
        <f t="shared" si="111"/>
        <v>0</v>
      </c>
      <c r="JD104" s="35">
        <f t="shared" si="112"/>
        <v>4876.2629677581517</v>
      </c>
      <c r="JE104" s="15" t="e">
        <f t="shared" si="168"/>
        <v>#DIV/0!</v>
      </c>
      <c r="JF104" s="28">
        <f t="shared" si="169"/>
        <v>0</v>
      </c>
      <c r="JG104" s="28">
        <f t="shared" si="170"/>
        <v>0</v>
      </c>
      <c r="JH104" s="33"/>
      <c r="JL104" s="31"/>
      <c r="JR104" s="99"/>
      <c r="JS104" s="99"/>
      <c r="JT104" s="99"/>
      <c r="JU104" s="99"/>
      <c r="JV104" s="99"/>
      <c r="JW104" s="99"/>
      <c r="JX104" s="99"/>
      <c r="JY104" s="99"/>
      <c r="JZ104" s="99"/>
      <c r="KA104" s="99"/>
      <c r="KB104" s="99"/>
      <c r="KC104" s="99"/>
      <c r="KD104" s="99"/>
      <c r="KE104" s="99"/>
      <c r="KF104" s="99"/>
      <c r="KG104" s="99"/>
      <c r="KH104" s="99"/>
      <c r="KI104" s="99"/>
      <c r="KJ104" s="99"/>
      <c r="KK104" s="99"/>
      <c r="KL104" s="99"/>
      <c r="KM104" s="99"/>
      <c r="KN104" s="99"/>
      <c r="KO104" s="99"/>
      <c r="KP104" s="99"/>
      <c r="KQ104" s="99"/>
      <c r="KR104" s="99"/>
      <c r="KS104" s="99"/>
      <c r="KT104" s="99"/>
      <c r="KU104" s="99"/>
      <c r="KV104" s="99"/>
      <c r="KW104" s="99"/>
      <c r="KX104" s="99"/>
      <c r="KY104" s="99"/>
      <c r="KZ104" s="99"/>
      <c r="LA104" s="99"/>
      <c r="LB104" s="99"/>
      <c r="LC104" s="99"/>
      <c r="LD104" s="99"/>
      <c r="LE104" s="99"/>
      <c r="LF104" s="99"/>
      <c r="LG104" s="99"/>
      <c r="LH104" s="99"/>
      <c r="LI104" s="99"/>
      <c r="LJ104" s="99"/>
      <c r="LK104" s="99"/>
      <c r="LL104" s="99"/>
      <c r="LM104" s="99"/>
      <c r="LN104" s="99"/>
      <c r="LO104" s="99"/>
      <c r="LP104" s="99"/>
      <c r="LQ104" s="99"/>
      <c r="LR104" s="99"/>
      <c r="LS104" s="99"/>
      <c r="LT104" s="99"/>
      <c r="LU104" s="99"/>
      <c r="LV104" s="99"/>
      <c r="LW104" s="99"/>
      <c r="LX104" s="99"/>
      <c r="LY104" s="99"/>
      <c r="LZ104" s="99"/>
      <c r="MA104" s="99"/>
      <c r="MB104" s="99"/>
      <c r="MC104" s="99"/>
      <c r="MD104" s="99"/>
      <c r="ME104" s="99"/>
      <c r="MF104" s="99"/>
    </row>
    <row r="105" spans="1:344" ht="17.25" customHeight="1" x14ac:dyDescent="0.25">
      <c r="A105" s="156"/>
      <c r="B105" s="81" t="s">
        <v>4</v>
      </c>
      <c r="C105" s="82">
        <v>45239</v>
      </c>
      <c r="D105" s="49">
        <v>12</v>
      </c>
      <c r="F105" s="103">
        <v>82</v>
      </c>
      <c r="G105" s="89">
        <f t="shared" si="93"/>
        <v>7.4672727272727277</v>
      </c>
      <c r="H105" s="35">
        <f t="shared" si="94"/>
        <v>612.31636363636369</v>
      </c>
      <c r="I105" s="39"/>
      <c r="L105" s="89">
        <f t="shared" si="95"/>
        <v>0</v>
      </c>
      <c r="M105" s="35">
        <f t="shared" si="113"/>
        <v>0</v>
      </c>
      <c r="N105" s="35">
        <f t="shared" si="114"/>
        <v>612.31636363636369</v>
      </c>
      <c r="O105" s="97"/>
      <c r="P105" s="150"/>
      <c r="W105" s="11">
        <v>8</v>
      </c>
      <c r="X105" s="1">
        <v>0</v>
      </c>
      <c r="Y105" s="35">
        <f t="shared" si="96"/>
        <v>656</v>
      </c>
      <c r="Z105" s="35">
        <f t="shared" si="115"/>
        <v>0</v>
      </c>
      <c r="AA105" s="15">
        <f t="shared" si="128"/>
        <v>1.0373945289179551</v>
      </c>
      <c r="AB105" s="43">
        <f t="shared" si="173"/>
        <v>546.94639199397261</v>
      </c>
      <c r="AC105" s="43">
        <f t="shared" si="174"/>
        <v>527.23084298936874</v>
      </c>
      <c r="AD105" s="33"/>
      <c r="AH105" s="31"/>
      <c r="AN105" s="11">
        <v>6</v>
      </c>
      <c r="AP105" s="35">
        <f t="shared" si="97"/>
        <v>492</v>
      </c>
      <c r="AQ105" s="35">
        <f t="shared" si="116"/>
        <v>0</v>
      </c>
      <c r="AR105" s="15">
        <f t="shared" si="129"/>
        <v>1.3211575647054528</v>
      </c>
      <c r="AS105" s="28">
        <f t="shared" si="130"/>
        <v>528.84590716760727</v>
      </c>
      <c r="AT105" s="28">
        <f t="shared" si="131"/>
        <v>400.28980743527859</v>
      </c>
      <c r="AU105" s="33"/>
      <c r="AY105" s="31"/>
      <c r="BE105" s="11">
        <v>8.5</v>
      </c>
      <c r="BG105" s="35">
        <f t="shared" si="98"/>
        <v>697</v>
      </c>
      <c r="BH105" s="35">
        <f t="shared" si="117"/>
        <v>0</v>
      </c>
      <c r="BI105" s="15">
        <f t="shared" si="132"/>
        <v>1.0138620207580311</v>
      </c>
      <c r="BJ105" s="28">
        <f t="shared" si="133"/>
        <v>294.33707812234337</v>
      </c>
      <c r="BK105" s="28">
        <f t="shared" si="134"/>
        <v>290.31275666315747</v>
      </c>
      <c r="BL105" s="33"/>
      <c r="BP105" s="31"/>
      <c r="BV105" s="11">
        <v>7</v>
      </c>
      <c r="BX105" s="35">
        <f t="shared" si="99"/>
        <v>574</v>
      </c>
      <c r="BY105" s="35">
        <f t="shared" si="118"/>
        <v>0</v>
      </c>
      <c r="BZ105" s="15">
        <f t="shared" si="135"/>
        <v>1.1082642404552325</v>
      </c>
      <c r="CA105" s="28">
        <f t="shared" si="136"/>
        <v>479.77195037523893</v>
      </c>
      <c r="CB105" s="28">
        <f t="shared" si="137"/>
        <v>432.90393469536377</v>
      </c>
      <c r="CC105" s="33"/>
      <c r="CG105" s="31"/>
      <c r="CM105" s="11">
        <v>8</v>
      </c>
      <c r="CO105" s="35">
        <f t="shared" si="100"/>
        <v>656</v>
      </c>
      <c r="CP105" s="35">
        <f t="shared" si="119"/>
        <v>0</v>
      </c>
      <c r="CQ105" s="15">
        <f t="shared" si="138"/>
        <v>1.1199284954280351</v>
      </c>
      <c r="CR105" s="28">
        <f t="shared" si="139"/>
        <v>539.62852844180372</v>
      </c>
      <c r="CS105" s="28">
        <f t="shared" si="140"/>
        <v>481.84194852150671</v>
      </c>
      <c r="CT105" s="33"/>
      <c r="CX105" s="31"/>
      <c r="DD105" s="11">
        <v>7.34</v>
      </c>
      <c r="DF105" s="35">
        <f t="shared" si="101"/>
        <v>601.88</v>
      </c>
      <c r="DG105" s="35">
        <f t="shared" si="120"/>
        <v>0</v>
      </c>
      <c r="DH105" s="15">
        <f t="shared" si="141"/>
        <v>1.1496064885221617</v>
      </c>
      <c r="DI105" s="28">
        <f t="shared" si="142"/>
        <v>478.61225170069861</v>
      </c>
      <c r="DJ105" s="28">
        <f t="shared" si="143"/>
        <v>416.32702709947523</v>
      </c>
      <c r="DK105" s="33"/>
      <c r="DO105" s="31"/>
      <c r="DU105" s="11">
        <v>6.8</v>
      </c>
      <c r="DW105" s="35">
        <f t="shared" si="102"/>
        <v>557.6</v>
      </c>
      <c r="DX105" s="35">
        <f t="shared" si="121"/>
        <v>0</v>
      </c>
      <c r="DY105" s="15">
        <f t="shared" si="144"/>
        <v>1.2541516070697509</v>
      </c>
      <c r="DZ105" s="28">
        <f t="shared" si="145"/>
        <v>476.58456734777474</v>
      </c>
      <c r="EA105" s="28">
        <f t="shared" si="146"/>
        <v>380.00554690615564</v>
      </c>
      <c r="EB105" s="33"/>
      <c r="EF105" s="31"/>
      <c r="EL105" s="11">
        <v>8</v>
      </c>
      <c r="EN105" s="35">
        <f t="shared" si="103"/>
        <v>656</v>
      </c>
      <c r="EO105" s="35">
        <f t="shared" si="122"/>
        <v>0</v>
      </c>
      <c r="EP105" s="15">
        <f t="shared" si="147"/>
        <v>1.0437554580987183</v>
      </c>
      <c r="EQ105" s="28">
        <f t="shared" si="148"/>
        <v>555.75837072298214</v>
      </c>
      <c r="ER105" s="28">
        <f t="shared" si="149"/>
        <v>532.46032527134207</v>
      </c>
      <c r="ES105" s="33"/>
      <c r="EW105" s="31"/>
      <c r="FC105" s="11">
        <v>8.5</v>
      </c>
      <c r="FE105" s="35">
        <f t="shared" si="104"/>
        <v>697</v>
      </c>
      <c r="FF105" s="35">
        <f t="shared" si="123"/>
        <v>0</v>
      </c>
      <c r="FG105" s="15">
        <f t="shared" si="150"/>
        <v>1.0733455765007685</v>
      </c>
      <c r="FH105" s="28">
        <f t="shared" si="151"/>
        <v>585.85699963418813</v>
      </c>
      <c r="FI105" s="28">
        <f t="shared" si="152"/>
        <v>545.82327673455382</v>
      </c>
      <c r="FJ105" s="33"/>
      <c r="FN105" s="31"/>
      <c r="FT105" s="11">
        <v>6</v>
      </c>
      <c r="FV105" s="35">
        <f t="shared" si="105"/>
        <v>492</v>
      </c>
      <c r="FW105" s="35">
        <f t="shared" si="124"/>
        <v>0</v>
      </c>
      <c r="FX105" s="15">
        <f t="shared" si="153"/>
        <v>1.0420705263483994</v>
      </c>
      <c r="FY105" s="28">
        <f t="shared" si="154"/>
        <v>496.73249245252691</v>
      </c>
      <c r="FZ105" s="28">
        <f t="shared" si="155"/>
        <v>476.67838202195969</v>
      </c>
      <c r="GA105" s="33"/>
      <c r="GE105" s="31"/>
      <c r="GK105" s="11">
        <v>8</v>
      </c>
      <c r="GM105" s="35">
        <f t="shared" si="106"/>
        <v>656</v>
      </c>
      <c r="GN105" s="35">
        <f t="shared" si="125"/>
        <v>0</v>
      </c>
      <c r="GO105" s="15">
        <f t="shared" si="156"/>
        <v>1.1923447473903155</v>
      </c>
      <c r="GP105" s="28">
        <f t="shared" si="157"/>
        <v>607.5576466491716</v>
      </c>
      <c r="GQ105" s="28">
        <f t="shared" si="158"/>
        <v>509.54864184954295</v>
      </c>
      <c r="GR105" s="33"/>
      <c r="GV105" s="31"/>
      <c r="HD105" s="35">
        <f t="shared" si="107"/>
        <v>0</v>
      </c>
      <c r="HE105" s="35">
        <f t="shared" si="126"/>
        <v>0</v>
      </c>
      <c r="HF105" s="15">
        <f t="shared" si="159"/>
        <v>0.37506624088102825</v>
      </c>
      <c r="HG105" s="28">
        <f t="shared" si="160"/>
        <v>64.326349793568028</v>
      </c>
      <c r="HH105" s="28">
        <f t="shared" si="161"/>
        <v>171.50663744747018</v>
      </c>
      <c r="HI105" s="33"/>
      <c r="HM105" s="31"/>
      <c r="HU105" s="35">
        <f t="shared" si="108"/>
        <v>0</v>
      </c>
      <c r="HV105" s="35">
        <f t="shared" si="127"/>
        <v>0</v>
      </c>
      <c r="HW105" s="15">
        <f t="shared" si="162"/>
        <v>2.0886905704697449</v>
      </c>
      <c r="HX105" s="28">
        <f t="shared" si="163"/>
        <v>84.411270473277696</v>
      </c>
      <c r="HY105" s="28">
        <f t="shared" si="164"/>
        <v>40.413487601609489</v>
      </c>
      <c r="HZ105" s="33"/>
      <c r="ID105" s="31"/>
      <c r="II105" s="12"/>
      <c r="IL105" s="35">
        <f t="shared" si="109"/>
        <v>0</v>
      </c>
      <c r="IM105" s="35">
        <f t="shared" si="110"/>
        <v>4660.9322676991396</v>
      </c>
      <c r="IN105" s="15">
        <f t="shared" si="165"/>
        <v>6.6754745104889837E-2</v>
      </c>
      <c r="IO105" s="28">
        <f t="shared" si="166"/>
        <v>3.5975507035330496</v>
      </c>
      <c r="IP105" s="28">
        <f t="shared" si="167"/>
        <v>53.892059626327992</v>
      </c>
      <c r="IQ105" s="33"/>
      <c r="IU105" s="31"/>
      <c r="JC105" s="35">
        <f t="shared" si="111"/>
        <v>0</v>
      </c>
      <c r="JD105" s="35">
        <f t="shared" si="112"/>
        <v>5227.0836418610324</v>
      </c>
      <c r="JE105" s="15" t="e">
        <f t="shared" si="168"/>
        <v>#DIV/0!</v>
      </c>
      <c r="JF105" s="28">
        <f t="shared" si="169"/>
        <v>0</v>
      </c>
      <c r="JG105" s="28">
        <f t="shared" si="170"/>
        <v>0</v>
      </c>
      <c r="JH105" s="33"/>
      <c r="JL105" s="31"/>
      <c r="JR105" s="99"/>
      <c r="JS105" s="99"/>
      <c r="JT105" s="99"/>
      <c r="JU105" s="99"/>
      <c r="JV105" s="99"/>
      <c r="JW105" s="99"/>
      <c r="JX105" s="99"/>
      <c r="JY105" s="99"/>
      <c r="JZ105" s="99"/>
      <c r="KA105" s="99"/>
      <c r="KB105" s="99"/>
      <c r="KC105" s="99"/>
      <c r="KD105" s="99"/>
      <c r="KE105" s="99"/>
      <c r="KF105" s="99"/>
      <c r="KG105" s="99"/>
      <c r="KH105" s="99"/>
      <c r="KI105" s="99"/>
      <c r="KJ105" s="99"/>
      <c r="KK105" s="99"/>
      <c r="KL105" s="99"/>
      <c r="KM105" s="99"/>
      <c r="KN105" s="99"/>
      <c r="KO105" s="99"/>
      <c r="KP105" s="99"/>
      <c r="KQ105" s="99"/>
      <c r="KR105" s="99"/>
      <c r="KS105" s="99"/>
      <c r="KT105" s="99"/>
      <c r="KU105" s="99"/>
      <c r="KV105" s="99"/>
      <c r="KW105" s="99"/>
      <c r="KX105" s="99"/>
      <c r="KY105" s="99"/>
      <c r="KZ105" s="99"/>
      <c r="LA105" s="99"/>
      <c r="LB105" s="99"/>
      <c r="LC105" s="99"/>
      <c r="LD105" s="99"/>
      <c r="LE105" s="99"/>
      <c r="LF105" s="99"/>
      <c r="LG105" s="99"/>
      <c r="LH105" s="99"/>
      <c r="LI105" s="99"/>
      <c r="LJ105" s="99"/>
      <c r="LK105" s="99"/>
      <c r="LL105" s="99"/>
      <c r="LM105" s="99"/>
      <c r="LN105" s="99"/>
      <c r="LO105" s="99"/>
      <c r="LP105" s="99"/>
      <c r="LQ105" s="99"/>
      <c r="LR105" s="99"/>
      <c r="LS105" s="99"/>
      <c r="LT105" s="99"/>
      <c r="LU105" s="99"/>
      <c r="LV105" s="99"/>
      <c r="LW105" s="99"/>
      <c r="LX105" s="99"/>
      <c r="LY105" s="99"/>
      <c r="LZ105" s="99"/>
      <c r="MA105" s="99"/>
      <c r="MB105" s="99"/>
      <c r="MC105" s="99"/>
      <c r="MD105" s="99"/>
      <c r="ME105" s="99"/>
      <c r="MF105" s="99"/>
    </row>
    <row r="106" spans="1:344" ht="17.25" customHeight="1" x14ac:dyDescent="0.25">
      <c r="A106" s="156"/>
      <c r="B106" s="81" t="s">
        <v>5</v>
      </c>
      <c r="C106" s="82">
        <v>45240</v>
      </c>
      <c r="D106" s="49">
        <v>12</v>
      </c>
      <c r="F106" s="103">
        <v>77</v>
      </c>
      <c r="G106" s="89">
        <f t="shared" si="93"/>
        <v>7.1227272727272721</v>
      </c>
      <c r="H106" s="35">
        <f t="shared" si="94"/>
        <v>548.44999999999993</v>
      </c>
      <c r="I106" s="39"/>
      <c r="L106" s="89">
        <f t="shared" si="95"/>
        <v>0</v>
      </c>
      <c r="M106" s="35">
        <f t="shared" si="113"/>
        <v>0</v>
      </c>
      <c r="N106" s="35">
        <f t="shared" si="114"/>
        <v>548.44999999999993</v>
      </c>
      <c r="O106" s="97"/>
      <c r="P106" s="150"/>
      <c r="W106" s="11">
        <v>8.9</v>
      </c>
      <c r="X106" s="1">
        <v>0</v>
      </c>
      <c r="Y106" s="35">
        <f t="shared" si="96"/>
        <v>685.30000000000007</v>
      </c>
      <c r="Z106" s="35">
        <f t="shared" si="115"/>
        <v>0</v>
      </c>
      <c r="AA106" s="15">
        <f t="shared" si="128"/>
        <v>1.080654219768689</v>
      </c>
      <c r="AB106" s="43">
        <f t="shared" si="173"/>
        <v>581.5347939954795</v>
      </c>
      <c r="AC106" s="43">
        <f t="shared" si="174"/>
        <v>538.13216416251566</v>
      </c>
      <c r="AD106" s="33"/>
      <c r="AH106" s="31"/>
      <c r="AN106" s="11">
        <v>8.5</v>
      </c>
      <c r="AP106" s="35">
        <f t="shared" si="97"/>
        <v>654.5</v>
      </c>
      <c r="AQ106" s="35">
        <f t="shared" si="116"/>
        <v>0</v>
      </c>
      <c r="AR106" s="15">
        <f t="shared" si="129"/>
        <v>1.3409060333930387</v>
      </c>
      <c r="AS106" s="28">
        <f t="shared" si="130"/>
        <v>560.25943037570551</v>
      </c>
      <c r="AT106" s="28">
        <f t="shared" si="131"/>
        <v>417.82154485353522</v>
      </c>
      <c r="AU106" s="33"/>
      <c r="AY106" s="31"/>
      <c r="BE106" s="11">
        <v>8</v>
      </c>
      <c r="BG106" s="35">
        <f t="shared" si="98"/>
        <v>616</v>
      </c>
      <c r="BH106" s="35">
        <f t="shared" si="117"/>
        <v>0</v>
      </c>
      <c r="BI106" s="15">
        <f t="shared" si="132"/>
        <v>1.1981586495728624</v>
      </c>
      <c r="BJ106" s="28">
        <f t="shared" si="133"/>
        <v>374.75280859175751</v>
      </c>
      <c r="BK106" s="28">
        <f t="shared" si="134"/>
        <v>312.77394585880177</v>
      </c>
      <c r="BL106" s="33"/>
      <c r="BP106" s="31"/>
      <c r="BV106" s="11">
        <v>6</v>
      </c>
      <c r="BX106" s="35">
        <f t="shared" si="99"/>
        <v>462</v>
      </c>
      <c r="BY106" s="35">
        <f t="shared" si="118"/>
        <v>0</v>
      </c>
      <c r="BZ106" s="15">
        <f t="shared" si="135"/>
        <v>1.0929349770283292</v>
      </c>
      <c r="CA106" s="28">
        <f t="shared" si="136"/>
        <v>475.3289627814292</v>
      </c>
      <c r="CB106" s="28">
        <f t="shared" si="137"/>
        <v>434.91055988878696</v>
      </c>
      <c r="CC106" s="33"/>
      <c r="CG106" s="31"/>
      <c r="CM106" s="11">
        <v>8</v>
      </c>
      <c r="CO106" s="35">
        <f t="shared" si="100"/>
        <v>616</v>
      </c>
      <c r="CP106" s="35">
        <f t="shared" si="119"/>
        <v>0</v>
      </c>
      <c r="CQ106" s="15">
        <f t="shared" si="138"/>
        <v>1.1377071131177094</v>
      </c>
      <c r="CR106" s="28">
        <f t="shared" si="139"/>
        <v>558.72139633135282</v>
      </c>
      <c r="CS106" s="28">
        <f t="shared" si="140"/>
        <v>491.09422793381657</v>
      </c>
      <c r="CT106" s="33"/>
      <c r="CX106" s="31"/>
      <c r="DD106" s="11">
        <v>6.2</v>
      </c>
      <c r="DF106" s="35">
        <f t="shared" si="101"/>
        <v>477.40000000000003</v>
      </c>
      <c r="DG106" s="35">
        <f t="shared" si="120"/>
        <v>0</v>
      </c>
      <c r="DH106" s="15">
        <f t="shared" si="141"/>
        <v>1.1373718930193184</v>
      </c>
      <c r="DI106" s="28">
        <f t="shared" si="142"/>
        <v>478.30918877552398</v>
      </c>
      <c r="DJ106" s="28">
        <f t="shared" si="143"/>
        <v>420.53895626502862</v>
      </c>
      <c r="DK106" s="33"/>
      <c r="DO106" s="31"/>
      <c r="DU106" s="11">
        <v>6</v>
      </c>
      <c r="DW106" s="35">
        <f t="shared" si="102"/>
        <v>462</v>
      </c>
      <c r="DX106" s="35">
        <f t="shared" si="121"/>
        <v>0</v>
      </c>
      <c r="DY106" s="15">
        <f t="shared" si="144"/>
        <v>1.2263081795396615</v>
      </c>
      <c r="DZ106" s="28">
        <f t="shared" si="145"/>
        <v>472.93842551083105</v>
      </c>
      <c r="EA106" s="28">
        <f t="shared" si="146"/>
        <v>385.66033677469665</v>
      </c>
      <c r="EB106" s="33"/>
      <c r="EF106" s="31"/>
      <c r="EL106" s="11">
        <v>7</v>
      </c>
      <c r="EN106" s="35">
        <f t="shared" si="103"/>
        <v>539</v>
      </c>
      <c r="EO106" s="35">
        <f t="shared" si="122"/>
        <v>0</v>
      </c>
      <c r="EP106" s="15">
        <f t="shared" si="147"/>
        <v>1.0350104030708265</v>
      </c>
      <c r="EQ106" s="28">
        <f t="shared" si="148"/>
        <v>551.56877804223654</v>
      </c>
      <c r="ER106" s="28">
        <f t="shared" si="149"/>
        <v>532.91133732159437</v>
      </c>
      <c r="ES106" s="33"/>
      <c r="EW106" s="31"/>
      <c r="FC106" s="11">
        <v>7</v>
      </c>
      <c r="FE106" s="35">
        <f t="shared" si="104"/>
        <v>539</v>
      </c>
      <c r="FF106" s="35">
        <f t="shared" si="123"/>
        <v>0</v>
      </c>
      <c r="FG106" s="15">
        <f t="shared" si="150"/>
        <v>1.0527916034660911</v>
      </c>
      <c r="FH106" s="28">
        <f t="shared" si="151"/>
        <v>574.14274972564112</v>
      </c>
      <c r="FI106" s="28">
        <f t="shared" si="152"/>
        <v>545.35270592527422</v>
      </c>
      <c r="FJ106" s="33"/>
      <c r="FN106" s="31"/>
      <c r="FT106" s="11">
        <v>5</v>
      </c>
      <c r="FV106" s="35">
        <f t="shared" si="105"/>
        <v>385</v>
      </c>
      <c r="FW106" s="35">
        <f t="shared" si="124"/>
        <v>0</v>
      </c>
      <c r="FX106" s="15">
        <f t="shared" si="153"/>
        <v>0.99669108818963648</v>
      </c>
      <c r="FY106" s="28">
        <f t="shared" si="154"/>
        <v>468.79936933939518</v>
      </c>
      <c r="FZ106" s="28">
        <f t="shared" si="155"/>
        <v>470.35573498596244</v>
      </c>
      <c r="GA106" s="33"/>
      <c r="GE106" s="31"/>
      <c r="GK106" s="11">
        <v>7.75</v>
      </c>
      <c r="GM106" s="35">
        <f t="shared" si="106"/>
        <v>596.75</v>
      </c>
      <c r="GN106" s="35">
        <f t="shared" si="125"/>
        <v>0</v>
      </c>
      <c r="GO106" s="15">
        <f t="shared" si="156"/>
        <v>1.1731956870636073</v>
      </c>
      <c r="GP106" s="28">
        <f t="shared" si="157"/>
        <v>604.8557349868787</v>
      </c>
      <c r="GQ106" s="28">
        <f t="shared" si="158"/>
        <v>515.56252861854</v>
      </c>
      <c r="GR106" s="33"/>
      <c r="GV106" s="31"/>
      <c r="HD106" s="35">
        <f t="shared" si="107"/>
        <v>0</v>
      </c>
      <c r="HE106" s="35">
        <f t="shared" si="126"/>
        <v>0</v>
      </c>
      <c r="HF106" s="15">
        <f t="shared" si="159"/>
        <v>0.30213669404305055</v>
      </c>
      <c r="HG106" s="28">
        <f t="shared" si="160"/>
        <v>48.244762345176021</v>
      </c>
      <c r="HH106" s="28">
        <f t="shared" si="161"/>
        <v>159.67859348557568</v>
      </c>
      <c r="HI106" s="33"/>
      <c r="HM106" s="31"/>
      <c r="HU106" s="35">
        <f t="shared" si="108"/>
        <v>0</v>
      </c>
      <c r="HV106" s="35">
        <f t="shared" si="127"/>
        <v>0</v>
      </c>
      <c r="HW106" s="15">
        <f t="shared" si="162"/>
        <v>1.6825562928784059</v>
      </c>
      <c r="HX106" s="28">
        <f t="shared" si="163"/>
        <v>63.308452854958276</v>
      </c>
      <c r="HY106" s="28">
        <f t="shared" si="164"/>
        <v>37.626350525636418</v>
      </c>
      <c r="HZ106" s="33"/>
      <c r="ID106" s="31"/>
      <c r="II106" s="12"/>
      <c r="IL106" s="35">
        <f t="shared" si="109"/>
        <v>0</v>
      </c>
      <c r="IM106" s="35">
        <f t="shared" si="110"/>
        <v>4541.1474555007371</v>
      </c>
      <c r="IN106" s="15">
        <f t="shared" si="165"/>
        <v>5.3774655778939043E-2</v>
      </c>
      <c r="IO106" s="28">
        <f t="shared" si="166"/>
        <v>2.6981630276497874</v>
      </c>
      <c r="IP106" s="28">
        <f t="shared" si="167"/>
        <v>50.175365858995022</v>
      </c>
      <c r="IQ106" s="33"/>
      <c r="IU106" s="31"/>
      <c r="JC106" s="35">
        <f t="shared" si="111"/>
        <v>0</v>
      </c>
      <c r="JD106" s="35">
        <f t="shared" si="112"/>
        <v>5309.7698463338475</v>
      </c>
      <c r="JE106" s="15" t="e">
        <f t="shared" si="168"/>
        <v>#DIV/0!</v>
      </c>
      <c r="JF106" s="28">
        <f t="shared" si="169"/>
        <v>0</v>
      </c>
      <c r="JG106" s="28">
        <f t="shared" si="170"/>
        <v>0</v>
      </c>
      <c r="JH106" s="33"/>
      <c r="JL106" s="31"/>
      <c r="JR106" s="99"/>
      <c r="JS106" s="99"/>
      <c r="JT106" s="99"/>
      <c r="JU106" s="99"/>
      <c r="JV106" s="99"/>
      <c r="JW106" s="99"/>
      <c r="JX106" s="99"/>
      <c r="JY106" s="99"/>
      <c r="JZ106" s="99"/>
      <c r="KA106" s="99"/>
      <c r="KB106" s="99"/>
      <c r="KC106" s="99"/>
      <c r="KD106" s="99"/>
      <c r="KE106" s="99"/>
      <c r="KF106" s="99"/>
      <c r="KG106" s="99"/>
      <c r="KH106" s="99"/>
      <c r="KI106" s="99"/>
      <c r="KJ106" s="99"/>
      <c r="KK106" s="99"/>
      <c r="KL106" s="99"/>
      <c r="KM106" s="99"/>
      <c r="KN106" s="99"/>
      <c r="KO106" s="99"/>
      <c r="KP106" s="99"/>
      <c r="KQ106" s="99"/>
      <c r="KR106" s="99"/>
      <c r="KS106" s="99"/>
      <c r="KT106" s="99"/>
      <c r="KU106" s="99"/>
      <c r="KV106" s="99"/>
      <c r="KW106" s="99"/>
      <c r="KX106" s="99"/>
      <c r="KY106" s="99"/>
      <c r="KZ106" s="99"/>
      <c r="LA106" s="99"/>
      <c r="LB106" s="99"/>
      <c r="LC106" s="99"/>
      <c r="LD106" s="99"/>
      <c r="LE106" s="99"/>
      <c r="LF106" s="99"/>
      <c r="LG106" s="99"/>
      <c r="LH106" s="99"/>
      <c r="LI106" s="99"/>
      <c r="LJ106" s="99"/>
      <c r="LK106" s="99"/>
      <c r="LL106" s="99"/>
      <c r="LM106" s="99"/>
      <c r="LN106" s="99"/>
      <c r="LO106" s="99"/>
      <c r="LP106" s="99"/>
      <c r="LQ106" s="99"/>
      <c r="LR106" s="99"/>
      <c r="LS106" s="99"/>
      <c r="LT106" s="99"/>
      <c r="LU106" s="99"/>
      <c r="LV106" s="99"/>
      <c r="LW106" s="99"/>
      <c r="LX106" s="99"/>
      <c r="LY106" s="99"/>
      <c r="LZ106" s="99"/>
      <c r="MA106" s="99"/>
      <c r="MB106" s="99"/>
      <c r="MC106" s="99"/>
      <c r="MD106" s="99"/>
      <c r="ME106" s="99"/>
      <c r="MF106" s="99"/>
    </row>
    <row r="107" spans="1:344" ht="17.25" customHeight="1" x14ac:dyDescent="0.25">
      <c r="A107" s="156"/>
      <c r="B107" s="81" t="s">
        <v>6</v>
      </c>
      <c r="C107" s="82">
        <v>45241</v>
      </c>
      <c r="D107" s="49">
        <v>12</v>
      </c>
      <c r="F107" s="103">
        <v>68</v>
      </c>
      <c r="G107" s="89">
        <f t="shared" si="93"/>
        <v>5.9272727272727277</v>
      </c>
      <c r="H107" s="35">
        <f t="shared" si="94"/>
        <v>403.05454545454546</v>
      </c>
      <c r="I107" s="39"/>
      <c r="L107" s="89">
        <f t="shared" si="95"/>
        <v>0</v>
      </c>
      <c r="M107" s="35">
        <f t="shared" si="113"/>
        <v>0</v>
      </c>
      <c r="N107" s="35">
        <f t="shared" si="114"/>
        <v>403.05454545454546</v>
      </c>
      <c r="O107" s="97"/>
      <c r="P107" s="150"/>
      <c r="W107" s="11">
        <v>5</v>
      </c>
      <c r="X107" s="1">
        <v>0</v>
      </c>
      <c r="Y107" s="35">
        <f t="shared" si="96"/>
        <v>340</v>
      </c>
      <c r="Z107" s="35">
        <f t="shared" si="115"/>
        <v>0</v>
      </c>
      <c r="AA107" s="15">
        <f t="shared" si="128"/>
        <v>0.99367591109413611</v>
      </c>
      <c r="AB107" s="43">
        <f t="shared" si="173"/>
        <v>521.15109549660963</v>
      </c>
      <c r="AC107" s="43">
        <f t="shared" si="174"/>
        <v>524.46787697889386</v>
      </c>
      <c r="AD107" s="33"/>
      <c r="AH107" s="31"/>
      <c r="AN107" s="11">
        <v>6.5</v>
      </c>
      <c r="AP107" s="35">
        <f t="shared" si="97"/>
        <v>442</v>
      </c>
      <c r="AQ107" s="35">
        <f t="shared" si="116"/>
        <v>0</v>
      </c>
      <c r="AR107" s="15">
        <f t="shared" si="129"/>
        <v>1.2650976348917191</v>
      </c>
      <c r="AS107" s="28">
        <f t="shared" si="130"/>
        <v>530.69457278177913</v>
      </c>
      <c r="AT107" s="28">
        <f t="shared" si="131"/>
        <v>419.48902451880861</v>
      </c>
      <c r="AU107" s="33"/>
      <c r="AY107" s="31"/>
      <c r="BE107" s="11">
        <v>5.5</v>
      </c>
      <c r="BG107" s="35">
        <f t="shared" si="98"/>
        <v>374</v>
      </c>
      <c r="BH107" s="35">
        <f t="shared" si="117"/>
        <v>0</v>
      </c>
      <c r="BI107" s="15">
        <f t="shared" si="132"/>
        <v>1.1816051167059267</v>
      </c>
      <c r="BJ107" s="28">
        <f t="shared" si="133"/>
        <v>374.56460644381815</v>
      </c>
      <c r="BK107" s="28">
        <f t="shared" si="134"/>
        <v>316.99643235129821</v>
      </c>
      <c r="BL107" s="33"/>
      <c r="BP107" s="31"/>
      <c r="BV107" s="11">
        <v>3</v>
      </c>
      <c r="BX107" s="35">
        <f t="shared" si="99"/>
        <v>204</v>
      </c>
      <c r="BY107" s="35">
        <f t="shared" si="118"/>
        <v>0</v>
      </c>
      <c r="BZ107" s="15">
        <f t="shared" si="135"/>
        <v>0.97257908378131663</v>
      </c>
      <c r="CA107" s="28">
        <f t="shared" si="136"/>
        <v>407.49672208607188</v>
      </c>
      <c r="CB107" s="28">
        <f t="shared" si="137"/>
        <v>418.98569368956026</v>
      </c>
      <c r="CC107" s="33"/>
      <c r="CG107" s="31"/>
      <c r="CM107" s="11">
        <v>7</v>
      </c>
      <c r="CO107" s="35">
        <f t="shared" si="100"/>
        <v>476</v>
      </c>
      <c r="CP107" s="35">
        <f t="shared" si="119"/>
        <v>0</v>
      </c>
      <c r="CQ107" s="15">
        <f t="shared" si="138"/>
        <v>1.0979236457975834</v>
      </c>
      <c r="CR107" s="28">
        <f t="shared" si="139"/>
        <v>538.04104724851459</v>
      </c>
      <c r="CS107" s="28">
        <f t="shared" si="140"/>
        <v>490.05324669700161</v>
      </c>
      <c r="CT107" s="33"/>
      <c r="CX107" s="31"/>
      <c r="DD107" s="11">
        <v>5</v>
      </c>
      <c r="DF107" s="35">
        <f t="shared" si="101"/>
        <v>340</v>
      </c>
      <c r="DG107" s="35">
        <f t="shared" si="120"/>
        <v>0</v>
      </c>
      <c r="DH107" s="15">
        <f t="shared" si="141"/>
        <v>1.069273293201072</v>
      </c>
      <c r="DI107" s="28">
        <f t="shared" si="142"/>
        <v>443.73189158164297</v>
      </c>
      <c r="DJ107" s="28">
        <f t="shared" si="143"/>
        <v>414.9845454881301</v>
      </c>
      <c r="DK107" s="33"/>
      <c r="DO107" s="31"/>
      <c r="DU107" s="11">
        <v>5</v>
      </c>
      <c r="DW107" s="35">
        <f t="shared" si="102"/>
        <v>340</v>
      </c>
      <c r="DX107" s="35">
        <f t="shared" si="121"/>
        <v>0</v>
      </c>
      <c r="DY107" s="15">
        <f t="shared" si="144"/>
        <v>1.1495183643461011</v>
      </c>
      <c r="DZ107" s="28">
        <f t="shared" si="145"/>
        <v>439.70381913312326</v>
      </c>
      <c r="EA107" s="28">
        <f t="shared" si="146"/>
        <v>382.51134803161409</v>
      </c>
      <c r="EB107" s="33"/>
      <c r="EF107" s="31"/>
      <c r="EL107" s="11">
        <v>7</v>
      </c>
      <c r="EN107" s="35">
        <f t="shared" si="103"/>
        <v>476</v>
      </c>
      <c r="EO107" s="35">
        <f t="shared" si="122"/>
        <v>0</v>
      </c>
      <c r="EP107" s="15">
        <f t="shared" si="147"/>
        <v>1.0069759182906077</v>
      </c>
      <c r="EQ107" s="28">
        <f t="shared" si="148"/>
        <v>532.67658353167735</v>
      </c>
      <c r="ER107" s="28">
        <f t="shared" si="149"/>
        <v>528.98641750631202</v>
      </c>
      <c r="ES107" s="33"/>
      <c r="EW107" s="31"/>
      <c r="FC107" s="11">
        <v>7.2</v>
      </c>
      <c r="FE107" s="35">
        <f t="shared" si="104"/>
        <v>489.6</v>
      </c>
      <c r="FF107" s="35">
        <f t="shared" si="123"/>
        <v>0</v>
      </c>
      <c r="FG107" s="15">
        <f t="shared" si="150"/>
        <v>1.0212358397608334</v>
      </c>
      <c r="FH107" s="28">
        <f t="shared" si="151"/>
        <v>553.00706229423088</v>
      </c>
      <c r="FI107" s="28">
        <f t="shared" si="152"/>
        <v>541.50769172353114</v>
      </c>
      <c r="FJ107" s="33"/>
      <c r="FN107" s="31"/>
      <c r="FT107" s="11">
        <v>7</v>
      </c>
      <c r="FV107" s="35">
        <f t="shared" si="105"/>
        <v>476</v>
      </c>
      <c r="FW107" s="35">
        <f t="shared" si="124"/>
        <v>0</v>
      </c>
      <c r="FX107" s="15">
        <f t="shared" si="153"/>
        <v>0.99969098420755986</v>
      </c>
      <c r="FY107" s="28">
        <f t="shared" si="154"/>
        <v>470.59952700454642</v>
      </c>
      <c r="FZ107" s="28">
        <f t="shared" si="155"/>
        <v>470.74499464210299</v>
      </c>
      <c r="GA107" s="33"/>
      <c r="GE107" s="31"/>
      <c r="GK107" s="11">
        <v>7</v>
      </c>
      <c r="GM107" s="35">
        <f t="shared" si="106"/>
        <v>476</v>
      </c>
      <c r="GN107" s="35">
        <f t="shared" si="125"/>
        <v>0</v>
      </c>
      <c r="GO107" s="15">
        <f t="shared" si="156"/>
        <v>1.1166219746187414</v>
      </c>
      <c r="GP107" s="28">
        <f t="shared" si="157"/>
        <v>572.641801240159</v>
      </c>
      <c r="GQ107" s="28">
        <f t="shared" si="158"/>
        <v>512.8340783689855</v>
      </c>
      <c r="GR107" s="33"/>
      <c r="GV107" s="31"/>
      <c r="HD107" s="35">
        <f t="shared" si="107"/>
        <v>0</v>
      </c>
      <c r="HE107" s="35">
        <f t="shared" si="126"/>
        <v>0</v>
      </c>
      <c r="HF107" s="15">
        <f t="shared" si="159"/>
        <v>0.24338789242356851</v>
      </c>
      <c r="HG107" s="28">
        <f t="shared" si="160"/>
        <v>36.183571758882017</v>
      </c>
      <c r="HH107" s="28">
        <f t="shared" si="161"/>
        <v>148.66627669346701</v>
      </c>
      <c r="HI107" s="33"/>
      <c r="HM107" s="31"/>
      <c r="HU107" s="35">
        <f t="shared" si="108"/>
        <v>0</v>
      </c>
      <c r="HV107" s="35">
        <f t="shared" si="127"/>
        <v>0</v>
      </c>
      <c r="HW107" s="15">
        <f t="shared" si="162"/>
        <v>1.3553925692631603</v>
      </c>
      <c r="HX107" s="28">
        <f t="shared" si="163"/>
        <v>47.48133964121871</v>
      </c>
      <c r="HY107" s="28">
        <f t="shared" si="164"/>
        <v>35.031429799730461</v>
      </c>
      <c r="HZ107" s="33"/>
      <c r="ID107" s="31"/>
      <c r="II107" s="12"/>
      <c r="IL107" s="35">
        <f t="shared" si="109"/>
        <v>0</v>
      </c>
      <c r="IM107" s="35">
        <f t="shared" si="110"/>
        <v>3931.8330940434325</v>
      </c>
      <c r="IN107" s="15">
        <f t="shared" si="165"/>
        <v>4.331847271081201E-2</v>
      </c>
      <c r="IO107" s="28">
        <f t="shared" si="166"/>
        <v>2.0236222707373406</v>
      </c>
      <c r="IP107" s="28">
        <f t="shared" si="167"/>
        <v>46.714995799753986</v>
      </c>
      <c r="IQ107" s="33"/>
      <c r="IU107" s="31"/>
      <c r="JC107" s="35">
        <f t="shared" si="111"/>
        <v>0</v>
      </c>
      <c r="JD107" s="35">
        <f t="shared" si="112"/>
        <v>5081.7241934164595</v>
      </c>
      <c r="JE107" s="15" t="e">
        <f t="shared" si="168"/>
        <v>#DIV/0!</v>
      </c>
      <c r="JF107" s="28">
        <f t="shared" si="169"/>
        <v>0</v>
      </c>
      <c r="JG107" s="28">
        <f t="shared" si="170"/>
        <v>0</v>
      </c>
      <c r="JH107" s="33"/>
      <c r="JL107" s="31"/>
      <c r="JR107" s="99"/>
      <c r="JS107" s="99"/>
      <c r="JT107" s="99"/>
      <c r="JU107" s="99"/>
      <c r="JV107" s="99"/>
      <c r="JW107" s="99"/>
      <c r="JX107" s="99"/>
      <c r="JY107" s="99"/>
      <c r="JZ107" s="99"/>
      <c r="KA107" s="99"/>
      <c r="KB107" s="99"/>
      <c r="KC107" s="99"/>
      <c r="KD107" s="99"/>
      <c r="KE107" s="99"/>
      <c r="KF107" s="99"/>
      <c r="KG107" s="99"/>
      <c r="KH107" s="99"/>
      <c r="KI107" s="99"/>
      <c r="KJ107" s="99"/>
      <c r="KK107" s="99"/>
      <c r="KL107" s="99"/>
      <c r="KM107" s="99"/>
      <c r="KN107" s="99"/>
      <c r="KO107" s="99"/>
      <c r="KP107" s="99"/>
      <c r="KQ107" s="99"/>
      <c r="KR107" s="99"/>
      <c r="KS107" s="99"/>
      <c r="KT107" s="99"/>
      <c r="KU107" s="99"/>
      <c r="KV107" s="99"/>
      <c r="KW107" s="99"/>
      <c r="KX107" s="99"/>
      <c r="KY107" s="99"/>
      <c r="KZ107" s="99"/>
      <c r="LA107" s="99"/>
      <c r="LB107" s="99"/>
      <c r="LC107" s="99"/>
      <c r="LD107" s="99"/>
      <c r="LE107" s="99"/>
      <c r="LF107" s="99"/>
      <c r="LG107" s="99"/>
      <c r="LH107" s="99"/>
      <c r="LI107" s="99"/>
      <c r="LJ107" s="99"/>
      <c r="LK107" s="99"/>
      <c r="LL107" s="99"/>
      <c r="LM107" s="99"/>
      <c r="LN107" s="99"/>
      <c r="LO107" s="99"/>
      <c r="LP107" s="99"/>
      <c r="LQ107" s="99"/>
      <c r="LR107" s="99"/>
      <c r="LS107" s="99"/>
      <c r="LT107" s="99"/>
      <c r="LU107" s="99"/>
      <c r="LV107" s="99"/>
      <c r="LW107" s="99"/>
      <c r="LX107" s="99"/>
      <c r="LY107" s="99"/>
      <c r="LZ107" s="99"/>
      <c r="MA107" s="99"/>
      <c r="MB107" s="99"/>
      <c r="MC107" s="99"/>
      <c r="MD107" s="99"/>
      <c r="ME107" s="99"/>
      <c r="MF107" s="99"/>
    </row>
    <row r="108" spans="1:344" ht="17.25" customHeight="1" x14ac:dyDescent="0.25">
      <c r="A108" s="157"/>
      <c r="B108" s="92" t="s">
        <v>7</v>
      </c>
      <c r="C108" s="93">
        <v>45242</v>
      </c>
      <c r="D108" s="51"/>
      <c r="E108" s="48"/>
      <c r="F108" s="104"/>
      <c r="G108" s="37">
        <f t="shared" si="93"/>
        <v>0</v>
      </c>
      <c r="H108" s="26">
        <f t="shared" si="94"/>
        <v>0</v>
      </c>
      <c r="I108" s="48">
        <v>12</v>
      </c>
      <c r="J108" s="48"/>
      <c r="K108" s="104">
        <v>100</v>
      </c>
      <c r="L108" s="37">
        <f t="shared" si="95"/>
        <v>8.1549999999999994</v>
      </c>
      <c r="M108" s="26">
        <f t="shared" si="113"/>
        <v>815.49999999999989</v>
      </c>
      <c r="N108" s="26">
        <f t="shared" si="114"/>
        <v>815.49999999999989</v>
      </c>
      <c r="O108" s="98"/>
      <c r="P108" s="151"/>
      <c r="Q108" s="125"/>
      <c r="R108" s="115"/>
      <c r="S108" s="130"/>
      <c r="T108" s="110"/>
      <c r="U108" s="120"/>
      <c r="V108" s="23"/>
      <c r="W108" s="13">
        <v>0</v>
      </c>
      <c r="X108" s="2">
        <v>9</v>
      </c>
      <c r="Y108" s="26">
        <f t="shared" si="96"/>
        <v>900</v>
      </c>
      <c r="Z108" s="26">
        <f t="shared" si="115"/>
        <v>0</v>
      </c>
      <c r="AA108" s="16">
        <f t="shared" si="128"/>
        <v>1.1190055361143709</v>
      </c>
      <c r="AB108" s="44">
        <f t="shared" si="173"/>
        <v>615.86332162245719</v>
      </c>
      <c r="AC108" s="44">
        <f t="shared" si="174"/>
        <v>550.36664408379772</v>
      </c>
      <c r="AD108" s="34"/>
      <c r="AE108" s="4"/>
      <c r="AF108" s="5"/>
      <c r="AG108" s="6"/>
      <c r="AH108" s="32"/>
      <c r="AI108" s="3"/>
      <c r="AJ108" s="4"/>
      <c r="AK108" s="5"/>
      <c r="AL108" s="6"/>
      <c r="AM108" s="14"/>
      <c r="AN108" s="13"/>
      <c r="AO108" s="2">
        <v>9</v>
      </c>
      <c r="AP108" s="26">
        <f t="shared" si="97"/>
        <v>900</v>
      </c>
      <c r="AQ108" s="26">
        <f t="shared" si="116"/>
        <v>0</v>
      </c>
      <c r="AR108" s="16">
        <f t="shared" si="129"/>
        <v>1.3764533465451356</v>
      </c>
      <c r="AS108" s="29">
        <f t="shared" si="130"/>
        <v>623.02092958633432</v>
      </c>
      <c r="AT108" s="29">
        <f t="shared" si="131"/>
        <v>452.62771248302869</v>
      </c>
      <c r="AU108" s="34"/>
      <c r="AV108" s="4"/>
      <c r="AW108" s="5"/>
      <c r="AX108" s="6"/>
      <c r="AY108" s="32"/>
      <c r="AZ108" s="3"/>
      <c r="BA108" s="4"/>
      <c r="BB108" s="5"/>
      <c r="BC108" s="6"/>
      <c r="BD108" s="14"/>
      <c r="BE108" s="13"/>
      <c r="BF108" s="2"/>
      <c r="BG108" s="26">
        <f t="shared" si="98"/>
        <v>0</v>
      </c>
      <c r="BH108" s="26">
        <f t="shared" si="117"/>
        <v>0</v>
      </c>
      <c r="BI108" s="16">
        <f t="shared" si="132"/>
        <v>0.9518485662353301</v>
      </c>
      <c r="BJ108" s="29">
        <f t="shared" si="133"/>
        <v>280.92345483286363</v>
      </c>
      <c r="BK108" s="29">
        <f t="shared" si="134"/>
        <v>295.13460943051899</v>
      </c>
      <c r="BL108" s="34"/>
      <c r="BM108" s="4"/>
      <c r="BN108" s="5"/>
      <c r="BO108" s="6"/>
      <c r="BP108" s="32"/>
      <c r="BQ108" s="3"/>
      <c r="BR108" s="4"/>
      <c r="BS108" s="5"/>
      <c r="BT108" s="6"/>
      <c r="BU108" s="14"/>
      <c r="BV108" s="13"/>
      <c r="BW108" s="2">
        <v>8.5</v>
      </c>
      <c r="BX108" s="26">
        <f t="shared" si="99"/>
        <v>850</v>
      </c>
      <c r="BY108" s="26">
        <f t="shared" si="118"/>
        <v>0</v>
      </c>
      <c r="BZ108" s="16">
        <f t="shared" si="135"/>
        <v>1.1546914415181837</v>
      </c>
      <c r="CA108" s="29">
        <f t="shared" si="136"/>
        <v>518.1225415645539</v>
      </c>
      <c r="CB108" s="29">
        <f t="shared" si="137"/>
        <v>448.71081826269403</v>
      </c>
      <c r="CC108" s="34"/>
      <c r="CD108" s="4"/>
      <c r="CE108" s="5"/>
      <c r="CF108" s="6"/>
      <c r="CG108" s="32"/>
      <c r="CH108" s="3"/>
      <c r="CI108" s="4"/>
      <c r="CJ108" s="5"/>
      <c r="CK108" s="6"/>
      <c r="CL108" s="14"/>
      <c r="CM108" s="13"/>
      <c r="CN108" s="2">
        <v>7</v>
      </c>
      <c r="CO108" s="26">
        <f t="shared" si="100"/>
        <v>700</v>
      </c>
      <c r="CP108" s="26">
        <f t="shared" si="119"/>
        <v>0</v>
      </c>
      <c r="CQ108" s="16">
        <f t="shared" si="138"/>
        <v>1.1466674134547092</v>
      </c>
      <c r="CR108" s="29">
        <f t="shared" si="139"/>
        <v>578.53078543638594</v>
      </c>
      <c r="CS108" s="29">
        <f t="shared" si="140"/>
        <v>504.53233313169113</v>
      </c>
      <c r="CT108" s="34"/>
      <c r="CU108" s="4"/>
      <c r="CV108" s="5"/>
      <c r="CW108" s="6"/>
      <c r="CX108" s="32"/>
      <c r="CY108" s="3"/>
      <c r="CZ108" s="4"/>
      <c r="DA108" s="5"/>
      <c r="DB108" s="6"/>
      <c r="DC108" s="14"/>
      <c r="DD108" s="13"/>
      <c r="DE108" s="2">
        <v>7.45</v>
      </c>
      <c r="DF108" s="26">
        <f t="shared" si="101"/>
        <v>745</v>
      </c>
      <c r="DG108" s="26">
        <f t="shared" si="120"/>
        <v>0</v>
      </c>
      <c r="DH108" s="16">
        <f t="shared" si="141"/>
        <v>1.1857355979481929</v>
      </c>
      <c r="DI108" s="29">
        <f t="shared" si="142"/>
        <v>519.04891868623224</v>
      </c>
      <c r="DJ108" s="29">
        <f t="shared" si="143"/>
        <v>437.74423200619003</v>
      </c>
      <c r="DK108" s="34"/>
      <c r="DL108" s="4"/>
      <c r="DM108" s="5"/>
      <c r="DN108" s="6"/>
      <c r="DO108" s="32"/>
      <c r="DP108" s="3"/>
      <c r="DQ108" s="4"/>
      <c r="DR108" s="5"/>
      <c r="DS108" s="6"/>
      <c r="DT108" s="14"/>
      <c r="DU108" s="13"/>
      <c r="DV108" s="2">
        <v>8</v>
      </c>
      <c r="DW108" s="26">
        <f t="shared" si="102"/>
        <v>800</v>
      </c>
      <c r="DX108" s="26">
        <f t="shared" si="121"/>
        <v>0</v>
      </c>
      <c r="DY108" s="16">
        <f t="shared" si="144"/>
        <v>1.2880455596762674</v>
      </c>
      <c r="DZ108" s="29">
        <f t="shared" si="145"/>
        <v>529.7778643498425</v>
      </c>
      <c r="EA108" s="29">
        <f t="shared" si="146"/>
        <v>411.30366885702</v>
      </c>
      <c r="EB108" s="34"/>
      <c r="EC108" s="4"/>
      <c r="ED108" s="5"/>
      <c r="EE108" s="6"/>
      <c r="EF108" s="32"/>
      <c r="EG108" s="3"/>
      <c r="EH108" s="4"/>
      <c r="EI108" s="5"/>
      <c r="EJ108" s="6"/>
      <c r="EK108" s="14"/>
      <c r="EL108" s="13"/>
      <c r="EM108" s="2">
        <v>6.8</v>
      </c>
      <c r="EN108" s="26">
        <f t="shared" si="103"/>
        <v>680</v>
      </c>
      <c r="EO108" s="26">
        <f t="shared" si="122"/>
        <v>0</v>
      </c>
      <c r="EP108" s="16">
        <f t="shared" si="147"/>
        <v>1.0558142867587992</v>
      </c>
      <c r="EQ108" s="29">
        <f t="shared" si="148"/>
        <v>569.50743764875801</v>
      </c>
      <c r="ER108" s="29">
        <f t="shared" si="149"/>
        <v>539.40114733346286</v>
      </c>
      <c r="ES108" s="34"/>
      <c r="ET108" s="4"/>
      <c r="EU108" s="5"/>
      <c r="EV108" s="6"/>
      <c r="EW108" s="32"/>
      <c r="EX108" s="3"/>
      <c r="EY108" s="4"/>
      <c r="EZ108" s="5"/>
      <c r="FA108" s="6"/>
      <c r="FB108" s="14"/>
      <c r="FC108" s="13"/>
      <c r="FD108" s="2">
        <v>8</v>
      </c>
      <c r="FE108" s="26">
        <f t="shared" si="104"/>
        <v>800</v>
      </c>
      <c r="FF108" s="26">
        <f t="shared" si="123"/>
        <v>0</v>
      </c>
      <c r="FG108" s="16">
        <f t="shared" si="150"/>
        <v>1.0990829722361084</v>
      </c>
      <c r="FH108" s="29">
        <f t="shared" si="151"/>
        <v>614.75529672067319</v>
      </c>
      <c r="FI108" s="29">
        <f t="shared" si="152"/>
        <v>559.33474746673585</v>
      </c>
      <c r="FJ108" s="34"/>
      <c r="FK108" s="4"/>
      <c r="FL108" s="5"/>
      <c r="FM108" s="6"/>
      <c r="FN108" s="32"/>
      <c r="FO108" s="3"/>
      <c r="FP108" s="4"/>
      <c r="FQ108" s="5"/>
      <c r="FR108" s="6"/>
      <c r="FS108" s="14"/>
      <c r="FT108" s="13"/>
      <c r="FU108" s="2">
        <v>8</v>
      </c>
      <c r="FV108" s="26">
        <f t="shared" si="105"/>
        <v>800</v>
      </c>
      <c r="FW108" s="26">
        <f t="shared" si="124"/>
        <v>0</v>
      </c>
      <c r="FX108" s="16">
        <f t="shared" si="153"/>
        <v>1.1205737951410382</v>
      </c>
      <c r="FY108" s="29">
        <f t="shared" si="154"/>
        <v>552.94964525340981</v>
      </c>
      <c r="FZ108" s="29">
        <f t="shared" si="155"/>
        <v>493.45223639092347</v>
      </c>
      <c r="GA108" s="34"/>
      <c r="GB108" s="4"/>
      <c r="GC108" s="5"/>
      <c r="GD108" s="6"/>
      <c r="GE108" s="32"/>
      <c r="GF108" s="3"/>
      <c r="GG108" s="4"/>
      <c r="GH108" s="5"/>
      <c r="GI108" s="6"/>
      <c r="GJ108" s="14"/>
      <c r="GK108" s="13"/>
      <c r="GL108" s="2">
        <v>9.8000000000000007</v>
      </c>
      <c r="GM108" s="26">
        <f t="shared" si="106"/>
        <v>980.00000000000011</v>
      </c>
      <c r="GN108" s="26">
        <f t="shared" si="125"/>
        <v>0</v>
      </c>
      <c r="GO108" s="16">
        <f t="shared" si="156"/>
        <v>1.2374614420804961</v>
      </c>
      <c r="GP108" s="29">
        <f t="shared" si="157"/>
        <v>674.48135093011922</v>
      </c>
      <c r="GQ108" s="29">
        <f t="shared" si="158"/>
        <v>545.05241779181404</v>
      </c>
      <c r="GR108" s="34"/>
      <c r="GS108" s="4"/>
      <c r="GT108" s="5"/>
      <c r="GU108" s="6"/>
      <c r="GV108" s="32"/>
      <c r="GW108" s="3"/>
      <c r="GX108" s="4"/>
      <c r="GY108" s="5"/>
      <c r="GZ108" s="6"/>
      <c r="HA108" s="14"/>
      <c r="HB108" s="13"/>
      <c r="HC108" s="2"/>
      <c r="HD108" s="26">
        <f t="shared" si="107"/>
        <v>0</v>
      </c>
      <c r="HE108" s="26">
        <f t="shared" si="126"/>
        <v>0</v>
      </c>
      <c r="HF108" s="16">
        <f t="shared" si="159"/>
        <v>0.19606246889676351</v>
      </c>
      <c r="HG108" s="29">
        <f t="shared" si="160"/>
        <v>27.137678819161515</v>
      </c>
      <c r="HH108" s="29">
        <f t="shared" si="161"/>
        <v>138.41343002495205</v>
      </c>
      <c r="HI108" s="34"/>
      <c r="HJ108" s="4"/>
      <c r="HK108" s="5"/>
      <c r="HL108" s="6"/>
      <c r="HM108" s="32"/>
      <c r="HN108" s="3"/>
      <c r="HO108" s="4"/>
      <c r="HP108" s="5"/>
      <c r="HQ108" s="6"/>
      <c r="HR108" s="14"/>
      <c r="HS108" s="13"/>
      <c r="HT108" s="2"/>
      <c r="HU108" s="26">
        <f t="shared" si="108"/>
        <v>0</v>
      </c>
      <c r="HV108" s="26">
        <f t="shared" si="127"/>
        <v>0</v>
      </c>
      <c r="HW108" s="16">
        <f t="shared" si="162"/>
        <v>1.0918440141286569</v>
      </c>
      <c r="HX108" s="29">
        <f t="shared" si="163"/>
        <v>35.611004730914033</v>
      </c>
      <c r="HY108" s="29">
        <f t="shared" si="164"/>
        <v>32.615469123886982</v>
      </c>
      <c r="HZ108" s="34"/>
      <c r="IA108" s="4"/>
      <c r="IB108" s="5"/>
      <c r="IC108" s="6"/>
      <c r="ID108" s="32"/>
      <c r="IE108" s="3"/>
      <c r="IF108" s="4"/>
      <c r="IG108" s="5"/>
      <c r="IH108" s="6"/>
      <c r="II108" s="14"/>
      <c r="IJ108" s="13"/>
      <c r="IK108" s="2"/>
      <c r="IL108" s="26">
        <f t="shared" si="109"/>
        <v>0</v>
      </c>
      <c r="IM108" s="26">
        <f t="shared" si="110"/>
        <v>5169.5083318962406</v>
      </c>
      <c r="IN108" s="16">
        <f t="shared" si="165"/>
        <v>3.4895436350376341E-2</v>
      </c>
      <c r="IO108" s="29">
        <f t="shared" si="166"/>
        <v>1.5177167030530054</v>
      </c>
      <c r="IP108" s="29">
        <f t="shared" si="167"/>
        <v>43.493271951495089</v>
      </c>
      <c r="IQ108" s="34"/>
      <c r="IR108" s="4"/>
      <c r="IS108" s="5"/>
      <c r="IT108" s="6"/>
      <c r="IU108" s="32"/>
      <c r="IV108" s="3"/>
      <c r="IW108" s="4"/>
      <c r="IX108" s="5"/>
      <c r="IY108" s="6"/>
      <c r="IZ108" s="14"/>
      <c r="JA108" s="13"/>
      <c r="JB108" s="2"/>
      <c r="JC108" s="26">
        <f t="shared" si="111"/>
        <v>0</v>
      </c>
      <c r="JD108" s="26">
        <f t="shared" si="112"/>
        <v>5540.2248096443636</v>
      </c>
      <c r="JE108" s="16" t="e">
        <f t="shared" si="168"/>
        <v>#DIV/0!</v>
      </c>
      <c r="JF108" s="29">
        <f t="shared" si="169"/>
        <v>0</v>
      </c>
      <c r="JG108" s="29">
        <f t="shared" si="170"/>
        <v>0</v>
      </c>
      <c r="JH108" s="34"/>
      <c r="JI108" s="4"/>
      <c r="JJ108" s="5"/>
      <c r="JK108" s="6"/>
      <c r="JL108" s="32"/>
      <c r="JM108" s="3"/>
      <c r="JN108" s="4"/>
      <c r="JO108" s="5"/>
      <c r="JP108" s="6"/>
      <c r="JQ108" s="14"/>
      <c r="JR108" s="99"/>
      <c r="JS108" s="99"/>
      <c r="JT108" s="99"/>
      <c r="JU108" s="99"/>
      <c r="JV108" s="99"/>
      <c r="JW108" s="99"/>
      <c r="JX108" s="99"/>
      <c r="JY108" s="99"/>
      <c r="JZ108" s="99"/>
      <c r="KA108" s="99"/>
      <c r="KB108" s="99"/>
      <c r="KC108" s="99"/>
      <c r="KD108" s="99"/>
      <c r="KE108" s="99"/>
      <c r="KF108" s="99"/>
      <c r="KG108" s="99"/>
      <c r="KH108" s="99"/>
      <c r="KI108" s="99"/>
      <c r="KJ108" s="99"/>
      <c r="KK108" s="99"/>
      <c r="KL108" s="99"/>
      <c r="KM108" s="99"/>
      <c r="KN108" s="99"/>
      <c r="KO108" s="99"/>
      <c r="KP108" s="99"/>
      <c r="KQ108" s="99"/>
      <c r="KR108" s="99"/>
      <c r="KS108" s="99"/>
      <c r="KT108" s="99"/>
      <c r="KU108" s="99"/>
      <c r="KV108" s="99"/>
      <c r="KW108" s="99"/>
      <c r="KX108" s="99"/>
      <c r="KY108" s="99"/>
      <c r="KZ108" s="99"/>
      <c r="LA108" s="99"/>
      <c r="LB108" s="99"/>
      <c r="LC108" s="99"/>
      <c r="LD108" s="99"/>
      <c r="LE108" s="99"/>
      <c r="LF108" s="99"/>
      <c r="LG108" s="99"/>
      <c r="LH108" s="99"/>
      <c r="LI108" s="99"/>
      <c r="LJ108" s="99"/>
      <c r="LK108" s="99"/>
      <c r="LL108" s="99"/>
      <c r="LM108" s="99"/>
      <c r="LN108" s="99"/>
      <c r="LO108" s="99"/>
      <c r="LP108" s="99"/>
      <c r="LQ108" s="99"/>
      <c r="LR108" s="99"/>
      <c r="LS108" s="99"/>
      <c r="LT108" s="99"/>
      <c r="LU108" s="99"/>
      <c r="LV108" s="99"/>
      <c r="LW108" s="99"/>
      <c r="LX108" s="99"/>
      <c r="LY108" s="99"/>
      <c r="LZ108" s="99"/>
      <c r="MA108" s="99"/>
      <c r="MB108" s="99"/>
      <c r="MC108" s="99"/>
      <c r="MD108" s="99"/>
      <c r="ME108" s="99"/>
      <c r="MF108" s="99"/>
    </row>
    <row r="109" spans="1:344" ht="17.25" customHeight="1" x14ac:dyDescent="0.25">
      <c r="A109" s="155" t="s">
        <v>21</v>
      </c>
      <c r="B109" s="79" t="s">
        <v>1</v>
      </c>
      <c r="C109" s="80">
        <v>45243</v>
      </c>
      <c r="D109" s="50"/>
      <c r="G109" s="36">
        <f t="shared" si="93"/>
        <v>0</v>
      </c>
      <c r="H109" s="27">
        <f t="shared" si="94"/>
        <v>0</v>
      </c>
      <c r="I109" s="47"/>
      <c r="K109" s="105"/>
      <c r="L109" s="89">
        <f t="shared" si="95"/>
        <v>0</v>
      </c>
      <c r="M109" s="27">
        <f t="shared" si="113"/>
        <v>0</v>
      </c>
      <c r="N109" s="35">
        <f t="shared" si="114"/>
        <v>0</v>
      </c>
      <c r="O109" s="97"/>
      <c r="P109" s="149">
        <f t="shared" ref="P109" si="177">SUM(N109:N115)</f>
        <v>2958.7227272727268</v>
      </c>
      <c r="W109" s="11">
        <v>0</v>
      </c>
      <c r="X109" s="1">
        <v>0</v>
      </c>
      <c r="Y109" s="27">
        <f t="shared" si="96"/>
        <v>0</v>
      </c>
      <c r="Z109" s="27">
        <f t="shared" si="115"/>
        <v>0</v>
      </c>
      <c r="AA109" s="15">
        <f t="shared" si="128"/>
        <v>0.90142112631435423</v>
      </c>
      <c r="AB109" s="43">
        <f t="shared" si="173"/>
        <v>461.89749121684292</v>
      </c>
      <c r="AC109" s="43">
        <f t="shared" si="174"/>
        <v>512.41032380215654</v>
      </c>
      <c r="AD109" s="33"/>
      <c r="AH109" s="31"/>
      <c r="AP109" s="27">
        <f t="shared" si="97"/>
        <v>0</v>
      </c>
      <c r="AQ109" s="27">
        <f t="shared" si="116"/>
        <v>0</v>
      </c>
      <c r="AR109" s="15">
        <f t="shared" si="129"/>
        <v>1.1088096402724705</v>
      </c>
      <c r="AS109" s="28">
        <f t="shared" si="130"/>
        <v>467.26569718975077</v>
      </c>
      <c r="AT109" s="28">
        <f t="shared" si="131"/>
        <v>421.4120081738543</v>
      </c>
      <c r="AU109" s="33"/>
      <c r="AY109" s="31"/>
      <c r="BG109" s="27">
        <f t="shared" si="98"/>
        <v>0</v>
      </c>
      <c r="BH109" s="27">
        <f t="shared" si="117"/>
        <v>0</v>
      </c>
      <c r="BI109" s="15">
        <f t="shared" si="132"/>
        <v>0.76676690057846031</v>
      </c>
      <c r="BJ109" s="28">
        <f t="shared" si="133"/>
        <v>210.69259112464772</v>
      </c>
      <c r="BK109" s="28">
        <f t="shared" si="134"/>
        <v>274.78049843531079</v>
      </c>
      <c r="BL109" s="33"/>
      <c r="BP109" s="31"/>
      <c r="BX109" s="27">
        <f t="shared" si="99"/>
        <v>0</v>
      </c>
      <c r="BY109" s="27">
        <f t="shared" si="118"/>
        <v>0</v>
      </c>
      <c r="BZ109" s="15">
        <f t="shared" si="135"/>
        <v>0.93016810566742558</v>
      </c>
      <c r="CA109" s="28">
        <f t="shared" si="136"/>
        <v>388.5919061734154</v>
      </c>
      <c r="CB109" s="28">
        <f t="shared" si="137"/>
        <v>417.7652445894048</v>
      </c>
      <c r="CC109" s="33"/>
      <c r="CG109" s="31"/>
      <c r="CO109" s="27">
        <f t="shared" si="100"/>
        <v>0</v>
      </c>
      <c r="CP109" s="27">
        <f t="shared" si="119"/>
        <v>0</v>
      </c>
      <c r="CQ109" s="15">
        <f t="shared" si="138"/>
        <v>0.92370430528296021</v>
      </c>
      <c r="CR109" s="28">
        <f t="shared" si="139"/>
        <v>433.89808907728946</v>
      </c>
      <c r="CS109" s="28">
        <f t="shared" si="140"/>
        <v>469.73699981226412</v>
      </c>
      <c r="CT109" s="33"/>
      <c r="CX109" s="31"/>
      <c r="DF109" s="27">
        <f t="shared" si="101"/>
        <v>0</v>
      </c>
      <c r="DG109" s="27">
        <f t="shared" si="120"/>
        <v>0</v>
      </c>
      <c r="DH109" s="15">
        <f t="shared" si="141"/>
        <v>0.95517589834715533</v>
      </c>
      <c r="DI109" s="28">
        <f t="shared" si="142"/>
        <v>389.28668901467415</v>
      </c>
      <c r="DJ109" s="28">
        <f t="shared" si="143"/>
        <v>407.5549746264528</v>
      </c>
      <c r="DK109" s="33"/>
      <c r="DO109" s="31"/>
      <c r="DW109" s="27">
        <f t="shared" si="102"/>
        <v>0</v>
      </c>
      <c r="DX109" s="27">
        <f t="shared" si="121"/>
        <v>0</v>
      </c>
      <c r="DY109" s="15">
        <f t="shared" si="144"/>
        <v>1.0375922564058822</v>
      </c>
      <c r="DZ109" s="28">
        <f t="shared" si="145"/>
        <v>397.33339826238188</v>
      </c>
      <c r="EA109" s="28">
        <f t="shared" si="146"/>
        <v>382.93789859101861</v>
      </c>
      <c r="EB109" s="33"/>
      <c r="EF109" s="31"/>
      <c r="EN109" s="27">
        <f t="shared" si="103"/>
        <v>0</v>
      </c>
      <c r="EO109" s="27">
        <f t="shared" si="122"/>
        <v>0</v>
      </c>
      <c r="EP109" s="15">
        <f t="shared" si="147"/>
        <v>0.85051706433347707</v>
      </c>
      <c r="EQ109" s="28">
        <f t="shared" si="148"/>
        <v>427.13057823656851</v>
      </c>
      <c r="ER109" s="28">
        <f t="shared" si="149"/>
        <v>502.20106820701716</v>
      </c>
      <c r="ES109" s="33"/>
      <c r="EW109" s="31"/>
      <c r="FE109" s="27">
        <f t="shared" si="104"/>
        <v>0</v>
      </c>
      <c r="FF109" s="27">
        <f t="shared" si="123"/>
        <v>0</v>
      </c>
      <c r="FG109" s="15">
        <f t="shared" si="150"/>
        <v>0.88537239430130954</v>
      </c>
      <c r="FH109" s="28">
        <f t="shared" si="151"/>
        <v>461.06647254050489</v>
      </c>
      <c r="FI109" s="28">
        <f t="shared" si="152"/>
        <v>520.75993729661616</v>
      </c>
      <c r="FJ109" s="33"/>
      <c r="FN109" s="31"/>
      <c r="FV109" s="27">
        <f t="shared" si="105"/>
        <v>0</v>
      </c>
      <c r="FW109" s="27">
        <f t="shared" si="124"/>
        <v>0</v>
      </c>
      <c r="FX109" s="15">
        <f t="shared" si="153"/>
        <v>0.9026844460858362</v>
      </c>
      <c r="FY109" s="28">
        <f t="shared" si="154"/>
        <v>414.71223394005733</v>
      </c>
      <c r="FZ109" s="28">
        <f t="shared" si="155"/>
        <v>459.42104767430806</v>
      </c>
      <c r="GA109" s="33"/>
      <c r="GE109" s="31"/>
      <c r="GM109" s="27">
        <f t="shared" si="106"/>
        <v>0</v>
      </c>
      <c r="GN109" s="27">
        <f t="shared" si="125"/>
        <v>0</v>
      </c>
      <c r="GO109" s="15">
        <f t="shared" si="156"/>
        <v>0.99684393945373284</v>
      </c>
      <c r="GP109" s="28">
        <f t="shared" si="157"/>
        <v>505.86101319758939</v>
      </c>
      <c r="GQ109" s="28">
        <f t="shared" si="158"/>
        <v>507.4625958751372</v>
      </c>
      <c r="GR109" s="33"/>
      <c r="GV109" s="31"/>
      <c r="HD109" s="27">
        <f t="shared" si="107"/>
        <v>0</v>
      </c>
      <c r="HE109" s="27">
        <f t="shared" si="126"/>
        <v>0</v>
      </c>
      <c r="HF109" s="15">
        <f t="shared" si="159"/>
        <v>0.15793921105572617</v>
      </c>
      <c r="HG109" s="28">
        <f t="shared" si="160"/>
        <v>20.353259114371134</v>
      </c>
      <c r="HH109" s="28">
        <f t="shared" si="161"/>
        <v>128.86767623012776</v>
      </c>
      <c r="HI109" s="33"/>
      <c r="HM109" s="31"/>
      <c r="HU109" s="27">
        <f t="shared" si="108"/>
        <v>0</v>
      </c>
      <c r="HV109" s="27">
        <f t="shared" si="127"/>
        <v>0</v>
      </c>
      <c r="HW109" s="15">
        <f t="shared" si="162"/>
        <v>0.87954101138141816</v>
      </c>
      <c r="HX109" s="28">
        <f t="shared" si="163"/>
        <v>26.708253548185525</v>
      </c>
      <c r="HY109" s="28">
        <f t="shared" si="164"/>
        <v>30.366126425687877</v>
      </c>
      <c r="HZ109" s="33"/>
      <c r="ID109" s="31"/>
      <c r="II109" s="12"/>
      <c r="IL109" s="27">
        <f t="shared" si="109"/>
        <v>0</v>
      </c>
      <c r="IM109" s="27">
        <f t="shared" si="110"/>
        <v>3645.984351957688</v>
      </c>
      <c r="IN109" s="15">
        <f t="shared" si="165"/>
        <v>2.8110212615580943E-2</v>
      </c>
      <c r="IO109" s="28">
        <f t="shared" si="166"/>
        <v>1.1382875272897541</v>
      </c>
      <c r="IP109" s="28">
        <f t="shared" si="167"/>
        <v>40.493735954840254</v>
      </c>
      <c r="IQ109" s="33"/>
      <c r="IU109" s="31"/>
      <c r="JC109" s="27">
        <f t="shared" si="111"/>
        <v>0</v>
      </c>
      <c r="JD109" s="27">
        <f t="shared" si="112"/>
        <v>4087.0484682863271</v>
      </c>
      <c r="JE109" s="15" t="e">
        <f t="shared" si="168"/>
        <v>#DIV/0!</v>
      </c>
      <c r="JF109" s="28">
        <f t="shared" si="169"/>
        <v>0</v>
      </c>
      <c r="JG109" s="28">
        <f t="shared" si="170"/>
        <v>0</v>
      </c>
      <c r="JH109" s="33"/>
      <c r="JL109" s="31"/>
      <c r="JR109" s="99"/>
      <c r="JS109" s="99"/>
      <c r="JT109" s="99"/>
      <c r="JU109" s="99"/>
      <c r="JV109" s="99"/>
      <c r="JW109" s="99"/>
      <c r="JX109" s="99"/>
      <c r="JY109" s="99"/>
      <c r="JZ109" s="99"/>
      <c r="KA109" s="99"/>
      <c r="KB109" s="99"/>
      <c r="KC109" s="99"/>
      <c r="KD109" s="99"/>
      <c r="KE109" s="99"/>
      <c r="KF109" s="99"/>
      <c r="KG109" s="99"/>
      <c r="KH109" s="99"/>
      <c r="KI109" s="99"/>
      <c r="KJ109" s="99"/>
      <c r="KK109" s="99"/>
      <c r="KL109" s="99"/>
      <c r="KM109" s="99"/>
      <c r="KN109" s="99"/>
      <c r="KO109" s="99"/>
      <c r="KP109" s="99"/>
      <c r="KQ109" s="99"/>
      <c r="KR109" s="99"/>
      <c r="KS109" s="99"/>
      <c r="KT109" s="99"/>
      <c r="KU109" s="99"/>
      <c r="KV109" s="99"/>
      <c r="KW109" s="99"/>
      <c r="KX109" s="99"/>
      <c r="KY109" s="99"/>
      <c r="KZ109" s="99"/>
      <c r="LA109" s="99"/>
      <c r="LB109" s="99"/>
      <c r="LC109" s="99"/>
      <c r="LD109" s="99"/>
      <c r="LE109" s="99"/>
      <c r="LF109" s="99"/>
      <c r="LG109" s="99"/>
      <c r="LH109" s="99"/>
      <c r="LI109" s="99"/>
      <c r="LJ109" s="99"/>
      <c r="LK109" s="99"/>
      <c r="LL109" s="99"/>
      <c r="LM109" s="99"/>
      <c r="LN109" s="99"/>
      <c r="LO109" s="99"/>
      <c r="LP109" s="99"/>
      <c r="LQ109" s="99"/>
      <c r="LR109" s="99"/>
      <c r="LS109" s="99"/>
      <c r="LT109" s="99"/>
      <c r="LU109" s="99"/>
      <c r="LV109" s="99"/>
      <c r="LW109" s="99"/>
      <c r="LX109" s="99"/>
      <c r="LY109" s="99"/>
      <c r="LZ109" s="99"/>
      <c r="MA109" s="99"/>
      <c r="MB109" s="99"/>
      <c r="MC109" s="99"/>
      <c r="MD109" s="99"/>
      <c r="ME109" s="99"/>
      <c r="MF109" s="99"/>
    </row>
    <row r="110" spans="1:344" ht="17.25" customHeight="1" x14ac:dyDescent="0.25">
      <c r="A110" s="156"/>
      <c r="B110" s="81" t="s">
        <v>2</v>
      </c>
      <c r="C110" s="82">
        <v>45244</v>
      </c>
      <c r="D110" s="49" t="s">
        <v>90</v>
      </c>
      <c r="F110" s="103">
        <v>50</v>
      </c>
      <c r="G110" s="89">
        <f t="shared" si="93"/>
        <v>4</v>
      </c>
      <c r="H110" s="35">
        <f t="shared" si="94"/>
        <v>200</v>
      </c>
      <c r="I110" s="39">
        <v>12</v>
      </c>
      <c r="K110" s="103">
        <v>65</v>
      </c>
      <c r="L110" s="89">
        <f t="shared" si="95"/>
        <v>5.9045454545454552</v>
      </c>
      <c r="M110" s="35">
        <f t="shared" si="113"/>
        <v>383.79545454545456</v>
      </c>
      <c r="N110" s="35">
        <f t="shared" si="114"/>
        <v>583.7954545454545</v>
      </c>
      <c r="O110" s="97"/>
      <c r="P110" s="150"/>
      <c r="W110" s="11">
        <v>4</v>
      </c>
      <c r="X110" s="87">
        <v>0</v>
      </c>
      <c r="Y110" s="35">
        <f t="shared" si="96"/>
        <v>200</v>
      </c>
      <c r="Z110" s="35">
        <f t="shared" si="115"/>
        <v>0</v>
      </c>
      <c r="AA110" s="15">
        <f t="shared" si="128"/>
        <v>0.80760146408712785</v>
      </c>
      <c r="AB110" s="43">
        <f t="shared" si="173"/>
        <v>396.42311841263222</v>
      </c>
      <c r="AC110" s="43">
        <f t="shared" si="174"/>
        <v>490.86478422959402</v>
      </c>
      <c r="AD110" s="33"/>
      <c r="AH110" s="31"/>
      <c r="AN110" s="11">
        <v>4</v>
      </c>
      <c r="AO110" s="1">
        <v>7</v>
      </c>
      <c r="AP110" s="35">
        <f t="shared" si="97"/>
        <v>655</v>
      </c>
      <c r="AQ110" s="35">
        <f t="shared" si="116"/>
        <v>0</v>
      </c>
      <c r="AR110" s="15">
        <f t="shared" si="129"/>
        <v>1.1752548016164817</v>
      </c>
      <c r="AS110" s="28">
        <f t="shared" si="130"/>
        <v>514.19927289231305</v>
      </c>
      <c r="AT110" s="28">
        <f t="shared" si="131"/>
        <v>437.52152485151947</v>
      </c>
      <c r="AU110" s="33"/>
      <c r="AY110" s="31"/>
      <c r="BE110" s="11">
        <v>4</v>
      </c>
      <c r="BF110" s="1">
        <v>8.75</v>
      </c>
      <c r="BG110" s="35">
        <f t="shared" si="98"/>
        <v>768.75</v>
      </c>
      <c r="BH110" s="35">
        <f t="shared" si="117"/>
        <v>0</v>
      </c>
      <c r="BI110" s="15">
        <f t="shared" si="132"/>
        <v>1.1339159339076705</v>
      </c>
      <c r="BJ110" s="28">
        <f t="shared" si="133"/>
        <v>350.20694334348582</v>
      </c>
      <c r="BK110" s="28">
        <f t="shared" si="134"/>
        <v>308.84736061218587</v>
      </c>
      <c r="BL110" s="33"/>
      <c r="BP110" s="31"/>
      <c r="BV110" s="11">
        <v>4</v>
      </c>
      <c r="BW110" s="1">
        <v>4</v>
      </c>
      <c r="BX110" s="35">
        <f t="shared" si="99"/>
        <v>460</v>
      </c>
      <c r="BY110" s="35">
        <f t="shared" si="118"/>
        <v>0</v>
      </c>
      <c r="BZ110" s="15">
        <f t="shared" si="135"/>
        <v>0.96616400863859109</v>
      </c>
      <c r="CA110" s="28">
        <f t="shared" si="136"/>
        <v>406.44392963006158</v>
      </c>
      <c r="CB110" s="28">
        <f t="shared" si="137"/>
        <v>420.67798634185965</v>
      </c>
      <c r="CC110" s="33"/>
      <c r="CG110" s="31"/>
      <c r="CM110" s="11">
        <v>4</v>
      </c>
      <c r="CN110" s="1">
        <v>7</v>
      </c>
      <c r="CO110" s="35">
        <f t="shared" si="100"/>
        <v>655</v>
      </c>
      <c r="CP110" s="35">
        <f t="shared" si="119"/>
        <v>0</v>
      </c>
      <c r="CQ110" s="15">
        <f t="shared" si="138"/>
        <v>1.0138023180593154</v>
      </c>
      <c r="CR110" s="28">
        <f t="shared" si="139"/>
        <v>489.17356680796706</v>
      </c>
      <c r="CS110" s="28">
        <f t="shared" si="140"/>
        <v>482.51375844590103</v>
      </c>
      <c r="CT110" s="33"/>
      <c r="CX110" s="31"/>
      <c r="DD110" s="11">
        <v>4</v>
      </c>
      <c r="DE110" s="1">
        <v>6</v>
      </c>
      <c r="DF110" s="35">
        <f t="shared" si="101"/>
        <v>590</v>
      </c>
      <c r="DG110" s="35">
        <f t="shared" si="120"/>
        <v>0</v>
      </c>
      <c r="DH110" s="15">
        <f t="shared" si="141"/>
        <v>1.0460031100392042</v>
      </c>
      <c r="DI110" s="28">
        <f t="shared" si="142"/>
        <v>439.46501676100559</v>
      </c>
      <c r="DJ110" s="28">
        <f t="shared" si="143"/>
        <v>420.13739016945601</v>
      </c>
      <c r="DK110" s="33"/>
      <c r="DO110" s="31"/>
      <c r="DU110" s="11">
        <v>4</v>
      </c>
      <c r="DV110" s="1">
        <v>5.7</v>
      </c>
      <c r="DW110" s="35">
        <f t="shared" si="102"/>
        <v>570.5</v>
      </c>
      <c r="DX110" s="35">
        <f t="shared" si="121"/>
        <v>0</v>
      </c>
      <c r="DY110" s="15">
        <f t="shared" si="144"/>
        <v>1.1130458716741758</v>
      </c>
      <c r="DZ110" s="28">
        <f t="shared" si="145"/>
        <v>440.62504869678639</v>
      </c>
      <c r="EA110" s="28">
        <f t="shared" si="146"/>
        <v>395.87321592956908</v>
      </c>
      <c r="EB110" s="33"/>
      <c r="EF110" s="31"/>
      <c r="EL110" s="11">
        <v>4</v>
      </c>
      <c r="EM110" s="1">
        <v>8</v>
      </c>
      <c r="EN110" s="35">
        <f t="shared" si="103"/>
        <v>720</v>
      </c>
      <c r="EO110" s="35">
        <f t="shared" si="122"/>
        <v>0</v>
      </c>
      <c r="EP110" s="15">
        <f t="shared" si="147"/>
        <v>0.96737617344553217</v>
      </c>
      <c r="EQ110" s="28">
        <f t="shared" si="148"/>
        <v>500.3479336774264</v>
      </c>
      <c r="ER110" s="28">
        <f t="shared" si="149"/>
        <v>517.2216841927401</v>
      </c>
      <c r="ES110" s="33"/>
      <c r="EW110" s="31"/>
      <c r="FC110" s="11">
        <v>4</v>
      </c>
      <c r="FD110" s="1">
        <v>7</v>
      </c>
      <c r="FE110" s="35">
        <f t="shared" si="104"/>
        <v>655</v>
      </c>
      <c r="FF110" s="35">
        <f t="shared" si="123"/>
        <v>0</v>
      </c>
      <c r="FG110" s="15">
        <f t="shared" si="150"/>
        <v>0.96138239990371699</v>
      </c>
      <c r="FH110" s="28">
        <f t="shared" si="151"/>
        <v>509.54985440537865</v>
      </c>
      <c r="FI110" s="28">
        <f t="shared" si="152"/>
        <v>530.01787265547023</v>
      </c>
      <c r="FJ110" s="33"/>
      <c r="FN110" s="31"/>
      <c r="FT110" s="11">
        <v>4</v>
      </c>
      <c r="FU110" s="1">
        <v>4</v>
      </c>
      <c r="FV110" s="35">
        <f t="shared" si="105"/>
        <v>460</v>
      </c>
      <c r="FW110" s="35">
        <f t="shared" si="124"/>
        <v>0</v>
      </c>
      <c r="FX110" s="15">
        <f t="shared" si="153"/>
        <v>0.92724779305741356</v>
      </c>
      <c r="FY110" s="28">
        <f t="shared" si="154"/>
        <v>426.034175455043</v>
      </c>
      <c r="FZ110" s="28">
        <f t="shared" si="155"/>
        <v>459.46097542090746</v>
      </c>
      <c r="GA110" s="33"/>
      <c r="GE110" s="31"/>
      <c r="GK110" s="11">
        <v>4</v>
      </c>
      <c r="GL110" s="1">
        <v>7.5</v>
      </c>
      <c r="GM110" s="35">
        <f t="shared" si="106"/>
        <v>687.5</v>
      </c>
      <c r="GN110" s="35">
        <f t="shared" si="125"/>
        <v>0</v>
      </c>
      <c r="GO110" s="15">
        <f t="shared" si="156"/>
        <v>1.0603828837525984</v>
      </c>
      <c r="GP110" s="28">
        <f t="shared" si="157"/>
        <v>551.27075989819207</v>
      </c>
      <c r="GQ110" s="28">
        <f t="shared" si="158"/>
        <v>519.87896857340354</v>
      </c>
      <c r="GR110" s="33"/>
      <c r="GV110" s="31"/>
      <c r="HB110" s="11">
        <v>4</v>
      </c>
      <c r="HC110" s="1">
        <v>5</v>
      </c>
      <c r="HD110" s="35">
        <f t="shared" si="107"/>
        <v>525</v>
      </c>
      <c r="HE110" s="35">
        <f t="shared" si="126"/>
        <v>0</v>
      </c>
      <c r="HF110" s="15">
        <f t="shared" si="159"/>
        <v>0.93807299323170656</v>
      </c>
      <c r="HG110" s="28">
        <f t="shared" si="160"/>
        <v>146.51494433577835</v>
      </c>
      <c r="HH110" s="28">
        <f t="shared" si="161"/>
        <v>156.18714683494653</v>
      </c>
      <c r="HI110" s="33"/>
      <c r="HM110" s="31"/>
      <c r="HU110" s="35">
        <f t="shared" si="108"/>
        <v>0</v>
      </c>
      <c r="HV110" s="35">
        <f t="shared" si="127"/>
        <v>0</v>
      </c>
      <c r="HW110" s="15">
        <f t="shared" si="162"/>
        <v>0.70851914805725358</v>
      </c>
      <c r="HX110" s="28">
        <f t="shared" si="163"/>
        <v>20.031190161139143</v>
      </c>
      <c r="HY110" s="28">
        <f t="shared" si="164"/>
        <v>28.271910810123195</v>
      </c>
      <c r="HZ110" s="33"/>
      <c r="ID110" s="31"/>
      <c r="II110" s="12"/>
      <c r="IL110" s="35">
        <f t="shared" si="109"/>
        <v>0</v>
      </c>
      <c r="IM110" s="35">
        <f t="shared" si="110"/>
        <v>4192.06414225546</v>
      </c>
      <c r="IN110" s="15">
        <f t="shared" si="165"/>
        <v>2.2644337940329093E-2</v>
      </c>
      <c r="IO110" s="28">
        <f t="shared" si="166"/>
        <v>0.8537156454673156</v>
      </c>
      <c r="IP110" s="28">
        <f t="shared" si="167"/>
        <v>37.701064509678858</v>
      </c>
      <c r="IQ110" s="33"/>
      <c r="IU110" s="31"/>
      <c r="JC110" s="35">
        <f t="shared" si="111"/>
        <v>0</v>
      </c>
      <c r="JD110" s="35">
        <f t="shared" si="112"/>
        <v>5027.3044664155514</v>
      </c>
      <c r="JE110" s="15" t="e">
        <f t="shared" si="168"/>
        <v>#DIV/0!</v>
      </c>
      <c r="JF110" s="28">
        <f t="shared" si="169"/>
        <v>0</v>
      </c>
      <c r="JG110" s="28">
        <f t="shared" si="170"/>
        <v>0</v>
      </c>
      <c r="JH110" s="33"/>
      <c r="JL110" s="31"/>
      <c r="JR110" s="99"/>
      <c r="JS110" s="99"/>
      <c r="JT110" s="99"/>
      <c r="JU110" s="99"/>
      <c r="JV110" s="99"/>
      <c r="JW110" s="99"/>
      <c r="JX110" s="99"/>
      <c r="JY110" s="99"/>
      <c r="JZ110" s="99"/>
      <c r="KA110" s="99"/>
      <c r="KB110" s="99"/>
      <c r="KC110" s="99"/>
      <c r="KD110" s="99"/>
      <c r="KE110" s="99"/>
      <c r="KF110" s="99"/>
      <c r="KG110" s="99"/>
      <c r="KH110" s="99"/>
      <c r="KI110" s="99"/>
      <c r="KJ110" s="99"/>
      <c r="KK110" s="99"/>
      <c r="KL110" s="99"/>
      <c r="KM110" s="99"/>
      <c r="KN110" s="99"/>
      <c r="KO110" s="99"/>
      <c r="KP110" s="99"/>
      <c r="KQ110" s="99"/>
      <c r="KR110" s="99"/>
      <c r="KS110" s="99"/>
      <c r="KT110" s="99"/>
      <c r="KU110" s="99"/>
      <c r="KV110" s="99"/>
      <c r="KW110" s="99"/>
      <c r="KX110" s="99"/>
      <c r="KY110" s="99"/>
      <c r="KZ110" s="99"/>
      <c r="LA110" s="99"/>
      <c r="LB110" s="99"/>
      <c r="LC110" s="99"/>
      <c r="LD110" s="99"/>
      <c r="LE110" s="99"/>
      <c r="LF110" s="99"/>
      <c r="LG110" s="99"/>
      <c r="LH110" s="99"/>
      <c r="LI110" s="99"/>
      <c r="LJ110" s="99"/>
      <c r="LK110" s="99"/>
      <c r="LL110" s="99"/>
      <c r="LM110" s="99"/>
      <c r="LN110" s="99"/>
      <c r="LO110" s="99"/>
      <c r="LP110" s="99"/>
      <c r="LQ110" s="99"/>
      <c r="LR110" s="99"/>
      <c r="LS110" s="99"/>
      <c r="LT110" s="99"/>
      <c r="LU110" s="99"/>
      <c r="LV110" s="99"/>
      <c r="LW110" s="99"/>
      <c r="LX110" s="99"/>
      <c r="LY110" s="99"/>
      <c r="LZ110" s="99"/>
      <c r="MA110" s="99"/>
      <c r="MB110" s="99"/>
      <c r="MC110" s="99"/>
      <c r="MD110" s="99"/>
      <c r="ME110" s="99"/>
      <c r="MF110" s="99"/>
    </row>
    <row r="111" spans="1:344" ht="17.25" customHeight="1" x14ac:dyDescent="0.25">
      <c r="A111" s="156"/>
      <c r="B111" s="81" t="s">
        <v>3</v>
      </c>
      <c r="C111" s="82">
        <v>45245</v>
      </c>
      <c r="D111" s="49">
        <v>12</v>
      </c>
      <c r="F111" s="103">
        <v>101</v>
      </c>
      <c r="G111" s="89">
        <f t="shared" si="93"/>
        <v>6.8</v>
      </c>
      <c r="H111" s="35">
        <f t="shared" si="94"/>
        <v>686.8</v>
      </c>
      <c r="I111" s="39"/>
      <c r="L111" s="89">
        <f t="shared" si="95"/>
        <v>0</v>
      </c>
      <c r="M111" s="35">
        <f t="shared" si="113"/>
        <v>0</v>
      </c>
      <c r="N111" s="35">
        <f t="shared" si="114"/>
        <v>686.8</v>
      </c>
      <c r="O111" s="97"/>
      <c r="P111" s="150"/>
      <c r="W111" s="86">
        <v>0</v>
      </c>
      <c r="X111" s="87">
        <v>0</v>
      </c>
      <c r="Y111" s="35">
        <f t="shared" si="96"/>
        <v>0</v>
      </c>
      <c r="Z111" s="35">
        <f t="shared" si="115"/>
        <v>0</v>
      </c>
      <c r="AA111" s="15">
        <f t="shared" si="128"/>
        <v>0.65056784607018636</v>
      </c>
      <c r="AB111" s="43">
        <f t="shared" si="173"/>
        <v>297.31733880947417</v>
      </c>
      <c r="AC111" s="43">
        <f t="shared" si="174"/>
        <v>457.012040489622</v>
      </c>
      <c r="AD111" s="33"/>
      <c r="AH111" s="31"/>
      <c r="AN111" s="11">
        <v>8.5</v>
      </c>
      <c r="AP111" s="35">
        <f t="shared" si="97"/>
        <v>858.5</v>
      </c>
      <c r="AQ111" s="35">
        <f t="shared" si="116"/>
        <v>0</v>
      </c>
      <c r="AR111" s="15">
        <f t="shared" si="129"/>
        <v>1.2866115853562718</v>
      </c>
      <c r="AS111" s="28">
        <f t="shared" si="130"/>
        <v>600.27445466923473</v>
      </c>
      <c r="AT111" s="28">
        <f t="shared" si="131"/>
        <v>466.55452313762157</v>
      </c>
      <c r="AU111" s="33"/>
      <c r="AY111" s="31"/>
      <c r="BE111" s="11">
        <v>9</v>
      </c>
      <c r="BG111" s="35">
        <f t="shared" si="98"/>
        <v>909</v>
      </c>
      <c r="BH111" s="35">
        <f t="shared" si="117"/>
        <v>0</v>
      </c>
      <c r="BI111" s="15">
        <f t="shared" si="132"/>
        <v>1.3987811990532795</v>
      </c>
      <c r="BJ111" s="28">
        <f t="shared" si="133"/>
        <v>489.90520750761436</v>
      </c>
      <c r="BK111" s="28">
        <f t="shared" si="134"/>
        <v>350.23719781134542</v>
      </c>
      <c r="BL111" s="33"/>
      <c r="BP111" s="31"/>
      <c r="BV111" s="11">
        <v>7</v>
      </c>
      <c r="BX111" s="35">
        <f t="shared" si="99"/>
        <v>707</v>
      </c>
      <c r="BY111" s="35">
        <f t="shared" si="118"/>
        <v>0</v>
      </c>
      <c r="BZ111" s="15">
        <f t="shared" si="135"/>
        <v>1.0934521826118142</v>
      </c>
      <c r="CA111" s="28">
        <f t="shared" si="136"/>
        <v>481.58294722254618</v>
      </c>
      <c r="CB111" s="28">
        <f t="shared" si="137"/>
        <v>440.42433211138655</v>
      </c>
      <c r="CC111" s="33"/>
      <c r="CG111" s="31"/>
      <c r="CM111" s="11">
        <v>8</v>
      </c>
      <c r="CO111" s="35">
        <f t="shared" si="100"/>
        <v>808</v>
      </c>
      <c r="CP111" s="35">
        <f t="shared" si="119"/>
        <v>0</v>
      </c>
      <c r="CQ111" s="15">
        <f t="shared" si="138"/>
        <v>1.1265822090021607</v>
      </c>
      <c r="CR111" s="28">
        <f t="shared" si="139"/>
        <v>568.88017510597524</v>
      </c>
      <c r="CS111" s="28">
        <f t="shared" si="140"/>
        <v>504.96108544963198</v>
      </c>
      <c r="CT111" s="33"/>
      <c r="CX111" s="31"/>
      <c r="DD111" s="11">
        <v>6.5</v>
      </c>
      <c r="DF111" s="35">
        <f t="shared" si="101"/>
        <v>656.5</v>
      </c>
      <c r="DG111" s="35">
        <f t="shared" si="120"/>
        <v>0</v>
      </c>
      <c r="DH111" s="15">
        <f t="shared" si="141"/>
        <v>1.1312568306508348</v>
      </c>
      <c r="DI111" s="28">
        <f t="shared" si="142"/>
        <v>493.72376257075416</v>
      </c>
      <c r="DJ111" s="28">
        <f t="shared" si="143"/>
        <v>436.43825981294179</v>
      </c>
      <c r="DK111" s="33"/>
      <c r="DO111" s="31"/>
      <c r="DU111" s="11">
        <v>6.3</v>
      </c>
      <c r="DW111" s="35">
        <f t="shared" si="102"/>
        <v>636.29999999999995</v>
      </c>
      <c r="DX111" s="35">
        <f t="shared" si="121"/>
        <v>0</v>
      </c>
      <c r="DY111" s="15">
        <f t="shared" si="144"/>
        <v>1.1869040990541357</v>
      </c>
      <c r="DZ111" s="28">
        <f t="shared" si="145"/>
        <v>489.54378652258976</v>
      </c>
      <c r="EA111" s="28">
        <f t="shared" si="146"/>
        <v>412.45437345166772</v>
      </c>
      <c r="EB111" s="33"/>
      <c r="EF111" s="31"/>
      <c r="EL111" s="11">
        <v>7</v>
      </c>
      <c r="EN111" s="35">
        <f t="shared" si="103"/>
        <v>707</v>
      </c>
      <c r="EO111" s="35">
        <f t="shared" si="122"/>
        <v>0</v>
      </c>
      <c r="EP111" s="15">
        <f t="shared" si="147"/>
        <v>1.0409215604876263</v>
      </c>
      <c r="EQ111" s="28">
        <f t="shared" si="148"/>
        <v>552.01095025806978</v>
      </c>
      <c r="ER111" s="28">
        <f t="shared" si="149"/>
        <v>530.3098439035856</v>
      </c>
      <c r="ES111" s="33"/>
      <c r="EW111" s="31"/>
      <c r="FC111" s="11">
        <v>8</v>
      </c>
      <c r="FE111" s="35">
        <f t="shared" si="104"/>
        <v>808</v>
      </c>
      <c r="FF111" s="35">
        <f t="shared" si="123"/>
        <v>0</v>
      </c>
      <c r="FG111" s="15">
        <f t="shared" si="150"/>
        <v>1.0636817808132002</v>
      </c>
      <c r="FH111" s="28">
        <f t="shared" si="151"/>
        <v>584.16239080403398</v>
      </c>
      <c r="FI111" s="28">
        <f t="shared" si="152"/>
        <v>549.18905385164476</v>
      </c>
      <c r="FJ111" s="33"/>
      <c r="FN111" s="31"/>
      <c r="FT111" s="11">
        <v>6</v>
      </c>
      <c r="FV111" s="35">
        <f t="shared" si="105"/>
        <v>606</v>
      </c>
      <c r="FW111" s="35">
        <f t="shared" si="124"/>
        <v>0</v>
      </c>
      <c r="FX111" s="15">
        <f t="shared" si="153"/>
        <v>1.0031060874952549</v>
      </c>
      <c r="FY111" s="28">
        <f t="shared" si="154"/>
        <v>471.02563159128226</v>
      </c>
      <c r="FZ111" s="28">
        <f t="shared" si="155"/>
        <v>469.56711504705174</v>
      </c>
      <c r="GA111" s="33"/>
      <c r="GE111" s="31"/>
      <c r="GK111" s="11">
        <v>8.5</v>
      </c>
      <c r="GM111" s="35">
        <f t="shared" si="106"/>
        <v>858.5</v>
      </c>
      <c r="GN111" s="35">
        <f t="shared" si="125"/>
        <v>0</v>
      </c>
      <c r="GO111" s="15">
        <f t="shared" si="156"/>
        <v>1.1561872356749654</v>
      </c>
      <c r="GP111" s="28">
        <f t="shared" si="157"/>
        <v>628.07806992364408</v>
      </c>
      <c r="GQ111" s="28">
        <f t="shared" si="158"/>
        <v>543.23214315454811</v>
      </c>
      <c r="GR111" s="33"/>
      <c r="GV111" s="31"/>
      <c r="HB111" s="11">
        <v>6</v>
      </c>
      <c r="HD111" s="35">
        <f t="shared" si="107"/>
        <v>606</v>
      </c>
      <c r="HE111" s="35">
        <f t="shared" si="126"/>
        <v>0</v>
      </c>
      <c r="HF111" s="15">
        <f t="shared" si="159"/>
        <v>1.3962287877477868</v>
      </c>
      <c r="HG111" s="28">
        <f t="shared" si="160"/>
        <v>261.38620825183375</v>
      </c>
      <c r="HH111" s="28">
        <f t="shared" si="161"/>
        <v>187.20872291529506</v>
      </c>
      <c r="HI111" s="33"/>
      <c r="HM111" s="31"/>
      <c r="HU111" s="35">
        <f t="shared" si="108"/>
        <v>0</v>
      </c>
      <c r="HV111" s="35">
        <f t="shared" si="127"/>
        <v>0</v>
      </c>
      <c r="HW111" s="15">
        <f t="shared" si="162"/>
        <v>0.57075153593500982</v>
      </c>
      <c r="HX111" s="28">
        <f t="shared" si="163"/>
        <v>15.023392620854358</v>
      </c>
      <c r="HY111" s="28">
        <f t="shared" si="164"/>
        <v>26.322123857700905</v>
      </c>
      <c r="HZ111" s="33"/>
      <c r="ID111" s="31"/>
      <c r="II111" s="12"/>
      <c r="IL111" s="35">
        <f t="shared" si="109"/>
        <v>0</v>
      </c>
      <c r="IM111" s="35">
        <f t="shared" si="110"/>
        <v>4838.7338059949525</v>
      </c>
      <c r="IN111" s="15">
        <f t="shared" si="165"/>
        <v>1.8241272229709549E-2</v>
      </c>
      <c r="IO111" s="28">
        <f t="shared" si="166"/>
        <v>0.64028673410048675</v>
      </c>
      <c r="IP111" s="28">
        <f t="shared" si="167"/>
        <v>35.100991095218248</v>
      </c>
      <c r="IQ111" s="33"/>
      <c r="IU111" s="31"/>
      <c r="JC111" s="35">
        <f t="shared" si="111"/>
        <v>0</v>
      </c>
      <c r="JD111" s="35">
        <f t="shared" si="112"/>
        <v>5611.7058742990675</v>
      </c>
      <c r="JE111" s="15" t="e">
        <f t="shared" si="168"/>
        <v>#DIV/0!</v>
      </c>
      <c r="JF111" s="28">
        <f t="shared" si="169"/>
        <v>0</v>
      </c>
      <c r="JG111" s="28">
        <f t="shared" si="170"/>
        <v>0</v>
      </c>
      <c r="JH111" s="33"/>
      <c r="JL111" s="31"/>
      <c r="JR111" s="99"/>
      <c r="JS111" s="99"/>
      <c r="JT111" s="99"/>
      <c r="JU111" s="99"/>
      <c r="JV111" s="99"/>
      <c r="JW111" s="99"/>
      <c r="JX111" s="99"/>
      <c r="JY111" s="99"/>
      <c r="JZ111" s="99"/>
      <c r="KA111" s="99"/>
      <c r="KB111" s="99"/>
      <c r="KC111" s="99"/>
      <c r="KD111" s="99"/>
      <c r="KE111" s="99"/>
      <c r="KF111" s="99"/>
      <c r="KG111" s="99"/>
      <c r="KH111" s="99"/>
      <c r="KI111" s="99"/>
      <c r="KJ111" s="99"/>
      <c r="KK111" s="99"/>
      <c r="KL111" s="99"/>
      <c r="KM111" s="99"/>
      <c r="KN111" s="99"/>
      <c r="KO111" s="99"/>
      <c r="KP111" s="99"/>
      <c r="KQ111" s="99"/>
      <c r="KR111" s="99"/>
      <c r="KS111" s="99"/>
      <c r="KT111" s="99"/>
      <c r="KU111" s="99"/>
      <c r="KV111" s="99"/>
      <c r="KW111" s="99"/>
      <c r="KX111" s="99"/>
      <c r="KY111" s="99"/>
      <c r="KZ111" s="99"/>
      <c r="LA111" s="99"/>
      <c r="LB111" s="99"/>
      <c r="LC111" s="99"/>
      <c r="LD111" s="99"/>
      <c r="LE111" s="99"/>
      <c r="LF111" s="99"/>
      <c r="LG111" s="99"/>
      <c r="LH111" s="99"/>
      <c r="LI111" s="99"/>
      <c r="LJ111" s="99"/>
      <c r="LK111" s="99"/>
      <c r="LL111" s="99"/>
      <c r="LM111" s="99"/>
      <c r="LN111" s="99"/>
      <c r="LO111" s="99"/>
      <c r="LP111" s="99"/>
      <c r="LQ111" s="99"/>
      <c r="LR111" s="99"/>
      <c r="LS111" s="99"/>
      <c r="LT111" s="99"/>
      <c r="LU111" s="99"/>
      <c r="LV111" s="99"/>
      <c r="LW111" s="99"/>
      <c r="LX111" s="99"/>
      <c r="LY111" s="99"/>
      <c r="LZ111" s="99"/>
      <c r="MA111" s="99"/>
      <c r="MB111" s="99"/>
      <c r="MC111" s="99"/>
      <c r="MD111" s="99"/>
      <c r="ME111" s="99"/>
      <c r="MF111" s="99"/>
    </row>
    <row r="112" spans="1:344" ht="17.25" customHeight="1" x14ac:dyDescent="0.25">
      <c r="A112" s="156"/>
      <c r="B112" s="81" t="s">
        <v>4</v>
      </c>
      <c r="C112" s="82">
        <v>45246</v>
      </c>
      <c r="D112" s="49">
        <v>11</v>
      </c>
      <c r="F112" s="103">
        <v>60</v>
      </c>
      <c r="G112" s="89">
        <f t="shared" si="93"/>
        <v>6.5627272727272725</v>
      </c>
      <c r="H112" s="35">
        <f t="shared" si="94"/>
        <v>393.76363636363635</v>
      </c>
      <c r="I112" s="39"/>
      <c r="L112" s="89">
        <f t="shared" si="95"/>
        <v>0</v>
      </c>
      <c r="M112" s="35">
        <f t="shared" si="113"/>
        <v>0</v>
      </c>
      <c r="N112" s="35">
        <f t="shared" si="114"/>
        <v>393.76363636363635</v>
      </c>
      <c r="O112" s="97"/>
      <c r="P112" s="150"/>
      <c r="W112" s="11">
        <v>0</v>
      </c>
      <c r="X112" s="1">
        <v>0</v>
      </c>
      <c r="Y112" s="35">
        <f t="shared" si="96"/>
        <v>0</v>
      </c>
      <c r="Z112" s="35">
        <f t="shared" si="115"/>
        <v>0</v>
      </c>
      <c r="AA112" s="15">
        <f t="shared" si="128"/>
        <v>0.52406854266765013</v>
      </c>
      <c r="AB112" s="43">
        <f t="shared" si="173"/>
        <v>222.98800410710561</v>
      </c>
      <c r="AC112" s="43">
        <f t="shared" si="174"/>
        <v>425.49396873171702</v>
      </c>
      <c r="AD112" s="33"/>
      <c r="AH112" s="31"/>
      <c r="AN112" s="11">
        <v>8.5</v>
      </c>
      <c r="AP112" s="35">
        <f t="shared" si="97"/>
        <v>510</v>
      </c>
      <c r="AQ112" s="35">
        <f t="shared" si="116"/>
        <v>0</v>
      </c>
      <c r="AR112" s="15">
        <f t="shared" si="129"/>
        <v>1.2303373492736396</v>
      </c>
      <c r="AS112" s="28">
        <f t="shared" si="130"/>
        <v>577.70584100192605</v>
      </c>
      <c r="AT112" s="28">
        <f t="shared" si="131"/>
        <v>469.55076292123385</v>
      </c>
      <c r="AU112" s="33"/>
      <c r="AY112" s="31"/>
      <c r="BE112" s="11">
        <v>7</v>
      </c>
      <c r="BG112" s="35">
        <f t="shared" si="98"/>
        <v>420</v>
      </c>
      <c r="BH112" s="35">
        <f t="shared" si="117"/>
        <v>0</v>
      </c>
      <c r="BI112" s="15">
        <f t="shared" si="132"/>
        <v>1.3306041419586143</v>
      </c>
      <c r="BJ112" s="28">
        <f t="shared" si="133"/>
        <v>472.4289056307108</v>
      </c>
      <c r="BK112" s="28">
        <f t="shared" si="134"/>
        <v>355.04842554849398</v>
      </c>
      <c r="BL112" s="33"/>
      <c r="BP112" s="31"/>
      <c r="BV112" s="11">
        <v>8</v>
      </c>
      <c r="BX112" s="35">
        <f t="shared" si="99"/>
        <v>480</v>
      </c>
      <c r="BY112" s="35">
        <f t="shared" si="118"/>
        <v>0</v>
      </c>
      <c r="BZ112" s="15">
        <f t="shared" si="135"/>
        <v>1.0858246763705095</v>
      </c>
      <c r="CA112" s="28">
        <f t="shared" si="136"/>
        <v>481.18721041690964</v>
      </c>
      <c r="CB112" s="28">
        <f t="shared" si="137"/>
        <v>443.15368851749781</v>
      </c>
      <c r="CC112" s="33"/>
      <c r="CG112" s="31"/>
      <c r="CM112" s="11">
        <v>8</v>
      </c>
      <c r="CO112" s="35">
        <f t="shared" si="100"/>
        <v>480</v>
      </c>
      <c r="CP112" s="35">
        <f t="shared" si="119"/>
        <v>0</v>
      </c>
      <c r="CQ112" s="15">
        <f t="shared" si="138"/>
        <v>1.0862819566461586</v>
      </c>
      <c r="CR112" s="28">
        <f t="shared" si="139"/>
        <v>546.66013132948137</v>
      </c>
      <c r="CS112" s="28">
        <f t="shared" si="140"/>
        <v>503.23963128069187</v>
      </c>
      <c r="CT112" s="33"/>
      <c r="CX112" s="31"/>
      <c r="DD112" s="11">
        <v>5</v>
      </c>
      <c r="DF112" s="35">
        <f t="shared" si="101"/>
        <v>300</v>
      </c>
      <c r="DG112" s="35">
        <f t="shared" si="120"/>
        <v>0</v>
      </c>
      <c r="DH112" s="15">
        <f t="shared" si="141"/>
        <v>1.0427701843464043</v>
      </c>
      <c r="DI112" s="28">
        <f t="shared" si="142"/>
        <v>445.29282192806562</v>
      </c>
      <c r="DJ112" s="28">
        <f t="shared" si="143"/>
        <v>427.02872465342853</v>
      </c>
      <c r="DK112" s="33"/>
      <c r="DO112" s="31"/>
      <c r="DU112" s="11">
        <v>6</v>
      </c>
      <c r="DW112" s="35">
        <f t="shared" si="102"/>
        <v>360</v>
      </c>
      <c r="DX112" s="35">
        <f t="shared" si="121"/>
        <v>0</v>
      </c>
      <c r="DY112" s="15">
        <f t="shared" si="144"/>
        <v>1.118191429532325</v>
      </c>
      <c r="DZ112" s="28">
        <f t="shared" si="145"/>
        <v>457.15783989194233</v>
      </c>
      <c r="EA112" s="28">
        <f t="shared" si="146"/>
        <v>408.83683045500101</v>
      </c>
      <c r="EB112" s="33"/>
      <c r="EF112" s="31"/>
      <c r="EL112" s="11">
        <v>6</v>
      </c>
      <c r="EN112" s="35">
        <f t="shared" si="103"/>
        <v>360</v>
      </c>
      <c r="EO112" s="35">
        <f t="shared" si="122"/>
        <v>0</v>
      </c>
      <c r="EP112" s="15">
        <f t="shared" si="147"/>
        <v>0.97192995413812155</v>
      </c>
      <c r="EQ112" s="28">
        <f t="shared" si="148"/>
        <v>504.00821269355231</v>
      </c>
      <c r="ER112" s="28">
        <f t="shared" si="149"/>
        <v>518.56433742747618</v>
      </c>
      <c r="ES112" s="33"/>
      <c r="EW112" s="31"/>
      <c r="FC112" s="11">
        <v>9</v>
      </c>
      <c r="FE112" s="35">
        <f t="shared" si="104"/>
        <v>540</v>
      </c>
      <c r="FF112" s="35">
        <f t="shared" si="123"/>
        <v>0</v>
      </c>
      <c r="FG112" s="15">
        <f t="shared" si="150"/>
        <v>1.0447839368954137</v>
      </c>
      <c r="FH112" s="28">
        <f t="shared" si="151"/>
        <v>573.12179310302554</v>
      </c>
      <c r="FI112" s="28">
        <f t="shared" si="152"/>
        <v>548.55532599980711</v>
      </c>
      <c r="FJ112" s="33"/>
      <c r="FN112" s="31"/>
      <c r="FT112" s="11">
        <v>7</v>
      </c>
      <c r="FV112" s="35">
        <f t="shared" si="105"/>
        <v>420</v>
      </c>
      <c r="FW112" s="35">
        <f t="shared" si="124"/>
        <v>0</v>
      </c>
      <c r="FX112" s="15">
        <f t="shared" si="153"/>
        <v>0.98309666048810807</v>
      </c>
      <c r="FY112" s="28">
        <f t="shared" si="154"/>
        <v>458.2692236934617</v>
      </c>
      <c r="FZ112" s="28">
        <f t="shared" si="155"/>
        <v>466.14869331966884</v>
      </c>
      <c r="GA112" s="33"/>
      <c r="GE112" s="31"/>
      <c r="GK112" s="11">
        <v>7.69</v>
      </c>
      <c r="GM112" s="35">
        <f t="shared" si="106"/>
        <v>461.40000000000003</v>
      </c>
      <c r="GN112" s="35">
        <f t="shared" si="125"/>
        <v>0</v>
      </c>
      <c r="GO112" s="15">
        <f t="shared" si="156"/>
        <v>1.0908129565509601</v>
      </c>
      <c r="GP112" s="28">
        <f t="shared" si="157"/>
        <v>586.40855244273303</v>
      </c>
      <c r="GQ112" s="28">
        <f t="shared" si="158"/>
        <v>537.58854707492412</v>
      </c>
      <c r="GR112" s="33"/>
      <c r="GV112" s="31"/>
      <c r="HB112" s="11">
        <v>7</v>
      </c>
      <c r="HD112" s="35">
        <f t="shared" si="107"/>
        <v>420</v>
      </c>
      <c r="HE112" s="35">
        <f t="shared" si="126"/>
        <v>0</v>
      </c>
      <c r="HF112" s="15">
        <f t="shared" si="159"/>
        <v>1.481033051452098</v>
      </c>
      <c r="HG112" s="28">
        <f t="shared" si="160"/>
        <v>301.03965618887531</v>
      </c>
      <c r="HH112" s="28">
        <f t="shared" si="161"/>
        <v>203.26329374872296</v>
      </c>
      <c r="HI112" s="33"/>
      <c r="HM112" s="31"/>
      <c r="HU112" s="35">
        <f t="shared" si="108"/>
        <v>0</v>
      </c>
      <c r="HV112" s="35">
        <f t="shared" si="127"/>
        <v>0</v>
      </c>
      <c r="HW112" s="15">
        <f t="shared" si="162"/>
        <v>0.45977207061431347</v>
      </c>
      <c r="HX112" s="28">
        <f t="shared" si="163"/>
        <v>11.267544465640768</v>
      </c>
      <c r="HY112" s="28">
        <f t="shared" si="164"/>
        <v>24.506804970962911</v>
      </c>
      <c r="HZ112" s="33"/>
      <c r="ID112" s="31"/>
      <c r="II112" s="12"/>
      <c r="IL112" s="35">
        <f t="shared" si="109"/>
        <v>0</v>
      </c>
      <c r="IM112" s="35">
        <f t="shared" si="110"/>
        <v>4623.7747582842385</v>
      </c>
      <c r="IN112" s="15">
        <f t="shared" si="165"/>
        <v>1.4694358185043804E-2</v>
      </c>
      <c r="IO112" s="28">
        <f t="shared" si="166"/>
        <v>0.48021505057536507</v>
      </c>
      <c r="IP112" s="28">
        <f t="shared" si="167"/>
        <v>32.68023308865147</v>
      </c>
      <c r="IQ112" s="33"/>
      <c r="IU112" s="31"/>
      <c r="JC112" s="35">
        <f t="shared" si="111"/>
        <v>0</v>
      </c>
      <c r="JD112" s="35">
        <f t="shared" si="112"/>
        <v>5186.0975275913233</v>
      </c>
      <c r="JE112" s="15" t="e">
        <f t="shared" si="168"/>
        <v>#DIV/0!</v>
      </c>
      <c r="JF112" s="28">
        <f t="shared" si="169"/>
        <v>0</v>
      </c>
      <c r="JG112" s="28">
        <f t="shared" si="170"/>
        <v>0</v>
      </c>
      <c r="JH112" s="33"/>
      <c r="JL112" s="31"/>
      <c r="JR112" s="99"/>
      <c r="JS112" s="99"/>
      <c r="JT112" s="99"/>
      <c r="JU112" s="99"/>
      <c r="JV112" s="99"/>
      <c r="JW112" s="99"/>
      <c r="JX112" s="99"/>
      <c r="JY112" s="99"/>
      <c r="JZ112" s="99"/>
      <c r="KA112" s="99"/>
      <c r="KB112" s="99"/>
      <c r="KC112" s="99"/>
      <c r="KD112" s="99"/>
      <c r="KE112" s="99"/>
      <c r="KF112" s="99"/>
      <c r="KG112" s="99"/>
      <c r="KH112" s="99"/>
      <c r="KI112" s="99"/>
      <c r="KJ112" s="99"/>
      <c r="KK112" s="99"/>
      <c r="KL112" s="99"/>
      <c r="KM112" s="99"/>
      <c r="KN112" s="99"/>
      <c r="KO112" s="99"/>
      <c r="KP112" s="99"/>
      <c r="KQ112" s="99"/>
      <c r="KR112" s="99"/>
      <c r="KS112" s="99"/>
      <c r="KT112" s="99"/>
      <c r="KU112" s="99"/>
      <c r="KV112" s="99"/>
      <c r="KW112" s="99"/>
      <c r="KX112" s="99"/>
      <c r="KY112" s="99"/>
      <c r="KZ112" s="99"/>
      <c r="LA112" s="99"/>
      <c r="LB112" s="99"/>
      <c r="LC112" s="99"/>
      <c r="LD112" s="99"/>
      <c r="LE112" s="99"/>
      <c r="LF112" s="99"/>
      <c r="LG112" s="99"/>
      <c r="LH112" s="99"/>
      <c r="LI112" s="99"/>
      <c r="LJ112" s="99"/>
      <c r="LK112" s="99"/>
      <c r="LL112" s="99"/>
      <c r="LM112" s="99"/>
      <c r="LN112" s="99"/>
      <c r="LO112" s="99"/>
      <c r="LP112" s="99"/>
      <c r="LQ112" s="99"/>
      <c r="LR112" s="99"/>
      <c r="LS112" s="99"/>
      <c r="LT112" s="99"/>
      <c r="LU112" s="99"/>
      <c r="LV112" s="99"/>
      <c r="LW112" s="99"/>
      <c r="LX112" s="99"/>
      <c r="LY112" s="99"/>
      <c r="LZ112" s="99"/>
      <c r="MA112" s="99"/>
      <c r="MB112" s="99"/>
      <c r="MC112" s="99"/>
      <c r="MD112" s="99"/>
      <c r="ME112" s="99"/>
      <c r="MF112" s="99"/>
    </row>
    <row r="113" spans="1:344" ht="17.25" customHeight="1" x14ac:dyDescent="0.25">
      <c r="A113" s="156"/>
      <c r="B113" s="81" t="s">
        <v>5</v>
      </c>
      <c r="C113" s="82">
        <v>45247</v>
      </c>
      <c r="D113" s="49">
        <v>12</v>
      </c>
      <c r="F113" s="103">
        <v>65</v>
      </c>
      <c r="G113" s="89">
        <f t="shared" si="93"/>
        <v>6.8363636363636351</v>
      </c>
      <c r="H113" s="35">
        <f t="shared" si="94"/>
        <v>444.36363636363626</v>
      </c>
      <c r="I113" s="39"/>
      <c r="L113" s="89">
        <f t="shared" si="95"/>
        <v>0</v>
      </c>
      <c r="M113" s="35">
        <f t="shared" si="113"/>
        <v>0</v>
      </c>
      <c r="N113" s="35">
        <f t="shared" si="114"/>
        <v>444.36363636363626</v>
      </c>
      <c r="O113" s="97"/>
      <c r="P113" s="150"/>
      <c r="W113" s="11">
        <v>7</v>
      </c>
      <c r="X113" s="1">
        <v>0</v>
      </c>
      <c r="Y113" s="35">
        <f t="shared" si="96"/>
        <v>455</v>
      </c>
      <c r="Z113" s="35">
        <f t="shared" si="115"/>
        <v>0</v>
      </c>
      <c r="AA113" s="15">
        <f t="shared" si="128"/>
        <v>0.65724451488611202</v>
      </c>
      <c r="AB113" s="43">
        <f t="shared" si="173"/>
        <v>280.99100308032922</v>
      </c>
      <c r="AC113" s="43">
        <f t="shared" si="174"/>
        <v>427.52886743987449</v>
      </c>
      <c r="AD113" s="33"/>
      <c r="AH113" s="31"/>
      <c r="AN113" s="11">
        <v>9</v>
      </c>
      <c r="AP113" s="35">
        <f t="shared" si="97"/>
        <v>585</v>
      </c>
      <c r="AQ113" s="35">
        <f t="shared" si="116"/>
        <v>0</v>
      </c>
      <c r="AR113" s="15">
        <f t="shared" si="129"/>
        <v>1.2136416152790512</v>
      </c>
      <c r="AS113" s="28">
        <f t="shared" si="130"/>
        <v>579.52938075144448</v>
      </c>
      <c r="AT113" s="28">
        <f t="shared" si="131"/>
        <v>477.51277927149357</v>
      </c>
      <c r="AU113" s="33"/>
      <c r="AY113" s="31"/>
      <c r="BE113" s="11">
        <v>7</v>
      </c>
      <c r="BG113" s="35">
        <f t="shared" si="98"/>
        <v>455</v>
      </c>
      <c r="BH113" s="35">
        <f t="shared" si="117"/>
        <v>0</v>
      </c>
      <c r="BI113" s="15">
        <f t="shared" si="132"/>
        <v>1.2932241848523178</v>
      </c>
      <c r="BJ113" s="28">
        <f t="shared" si="133"/>
        <v>468.07167922303313</v>
      </c>
      <c r="BK113" s="28">
        <f t="shared" si="134"/>
        <v>361.94163757963236</v>
      </c>
      <c r="BL113" s="33"/>
      <c r="BP113" s="31"/>
      <c r="BV113" s="11">
        <v>5</v>
      </c>
      <c r="BX113" s="35">
        <f t="shared" si="99"/>
        <v>325</v>
      </c>
      <c r="BY113" s="35">
        <f t="shared" si="118"/>
        <v>0</v>
      </c>
      <c r="BZ113" s="15">
        <f t="shared" si="135"/>
        <v>1.0164026779959727</v>
      </c>
      <c r="CA113" s="28">
        <f t="shared" si="136"/>
        <v>442.14040781268221</v>
      </c>
      <c r="CB113" s="28">
        <f t="shared" si="137"/>
        <v>435.00515827491171</v>
      </c>
      <c r="CC113" s="33"/>
      <c r="CG113" s="31"/>
      <c r="CM113" s="11">
        <v>7.5</v>
      </c>
      <c r="CO113" s="35">
        <f t="shared" si="100"/>
        <v>487.5</v>
      </c>
      <c r="CP113" s="35">
        <f t="shared" si="119"/>
        <v>0</v>
      </c>
      <c r="CQ113" s="15">
        <f t="shared" si="138"/>
        <v>1.059176967176551</v>
      </c>
      <c r="CR113" s="28">
        <f t="shared" si="139"/>
        <v>531.87009849711103</v>
      </c>
      <c r="CS113" s="28">
        <f t="shared" si="140"/>
        <v>502.15413946823037</v>
      </c>
      <c r="CT113" s="33"/>
      <c r="CX113" s="31"/>
      <c r="DD113" s="11">
        <v>5.4</v>
      </c>
      <c r="DF113" s="35">
        <f t="shared" si="101"/>
        <v>351</v>
      </c>
      <c r="DG113" s="35">
        <f t="shared" si="120"/>
        <v>0</v>
      </c>
      <c r="DH113" s="15">
        <f t="shared" si="141"/>
        <v>0.9998441200382634</v>
      </c>
      <c r="DI113" s="28">
        <f t="shared" si="142"/>
        <v>421.7196164460492</v>
      </c>
      <c r="DJ113" s="28">
        <f t="shared" si="143"/>
        <v>421.78536433250241</v>
      </c>
      <c r="DK113" s="33"/>
      <c r="DO113" s="31"/>
      <c r="DU113" s="11">
        <v>5.5</v>
      </c>
      <c r="DW113" s="35">
        <f t="shared" si="102"/>
        <v>357.5</v>
      </c>
      <c r="DX113" s="35">
        <f t="shared" si="121"/>
        <v>0</v>
      </c>
      <c r="DY113" s="15">
        <f t="shared" si="144"/>
        <v>1.0664872010457542</v>
      </c>
      <c r="DZ113" s="28">
        <f t="shared" si="145"/>
        <v>432.24337991895675</v>
      </c>
      <c r="EA113" s="28">
        <f t="shared" si="146"/>
        <v>405.29635938913884</v>
      </c>
      <c r="EB113" s="33"/>
      <c r="EF113" s="31"/>
      <c r="EL113" s="11">
        <v>7</v>
      </c>
      <c r="EN113" s="35">
        <f t="shared" si="103"/>
        <v>455</v>
      </c>
      <c r="EO113" s="35">
        <f t="shared" si="122"/>
        <v>0</v>
      </c>
      <c r="EP113" s="15">
        <f t="shared" si="147"/>
        <v>0.95638802604799689</v>
      </c>
      <c r="EQ113" s="28">
        <f t="shared" si="148"/>
        <v>491.75615952016426</v>
      </c>
      <c r="ER113" s="28">
        <f t="shared" si="149"/>
        <v>514.18059001868471</v>
      </c>
      <c r="ES113" s="33"/>
      <c r="EW113" s="31"/>
      <c r="FC113" s="11">
        <v>7.3</v>
      </c>
      <c r="FE113" s="35">
        <f t="shared" si="104"/>
        <v>474.5</v>
      </c>
      <c r="FF113" s="35">
        <f t="shared" si="123"/>
        <v>0</v>
      </c>
      <c r="FG113" s="15">
        <f t="shared" si="150"/>
        <v>1.0092341532505928</v>
      </c>
      <c r="FH113" s="28">
        <f t="shared" si="151"/>
        <v>548.46634482726915</v>
      </c>
      <c r="FI113" s="28">
        <f t="shared" si="152"/>
        <v>543.44806213775144</v>
      </c>
      <c r="FJ113" s="33"/>
      <c r="FN113" s="31"/>
      <c r="FT113" s="11">
        <v>7</v>
      </c>
      <c r="FV113" s="35">
        <f t="shared" si="105"/>
        <v>455</v>
      </c>
      <c r="FW113" s="35">
        <f t="shared" si="124"/>
        <v>0</v>
      </c>
      <c r="FX113" s="15">
        <f t="shared" si="153"/>
        <v>0.98296466704620244</v>
      </c>
      <c r="FY113" s="28">
        <f t="shared" si="154"/>
        <v>457.45191777009626</v>
      </c>
      <c r="FZ113" s="28">
        <f t="shared" si="155"/>
        <v>465.37981791831237</v>
      </c>
      <c r="GA113" s="33"/>
      <c r="GE113" s="31"/>
      <c r="GK113" s="11">
        <v>7.5</v>
      </c>
      <c r="GM113" s="35">
        <f t="shared" si="106"/>
        <v>487.5</v>
      </c>
      <c r="GN113" s="35">
        <f t="shared" si="125"/>
        <v>0</v>
      </c>
      <c r="GO113" s="15">
        <f t="shared" si="156"/>
        <v>1.0515736525464043</v>
      </c>
      <c r="GP113" s="28">
        <f t="shared" si="157"/>
        <v>561.68141433204983</v>
      </c>
      <c r="GQ113" s="28">
        <f t="shared" si="158"/>
        <v>534.13416451803278</v>
      </c>
      <c r="GR113" s="33"/>
      <c r="GV113" s="31"/>
      <c r="HB113" s="11">
        <v>7</v>
      </c>
      <c r="HD113" s="35">
        <f t="shared" si="107"/>
        <v>455</v>
      </c>
      <c r="HE113" s="35">
        <f t="shared" si="126"/>
        <v>0</v>
      </c>
      <c r="HF113" s="15">
        <f t="shared" si="159"/>
        <v>1.5389488719188493</v>
      </c>
      <c r="HG113" s="28">
        <f t="shared" si="160"/>
        <v>339.52974214165647</v>
      </c>
      <c r="HH113" s="28">
        <f t="shared" si="161"/>
        <v>220.62444590398343</v>
      </c>
      <c r="HI113" s="33"/>
      <c r="HM113" s="31"/>
      <c r="HU113" s="35">
        <f t="shared" si="108"/>
        <v>0</v>
      </c>
      <c r="HV113" s="35">
        <f t="shared" si="127"/>
        <v>0</v>
      </c>
      <c r="HW113" s="15">
        <f t="shared" si="162"/>
        <v>0.37037194577264143</v>
      </c>
      <c r="HX113" s="28">
        <f t="shared" si="163"/>
        <v>8.4506583492305758</v>
      </c>
      <c r="HY113" s="28">
        <f t="shared" si="164"/>
        <v>22.816680490206846</v>
      </c>
      <c r="HZ113" s="33"/>
      <c r="ID113" s="31"/>
      <c r="II113" s="12"/>
      <c r="IL113" s="35">
        <f t="shared" si="109"/>
        <v>0</v>
      </c>
      <c r="IM113" s="35">
        <f t="shared" si="110"/>
        <v>4271.6366306592754</v>
      </c>
      <c r="IN113" s="15">
        <f t="shared" si="165"/>
        <v>1.1837121871285286E-2</v>
      </c>
      <c r="IO113" s="28">
        <f t="shared" si="166"/>
        <v>0.3601612879315238</v>
      </c>
      <c r="IP113" s="28">
        <f t="shared" si="167"/>
        <v>30.426423910123781</v>
      </c>
      <c r="IQ113" s="33"/>
      <c r="IU113" s="31"/>
      <c r="JC113" s="35">
        <f t="shared" si="111"/>
        <v>0</v>
      </c>
      <c r="JD113" s="35">
        <f t="shared" si="112"/>
        <v>5128.9286222311257</v>
      </c>
      <c r="JE113" s="15" t="e">
        <f t="shared" si="168"/>
        <v>#DIV/0!</v>
      </c>
      <c r="JF113" s="28">
        <f t="shared" si="169"/>
        <v>0</v>
      </c>
      <c r="JG113" s="28">
        <f t="shared" si="170"/>
        <v>0</v>
      </c>
      <c r="JH113" s="33"/>
      <c r="JL113" s="31"/>
      <c r="JR113" s="99"/>
      <c r="JS113" s="99"/>
      <c r="JT113" s="99"/>
      <c r="JU113" s="99"/>
      <c r="JV113" s="99"/>
      <c r="JW113" s="99"/>
      <c r="JX113" s="99"/>
      <c r="JY113" s="99"/>
      <c r="JZ113" s="99"/>
      <c r="KA113" s="99"/>
      <c r="KB113" s="99"/>
      <c r="KC113" s="99"/>
      <c r="KD113" s="99"/>
      <c r="KE113" s="99"/>
      <c r="KF113" s="99"/>
      <c r="KG113" s="99"/>
      <c r="KH113" s="99"/>
      <c r="KI113" s="99"/>
      <c r="KJ113" s="99"/>
      <c r="KK113" s="99"/>
      <c r="KL113" s="99"/>
      <c r="KM113" s="99"/>
      <c r="KN113" s="99"/>
      <c r="KO113" s="99"/>
      <c r="KP113" s="99"/>
      <c r="KQ113" s="99"/>
      <c r="KR113" s="99"/>
      <c r="KS113" s="99"/>
      <c r="KT113" s="99"/>
      <c r="KU113" s="99"/>
      <c r="KV113" s="99"/>
      <c r="KW113" s="99"/>
      <c r="KX113" s="99"/>
      <c r="KY113" s="99"/>
      <c r="KZ113" s="99"/>
      <c r="LA113" s="99"/>
      <c r="LB113" s="99"/>
      <c r="LC113" s="99"/>
      <c r="LD113" s="99"/>
      <c r="LE113" s="99"/>
      <c r="LF113" s="99"/>
      <c r="LG113" s="99"/>
      <c r="LH113" s="99"/>
      <c r="LI113" s="99"/>
      <c r="LJ113" s="99"/>
      <c r="LK113" s="99"/>
      <c r="LL113" s="99"/>
      <c r="LM113" s="99"/>
      <c r="LN113" s="99"/>
      <c r="LO113" s="99"/>
      <c r="LP113" s="99"/>
      <c r="LQ113" s="99"/>
      <c r="LR113" s="99"/>
      <c r="LS113" s="99"/>
      <c r="LT113" s="99"/>
      <c r="LU113" s="99"/>
      <c r="LV113" s="99"/>
      <c r="LW113" s="99"/>
      <c r="LX113" s="99"/>
      <c r="LY113" s="99"/>
      <c r="LZ113" s="99"/>
      <c r="MA113" s="99"/>
      <c r="MB113" s="99"/>
      <c r="MC113" s="99"/>
      <c r="MD113" s="99"/>
      <c r="ME113" s="99"/>
      <c r="MF113" s="99"/>
    </row>
    <row r="114" spans="1:344" ht="17.25" customHeight="1" x14ac:dyDescent="0.25">
      <c r="A114" s="156"/>
      <c r="B114" s="90" t="s">
        <v>6</v>
      </c>
      <c r="C114" s="91">
        <v>45248</v>
      </c>
      <c r="D114" s="49"/>
      <c r="G114" s="89">
        <f t="shared" si="93"/>
        <v>0</v>
      </c>
      <c r="H114" s="35">
        <f t="shared" si="94"/>
        <v>0</v>
      </c>
      <c r="I114" s="39">
        <v>12</v>
      </c>
      <c r="K114" s="103">
        <v>100</v>
      </c>
      <c r="L114" s="89">
        <f t="shared" si="95"/>
        <v>8.5</v>
      </c>
      <c r="M114" s="35">
        <f t="shared" si="113"/>
        <v>850</v>
      </c>
      <c r="N114" s="35">
        <f t="shared" si="114"/>
        <v>850</v>
      </c>
      <c r="O114" s="97"/>
      <c r="P114" s="150"/>
      <c r="W114" s="11">
        <v>0</v>
      </c>
      <c r="X114" s="1">
        <v>9</v>
      </c>
      <c r="Y114" s="35">
        <f t="shared" si="96"/>
        <v>900</v>
      </c>
      <c r="Z114" s="35">
        <f t="shared" si="115"/>
        <v>0</v>
      </c>
      <c r="AA114" s="15">
        <f t="shared" si="128"/>
        <v>0.94703512670403023</v>
      </c>
      <c r="AB114" s="43">
        <f t="shared" si="173"/>
        <v>435.74325231024693</v>
      </c>
      <c r="AC114" s="43">
        <f t="shared" si="174"/>
        <v>460.11308347850382</v>
      </c>
      <c r="AD114" s="33"/>
      <c r="AH114" s="31"/>
      <c r="AO114" s="1">
        <v>9.5</v>
      </c>
      <c r="AP114" s="35">
        <f t="shared" si="97"/>
        <v>950</v>
      </c>
      <c r="AQ114" s="35">
        <f t="shared" si="116"/>
        <v>0</v>
      </c>
      <c r="AR114" s="15">
        <f t="shared" si="129"/>
        <v>1.3176818913604094</v>
      </c>
      <c r="AS114" s="28">
        <f t="shared" si="130"/>
        <v>672.14703556358336</v>
      </c>
      <c r="AT114" s="28">
        <f t="shared" si="131"/>
        <v>510.09810483897678</v>
      </c>
      <c r="AU114" s="33"/>
      <c r="AY114" s="31"/>
      <c r="BG114" s="35">
        <f t="shared" si="98"/>
        <v>0</v>
      </c>
      <c r="BH114" s="35">
        <f t="shared" si="117"/>
        <v>0</v>
      </c>
      <c r="BI114" s="15">
        <f t="shared" si="132"/>
        <v>1.0417639266865895</v>
      </c>
      <c r="BJ114" s="28">
        <f t="shared" si="133"/>
        <v>351.05375941727482</v>
      </c>
      <c r="BK114" s="28">
        <f t="shared" si="134"/>
        <v>336.98014533276114</v>
      </c>
      <c r="BL114" s="33"/>
      <c r="BP114" s="31"/>
      <c r="BW114" s="1">
        <v>9</v>
      </c>
      <c r="BX114" s="35">
        <f t="shared" si="99"/>
        <v>900</v>
      </c>
      <c r="BY114" s="35">
        <f t="shared" si="118"/>
        <v>0</v>
      </c>
      <c r="BZ114" s="15">
        <f t="shared" si="135"/>
        <v>1.1916860760226908</v>
      </c>
      <c r="CA114" s="28">
        <f t="shared" si="136"/>
        <v>556.60530585951165</v>
      </c>
      <c r="CB114" s="28">
        <f t="shared" si="137"/>
        <v>467.07376804905573</v>
      </c>
      <c r="CC114" s="33"/>
      <c r="CG114" s="31"/>
      <c r="CN114" s="1">
        <v>8</v>
      </c>
      <c r="CO114" s="35">
        <f t="shared" si="100"/>
        <v>800</v>
      </c>
      <c r="CP114" s="35">
        <f t="shared" si="119"/>
        <v>0</v>
      </c>
      <c r="CQ114" s="15">
        <f t="shared" si="138"/>
        <v>1.1457968921851198</v>
      </c>
      <c r="CR114" s="28">
        <f t="shared" si="139"/>
        <v>598.90257387283327</v>
      </c>
      <c r="CS114" s="28">
        <f t="shared" si="140"/>
        <v>522.69523329800757</v>
      </c>
      <c r="CT114" s="33"/>
      <c r="CX114" s="31"/>
      <c r="DE114" s="1">
        <v>7.5</v>
      </c>
      <c r="DF114" s="35">
        <f t="shared" si="101"/>
        <v>750</v>
      </c>
      <c r="DG114" s="35">
        <f t="shared" si="120"/>
        <v>0</v>
      </c>
      <c r="DH114" s="15">
        <f t="shared" si="141"/>
        <v>1.1335870156085883</v>
      </c>
      <c r="DI114" s="28">
        <f t="shared" si="142"/>
        <v>503.78971233453689</v>
      </c>
      <c r="DJ114" s="28">
        <f t="shared" si="143"/>
        <v>444.42085644750222</v>
      </c>
      <c r="DK114" s="33"/>
      <c r="DO114" s="31"/>
      <c r="DV114" s="1">
        <v>8</v>
      </c>
      <c r="DW114" s="35">
        <f t="shared" si="102"/>
        <v>800</v>
      </c>
      <c r="DX114" s="35">
        <f t="shared" si="121"/>
        <v>0</v>
      </c>
      <c r="DY114" s="15">
        <f t="shared" si="144"/>
        <v>1.2119342620345306</v>
      </c>
      <c r="DZ114" s="28">
        <f t="shared" si="145"/>
        <v>524.18253493921759</v>
      </c>
      <c r="EA114" s="28">
        <f t="shared" si="146"/>
        <v>432.51730012092236</v>
      </c>
      <c r="EB114" s="33"/>
      <c r="EF114" s="31"/>
      <c r="EM114" s="1">
        <v>8</v>
      </c>
      <c r="EN114" s="35">
        <f t="shared" si="103"/>
        <v>800</v>
      </c>
      <c r="EO114" s="35">
        <f t="shared" si="122"/>
        <v>0</v>
      </c>
      <c r="EP114" s="15">
        <f t="shared" si="147"/>
        <v>1.0654155302674497</v>
      </c>
      <c r="EQ114" s="28">
        <f t="shared" si="148"/>
        <v>568.81711964012322</v>
      </c>
      <c r="ER114" s="28">
        <f t="shared" si="149"/>
        <v>533.89227346567202</v>
      </c>
      <c r="ES114" s="33"/>
      <c r="EW114" s="31"/>
      <c r="FD114" s="1">
        <v>8</v>
      </c>
      <c r="FE114" s="35">
        <f t="shared" si="104"/>
        <v>800</v>
      </c>
      <c r="FF114" s="35">
        <f t="shared" si="123"/>
        <v>0</v>
      </c>
      <c r="FG114" s="15">
        <f t="shared" si="150"/>
        <v>1.0894756088306037</v>
      </c>
      <c r="FH114" s="28">
        <f t="shared" si="151"/>
        <v>611.34975862045189</v>
      </c>
      <c r="FI114" s="28">
        <f t="shared" si="152"/>
        <v>561.14129923169958</v>
      </c>
      <c r="FJ114" s="33"/>
      <c r="FN114" s="31"/>
      <c r="FU114" s="1">
        <v>9</v>
      </c>
      <c r="FV114" s="35">
        <f t="shared" si="105"/>
        <v>900</v>
      </c>
      <c r="FW114" s="35">
        <f t="shared" si="124"/>
        <v>0</v>
      </c>
      <c r="FX114" s="15">
        <f t="shared" si="153"/>
        <v>1.1468351320878878</v>
      </c>
      <c r="FY114" s="28">
        <f t="shared" si="154"/>
        <v>568.08893832757212</v>
      </c>
      <c r="FZ114" s="28">
        <f t="shared" si="155"/>
        <v>495.35362357911839</v>
      </c>
      <c r="GA114" s="33"/>
      <c r="GE114" s="31"/>
      <c r="GL114" s="1">
        <v>9</v>
      </c>
      <c r="GM114" s="35">
        <f t="shared" si="106"/>
        <v>900</v>
      </c>
      <c r="GN114" s="35">
        <f t="shared" si="125"/>
        <v>0</v>
      </c>
      <c r="GO114" s="15">
        <f t="shared" si="156"/>
        <v>1.1553450235170526</v>
      </c>
      <c r="GP114" s="28">
        <f t="shared" si="157"/>
        <v>646.26106074903737</v>
      </c>
      <c r="GQ114" s="28">
        <f t="shared" si="158"/>
        <v>559.366291102996</v>
      </c>
      <c r="GR114" s="33"/>
      <c r="GV114" s="31"/>
      <c r="HD114" s="35">
        <f t="shared" si="107"/>
        <v>0</v>
      </c>
      <c r="HE114" s="35">
        <f t="shared" si="126"/>
        <v>0</v>
      </c>
      <c r="HF114" s="15">
        <f t="shared" si="159"/>
        <v>1.2397088134901841</v>
      </c>
      <c r="HG114" s="28">
        <f t="shared" si="160"/>
        <v>254.64730660624235</v>
      </c>
      <c r="HH114" s="28">
        <f t="shared" si="161"/>
        <v>205.40896687612249</v>
      </c>
      <c r="HI114" s="33"/>
      <c r="HM114" s="31"/>
      <c r="HU114" s="35">
        <f t="shared" si="108"/>
        <v>0</v>
      </c>
      <c r="HV114" s="35">
        <f t="shared" si="127"/>
        <v>0</v>
      </c>
      <c r="HW114" s="15">
        <f t="shared" si="162"/>
        <v>0.29835517853907229</v>
      </c>
      <c r="HX114" s="28">
        <f t="shared" si="163"/>
        <v>6.3379937619229318</v>
      </c>
      <c r="HY114" s="28">
        <f t="shared" si="164"/>
        <v>21.243116318468442</v>
      </c>
      <c r="HZ114" s="33"/>
      <c r="ID114" s="31"/>
      <c r="II114" s="12"/>
      <c r="IL114" s="35">
        <f t="shared" si="109"/>
        <v>0</v>
      </c>
      <c r="IM114" s="35">
        <f t="shared" si="110"/>
        <v>5465.3651219113926</v>
      </c>
      <c r="IN114" s="15">
        <f t="shared" si="165"/>
        <v>9.5354592852020369E-3</v>
      </c>
      <c r="IO114" s="28">
        <f t="shared" si="166"/>
        <v>0.27012096594864288</v>
      </c>
      <c r="IP114" s="28">
        <f t="shared" si="167"/>
        <v>28.328049847356624</v>
      </c>
      <c r="IQ114" s="33"/>
      <c r="IU114" s="31"/>
      <c r="JC114" s="35">
        <f t="shared" si="111"/>
        <v>0</v>
      </c>
      <c r="JD114" s="35">
        <f t="shared" si="112"/>
        <v>5812.5238526579269</v>
      </c>
      <c r="JE114" s="15" t="e">
        <f t="shared" si="168"/>
        <v>#DIV/0!</v>
      </c>
      <c r="JF114" s="28">
        <f t="shared" si="169"/>
        <v>0</v>
      </c>
      <c r="JG114" s="28">
        <f t="shared" si="170"/>
        <v>0</v>
      </c>
      <c r="JH114" s="33"/>
      <c r="JL114" s="31"/>
      <c r="JR114" s="99"/>
      <c r="JS114" s="99"/>
      <c r="JT114" s="99"/>
      <c r="JU114" s="99"/>
      <c r="JV114" s="99"/>
      <c r="JW114" s="99"/>
      <c r="JX114" s="99"/>
      <c r="JY114" s="99"/>
      <c r="JZ114" s="99"/>
      <c r="KA114" s="99"/>
      <c r="KB114" s="99"/>
      <c r="KC114" s="99"/>
      <c r="KD114" s="99"/>
      <c r="KE114" s="99"/>
      <c r="KF114" s="99"/>
      <c r="KG114" s="99"/>
      <c r="KH114" s="99"/>
      <c r="KI114" s="99"/>
      <c r="KJ114" s="99"/>
      <c r="KK114" s="99"/>
      <c r="KL114" s="99"/>
      <c r="KM114" s="99"/>
      <c r="KN114" s="99"/>
      <c r="KO114" s="99"/>
      <c r="KP114" s="99"/>
      <c r="KQ114" s="99"/>
      <c r="KR114" s="99"/>
      <c r="KS114" s="99"/>
      <c r="KT114" s="99"/>
      <c r="KU114" s="99"/>
      <c r="KV114" s="99"/>
      <c r="KW114" s="99"/>
      <c r="KX114" s="99"/>
      <c r="KY114" s="99"/>
      <c r="KZ114" s="99"/>
      <c r="LA114" s="99"/>
      <c r="LB114" s="99"/>
      <c r="LC114" s="99"/>
      <c r="LD114" s="99"/>
      <c r="LE114" s="99"/>
      <c r="LF114" s="99"/>
      <c r="LG114" s="99"/>
      <c r="LH114" s="99"/>
      <c r="LI114" s="99"/>
      <c r="LJ114" s="99"/>
      <c r="LK114" s="99"/>
      <c r="LL114" s="99"/>
      <c r="LM114" s="99"/>
      <c r="LN114" s="99"/>
      <c r="LO114" s="99"/>
      <c r="LP114" s="99"/>
      <c r="LQ114" s="99"/>
      <c r="LR114" s="99"/>
      <c r="LS114" s="99"/>
      <c r="LT114" s="99"/>
      <c r="LU114" s="99"/>
      <c r="LV114" s="99"/>
      <c r="LW114" s="99"/>
      <c r="LX114" s="99"/>
      <c r="LY114" s="99"/>
      <c r="LZ114" s="99"/>
      <c r="MA114" s="99"/>
      <c r="MB114" s="99"/>
      <c r="MC114" s="99"/>
      <c r="MD114" s="99"/>
      <c r="ME114" s="99"/>
      <c r="MF114" s="99"/>
    </row>
    <row r="115" spans="1:344" ht="17.25" customHeight="1" x14ac:dyDescent="0.25">
      <c r="A115" s="157"/>
      <c r="B115" s="83" t="s">
        <v>7</v>
      </c>
      <c r="C115" s="84">
        <v>45249</v>
      </c>
      <c r="D115" s="51"/>
      <c r="E115" s="48"/>
      <c r="F115" s="104"/>
      <c r="G115" s="37">
        <f t="shared" si="93"/>
        <v>0</v>
      </c>
      <c r="H115" s="26">
        <f t="shared" si="94"/>
        <v>0</v>
      </c>
      <c r="I115" s="48"/>
      <c r="J115" s="48"/>
      <c r="K115" s="104"/>
      <c r="L115" s="37">
        <f t="shared" si="95"/>
        <v>0</v>
      </c>
      <c r="M115" s="26">
        <f t="shared" si="113"/>
        <v>0</v>
      </c>
      <c r="N115" s="26">
        <f t="shared" si="114"/>
        <v>0</v>
      </c>
      <c r="O115" s="98"/>
      <c r="P115" s="151"/>
      <c r="Q115" s="125"/>
      <c r="R115" s="115"/>
      <c r="S115" s="130"/>
      <c r="T115" s="110"/>
      <c r="U115" s="120"/>
      <c r="V115" s="23"/>
      <c r="W115" s="13">
        <v>0</v>
      </c>
      <c r="X115" s="2">
        <v>0</v>
      </c>
      <c r="Y115" s="26">
        <f t="shared" si="96"/>
        <v>0</v>
      </c>
      <c r="Z115" s="26">
        <f t="shared" si="115"/>
        <v>0</v>
      </c>
      <c r="AA115" s="16">
        <f t="shared" si="128"/>
        <v>0.76288940762269097</v>
      </c>
      <c r="AB115" s="44">
        <f t="shared" si="173"/>
        <v>326.80743923268517</v>
      </c>
      <c r="AC115" s="44">
        <f t="shared" si="174"/>
        <v>428.38114668688286</v>
      </c>
      <c r="AD115" s="34"/>
      <c r="AE115" s="4"/>
      <c r="AF115" s="5"/>
      <c r="AG115" s="6"/>
      <c r="AH115" s="32"/>
      <c r="AI115" s="3"/>
      <c r="AJ115" s="4"/>
      <c r="AK115" s="5"/>
      <c r="AL115" s="6"/>
      <c r="AM115" s="14"/>
      <c r="AN115" s="13"/>
      <c r="AO115" s="2"/>
      <c r="AP115" s="26">
        <f t="shared" si="97"/>
        <v>0</v>
      </c>
      <c r="AQ115" s="26">
        <f t="shared" si="116"/>
        <v>0</v>
      </c>
      <c r="AR115" s="16">
        <f t="shared" si="129"/>
        <v>1.06146596804033</v>
      </c>
      <c r="AS115" s="29">
        <f t="shared" si="130"/>
        <v>504.11027667268752</v>
      </c>
      <c r="AT115" s="29">
        <f t="shared" si="131"/>
        <v>474.91892519490938</v>
      </c>
      <c r="AU115" s="34"/>
      <c r="AV115" s="4"/>
      <c r="AW115" s="5"/>
      <c r="AX115" s="6"/>
      <c r="AY115" s="32"/>
      <c r="AZ115" s="3"/>
      <c r="BA115" s="4"/>
      <c r="BB115" s="5"/>
      <c r="BC115" s="6"/>
      <c r="BD115" s="14"/>
      <c r="BE115" s="13"/>
      <c r="BF115" s="2"/>
      <c r="BG115" s="26">
        <f t="shared" si="98"/>
        <v>0</v>
      </c>
      <c r="BH115" s="26">
        <f t="shared" si="117"/>
        <v>0</v>
      </c>
      <c r="BI115" s="16">
        <f t="shared" si="132"/>
        <v>0.8391987187197526</v>
      </c>
      <c r="BJ115" s="29">
        <f t="shared" si="133"/>
        <v>263.29031956295614</v>
      </c>
      <c r="BK115" s="29">
        <f t="shared" si="134"/>
        <v>313.7401353098121</v>
      </c>
      <c r="BL115" s="34"/>
      <c r="BM115" s="4"/>
      <c r="BN115" s="5"/>
      <c r="BO115" s="6"/>
      <c r="BP115" s="32"/>
      <c r="BQ115" s="3"/>
      <c r="BR115" s="4"/>
      <c r="BS115" s="5"/>
      <c r="BT115" s="6"/>
      <c r="BU115" s="14"/>
      <c r="BV115" s="13"/>
      <c r="BW115" s="2"/>
      <c r="BX115" s="26">
        <f t="shared" si="99"/>
        <v>0</v>
      </c>
      <c r="BY115" s="26">
        <f t="shared" si="118"/>
        <v>0</v>
      </c>
      <c r="BZ115" s="16">
        <f t="shared" si="135"/>
        <v>0.95996933901827874</v>
      </c>
      <c r="CA115" s="29">
        <f t="shared" si="136"/>
        <v>417.45397939463373</v>
      </c>
      <c r="CB115" s="29">
        <f t="shared" si="137"/>
        <v>434.86178404567255</v>
      </c>
      <c r="CC115" s="34"/>
      <c r="CD115" s="4"/>
      <c r="CE115" s="5"/>
      <c r="CF115" s="6"/>
      <c r="CG115" s="32"/>
      <c r="CH115" s="3"/>
      <c r="CI115" s="4"/>
      <c r="CJ115" s="5"/>
      <c r="CK115" s="6"/>
      <c r="CL115" s="14"/>
      <c r="CM115" s="13"/>
      <c r="CN115" s="2"/>
      <c r="CO115" s="26">
        <f t="shared" si="100"/>
        <v>0</v>
      </c>
      <c r="CP115" s="26">
        <f t="shared" si="119"/>
        <v>0</v>
      </c>
      <c r="CQ115" s="16">
        <f t="shared" si="138"/>
        <v>0.92300305203801325</v>
      </c>
      <c r="CR115" s="29">
        <f t="shared" si="139"/>
        <v>449.17693040462495</v>
      </c>
      <c r="CS115" s="29">
        <f t="shared" si="140"/>
        <v>486.64728617400704</v>
      </c>
      <c r="CT115" s="34"/>
      <c r="CU115" s="4"/>
      <c r="CV115" s="5"/>
      <c r="CW115" s="6"/>
      <c r="CX115" s="32"/>
      <c r="CY115" s="3"/>
      <c r="CZ115" s="4"/>
      <c r="DA115" s="5"/>
      <c r="DB115" s="6"/>
      <c r="DC115" s="14"/>
      <c r="DD115" s="13"/>
      <c r="DE115" s="2"/>
      <c r="DF115" s="26">
        <f t="shared" si="101"/>
        <v>0</v>
      </c>
      <c r="DG115" s="26">
        <f t="shared" si="120"/>
        <v>0</v>
      </c>
      <c r="DH115" s="16">
        <f t="shared" si="141"/>
        <v>0.91316731812914054</v>
      </c>
      <c r="DI115" s="29">
        <f t="shared" si="142"/>
        <v>377.84228425090265</v>
      </c>
      <c r="DJ115" s="29">
        <f t="shared" si="143"/>
        <v>413.77114220974346</v>
      </c>
      <c r="DK115" s="34"/>
      <c r="DL115" s="4"/>
      <c r="DM115" s="5"/>
      <c r="DN115" s="6"/>
      <c r="DO115" s="32"/>
      <c r="DP115" s="3"/>
      <c r="DQ115" s="4"/>
      <c r="DR115" s="5"/>
      <c r="DS115" s="6"/>
      <c r="DT115" s="14"/>
      <c r="DU115" s="13"/>
      <c r="DV115" s="2"/>
      <c r="DW115" s="26">
        <f t="shared" si="102"/>
        <v>0</v>
      </c>
      <c r="DX115" s="26">
        <f t="shared" si="121"/>
        <v>0</v>
      </c>
      <c r="DY115" s="16">
        <f t="shared" si="144"/>
        <v>0.97628037775003862</v>
      </c>
      <c r="DZ115" s="29">
        <f t="shared" si="145"/>
        <v>393.13690120441322</v>
      </c>
      <c r="EA115" s="29">
        <f t="shared" si="146"/>
        <v>402.68852080223803</v>
      </c>
      <c r="EB115" s="34"/>
      <c r="EC115" s="4"/>
      <c r="ED115" s="5"/>
      <c r="EE115" s="6"/>
      <c r="EF115" s="32"/>
      <c r="EG115" s="3"/>
      <c r="EH115" s="4"/>
      <c r="EI115" s="5"/>
      <c r="EJ115" s="6"/>
      <c r="EK115" s="14"/>
      <c r="EL115" s="13"/>
      <c r="EM115" s="2"/>
      <c r="EN115" s="26">
        <f t="shared" si="103"/>
        <v>0</v>
      </c>
      <c r="EO115" s="26">
        <f t="shared" si="122"/>
        <v>0</v>
      </c>
      <c r="EP115" s="16">
        <f t="shared" si="147"/>
        <v>0.85825139938211237</v>
      </c>
      <c r="EQ115" s="29">
        <f t="shared" si="148"/>
        <v>426.61283973009245</v>
      </c>
      <c r="ER115" s="29">
        <f t="shared" si="149"/>
        <v>497.07211667493601</v>
      </c>
      <c r="ES115" s="34"/>
      <c r="ET115" s="4"/>
      <c r="EU115" s="5"/>
      <c r="EV115" s="6"/>
      <c r="EW115" s="32"/>
      <c r="EX115" s="3"/>
      <c r="EY115" s="4"/>
      <c r="EZ115" s="5"/>
      <c r="FA115" s="6"/>
      <c r="FB115" s="14"/>
      <c r="FC115" s="13"/>
      <c r="FD115" s="2"/>
      <c r="FE115" s="26">
        <f t="shared" si="104"/>
        <v>0</v>
      </c>
      <c r="FF115" s="26">
        <f t="shared" si="123"/>
        <v>0</v>
      </c>
      <c r="FG115" s="16">
        <f t="shared" si="150"/>
        <v>0.87763312933576421</v>
      </c>
      <c r="FH115" s="29">
        <f t="shared" si="151"/>
        <v>458.51231896533892</v>
      </c>
      <c r="FI115" s="29">
        <f t="shared" si="152"/>
        <v>522.44189928468575</v>
      </c>
      <c r="FJ115" s="34"/>
      <c r="FK115" s="4"/>
      <c r="FL115" s="5"/>
      <c r="FM115" s="6"/>
      <c r="FN115" s="32"/>
      <c r="FO115" s="3"/>
      <c r="FP115" s="4"/>
      <c r="FQ115" s="5"/>
      <c r="FR115" s="6"/>
      <c r="FS115" s="14"/>
      <c r="FT115" s="13"/>
      <c r="FU115" s="2"/>
      <c r="FV115" s="26">
        <f t="shared" si="105"/>
        <v>0</v>
      </c>
      <c r="FW115" s="26">
        <f t="shared" si="124"/>
        <v>0</v>
      </c>
      <c r="FX115" s="16">
        <f t="shared" si="153"/>
        <v>0.92383941195968744</v>
      </c>
      <c r="FY115" s="29">
        <f t="shared" si="154"/>
        <v>426.06670374567909</v>
      </c>
      <c r="FZ115" s="29">
        <f t="shared" si="155"/>
        <v>461.19130471159298</v>
      </c>
      <c r="GA115" s="34"/>
      <c r="GB115" s="4"/>
      <c r="GC115" s="5"/>
      <c r="GD115" s="6"/>
      <c r="GE115" s="32"/>
      <c r="GF115" s="3"/>
      <c r="GG115" s="4"/>
      <c r="GH115" s="5"/>
      <c r="GI115" s="6"/>
      <c r="GJ115" s="14"/>
      <c r="GK115" s="13"/>
      <c r="GL115" s="2"/>
      <c r="GM115" s="26">
        <f t="shared" si="106"/>
        <v>0</v>
      </c>
      <c r="GN115" s="26">
        <f t="shared" si="125"/>
        <v>0</v>
      </c>
      <c r="GO115" s="16">
        <f t="shared" si="156"/>
        <v>0.93069460227762557</v>
      </c>
      <c r="GP115" s="29">
        <f t="shared" si="157"/>
        <v>484.69579556177803</v>
      </c>
      <c r="GQ115" s="29">
        <f t="shared" si="158"/>
        <v>520.78930550968596</v>
      </c>
      <c r="GR115" s="34"/>
      <c r="GS115" s="4"/>
      <c r="GT115" s="5"/>
      <c r="GU115" s="6"/>
      <c r="GV115" s="32"/>
      <c r="GW115" s="3"/>
      <c r="GX115" s="4"/>
      <c r="GY115" s="5"/>
      <c r="GZ115" s="6"/>
      <c r="HA115" s="14"/>
      <c r="HB115" s="13"/>
      <c r="HC115" s="2"/>
      <c r="HD115" s="26">
        <f t="shared" si="107"/>
        <v>0</v>
      </c>
      <c r="HE115" s="26">
        <f t="shared" si="126"/>
        <v>0</v>
      </c>
      <c r="HF115" s="16">
        <f t="shared" si="159"/>
        <v>0.99865432197820381</v>
      </c>
      <c r="HG115" s="29">
        <f t="shared" si="160"/>
        <v>190.98547995468175</v>
      </c>
      <c r="HH115" s="29">
        <f t="shared" si="161"/>
        <v>191.24283122949336</v>
      </c>
      <c r="HI115" s="34"/>
      <c r="HJ115" s="4"/>
      <c r="HK115" s="5"/>
      <c r="HL115" s="6"/>
      <c r="HM115" s="32"/>
      <c r="HN115" s="3"/>
      <c r="HO115" s="4"/>
      <c r="HP115" s="5"/>
      <c r="HQ115" s="6"/>
      <c r="HR115" s="14"/>
      <c r="HS115" s="13"/>
      <c r="HT115" s="2"/>
      <c r="HU115" s="26">
        <f t="shared" si="108"/>
        <v>0</v>
      </c>
      <c r="HV115" s="26">
        <f t="shared" si="127"/>
        <v>0</v>
      </c>
      <c r="HW115" s="16">
        <f t="shared" si="162"/>
        <v>0.24034167160091935</v>
      </c>
      <c r="HX115" s="29">
        <f t="shared" si="163"/>
        <v>4.7534953214421991</v>
      </c>
      <c r="HY115" s="29">
        <f t="shared" si="164"/>
        <v>19.778073813746481</v>
      </c>
      <c r="HZ115" s="34"/>
      <c r="IA115" s="4"/>
      <c r="IB115" s="5"/>
      <c r="IC115" s="6"/>
      <c r="ID115" s="32"/>
      <c r="IE115" s="3"/>
      <c r="IF115" s="4"/>
      <c r="IG115" s="5"/>
      <c r="IH115" s="6"/>
      <c r="II115" s="14"/>
      <c r="IJ115" s="13"/>
      <c r="IK115" s="2"/>
      <c r="IL115" s="26">
        <f t="shared" si="109"/>
        <v>0</v>
      </c>
      <c r="IM115" s="26">
        <f t="shared" si="110"/>
        <v>3847.0047458239524</v>
      </c>
      <c r="IN115" s="16">
        <f t="shared" si="165"/>
        <v>7.6813422019683083E-3</v>
      </c>
      <c r="IO115" s="29">
        <f t="shared" si="166"/>
        <v>0.20259072446148216</v>
      </c>
      <c r="IP115" s="29">
        <f t="shared" si="167"/>
        <v>26.374391237194097</v>
      </c>
      <c r="IQ115" s="34"/>
      <c r="IR115" s="4"/>
      <c r="IS115" s="5"/>
      <c r="IT115" s="6"/>
      <c r="IU115" s="32"/>
      <c r="IV115" s="3"/>
      <c r="IW115" s="4"/>
      <c r="IX115" s="5"/>
      <c r="IY115" s="6"/>
      <c r="IZ115" s="14"/>
      <c r="JA115" s="13"/>
      <c r="JB115" s="2"/>
      <c r="JC115" s="26">
        <f t="shared" si="111"/>
        <v>0</v>
      </c>
      <c r="JD115" s="26">
        <f t="shared" si="112"/>
        <v>4232.7131616446495</v>
      </c>
      <c r="JE115" s="16" t="e">
        <f t="shared" si="168"/>
        <v>#DIV/0!</v>
      </c>
      <c r="JF115" s="29">
        <f t="shared" si="169"/>
        <v>0</v>
      </c>
      <c r="JG115" s="29">
        <f t="shared" si="170"/>
        <v>0</v>
      </c>
      <c r="JH115" s="34"/>
      <c r="JI115" s="4"/>
      <c r="JJ115" s="5"/>
      <c r="JK115" s="6"/>
      <c r="JL115" s="32"/>
      <c r="JM115" s="3"/>
      <c r="JN115" s="4"/>
      <c r="JO115" s="5"/>
      <c r="JP115" s="6"/>
      <c r="JQ115" s="14"/>
      <c r="JR115" s="99"/>
      <c r="JS115" s="99"/>
      <c r="JT115" s="99"/>
      <c r="JU115" s="99"/>
      <c r="JV115" s="99"/>
      <c r="JW115" s="99"/>
      <c r="JX115" s="99"/>
      <c r="JY115" s="99"/>
      <c r="JZ115" s="99"/>
      <c r="KA115" s="99"/>
      <c r="KB115" s="99"/>
      <c r="KC115" s="99"/>
      <c r="KD115" s="99"/>
      <c r="KE115" s="99"/>
      <c r="KF115" s="99"/>
      <c r="KG115" s="99"/>
      <c r="KH115" s="99"/>
      <c r="KI115" s="99"/>
      <c r="KJ115" s="99"/>
      <c r="KK115" s="99"/>
      <c r="KL115" s="99"/>
      <c r="KM115" s="99"/>
      <c r="KN115" s="99"/>
      <c r="KO115" s="99"/>
      <c r="KP115" s="99"/>
      <c r="KQ115" s="99"/>
      <c r="KR115" s="99"/>
      <c r="KS115" s="99"/>
      <c r="KT115" s="99"/>
      <c r="KU115" s="99"/>
      <c r="KV115" s="99"/>
      <c r="KW115" s="99"/>
      <c r="KX115" s="99"/>
      <c r="KY115" s="99"/>
      <c r="KZ115" s="99"/>
      <c r="LA115" s="99"/>
      <c r="LB115" s="99"/>
      <c r="LC115" s="99"/>
      <c r="LD115" s="99"/>
      <c r="LE115" s="99"/>
      <c r="LF115" s="99"/>
      <c r="LG115" s="99"/>
      <c r="LH115" s="99"/>
      <c r="LI115" s="99"/>
      <c r="LJ115" s="99"/>
      <c r="LK115" s="99"/>
      <c r="LL115" s="99"/>
      <c r="LM115" s="99"/>
      <c r="LN115" s="99"/>
      <c r="LO115" s="99"/>
      <c r="LP115" s="99"/>
      <c r="LQ115" s="99"/>
      <c r="LR115" s="99"/>
      <c r="LS115" s="99"/>
      <c r="LT115" s="99"/>
      <c r="LU115" s="99"/>
      <c r="LV115" s="99"/>
      <c r="LW115" s="99"/>
      <c r="LX115" s="99"/>
      <c r="LY115" s="99"/>
      <c r="LZ115" s="99"/>
      <c r="MA115" s="99"/>
      <c r="MB115" s="99"/>
      <c r="MC115" s="99"/>
      <c r="MD115" s="99"/>
      <c r="ME115" s="99"/>
      <c r="MF115" s="99"/>
    </row>
    <row r="116" spans="1:344" ht="17.25" customHeight="1" x14ac:dyDescent="0.25">
      <c r="A116" s="155" t="s">
        <v>22</v>
      </c>
      <c r="B116" s="79" t="s">
        <v>1</v>
      </c>
      <c r="C116" s="80">
        <v>45250</v>
      </c>
      <c r="D116" s="50" t="s">
        <v>90</v>
      </c>
      <c r="F116" s="103">
        <v>50</v>
      </c>
      <c r="G116" s="36">
        <f t="shared" si="93"/>
        <v>4</v>
      </c>
      <c r="H116" s="27">
        <f t="shared" si="94"/>
        <v>200</v>
      </c>
      <c r="I116" s="47">
        <v>12</v>
      </c>
      <c r="K116" s="105">
        <v>75</v>
      </c>
      <c r="L116" s="89">
        <f t="shared" si="95"/>
        <v>7.2272727272727275</v>
      </c>
      <c r="M116" s="27">
        <f t="shared" si="113"/>
        <v>542.04545454545462</v>
      </c>
      <c r="N116" s="35">
        <f t="shared" si="114"/>
        <v>742.04545454545462</v>
      </c>
      <c r="O116" s="97"/>
      <c r="P116" s="149">
        <f t="shared" ref="P116" si="178">SUM(N116:N122)</f>
        <v>3940.0676363636358</v>
      </c>
      <c r="W116" s="11">
        <v>4</v>
      </c>
      <c r="X116" s="1">
        <v>5.5</v>
      </c>
      <c r="Y116" s="27">
        <f t="shared" si="96"/>
        <v>612.5</v>
      </c>
      <c r="Z116" s="27">
        <f t="shared" si="115"/>
        <v>0</v>
      </c>
      <c r="AA116" s="15">
        <f t="shared" si="128"/>
        <v>0.90285545367799924</v>
      </c>
      <c r="AB116" s="43">
        <f t="shared" si="173"/>
        <v>398.23057942451385</v>
      </c>
      <c r="AC116" s="43">
        <f t="shared" si="174"/>
        <v>441.07899863951161</v>
      </c>
      <c r="AD116" s="33"/>
      <c r="AH116" s="31"/>
      <c r="AN116" s="11">
        <v>4</v>
      </c>
      <c r="AO116" s="1">
        <v>9.5</v>
      </c>
      <c r="AP116" s="27">
        <f t="shared" si="97"/>
        <v>912.5</v>
      </c>
      <c r="AQ116" s="27">
        <f t="shared" si="116"/>
        <v>0</v>
      </c>
      <c r="AR116" s="15">
        <f t="shared" si="129"/>
        <v>1.2001809377059454</v>
      </c>
      <c r="AS116" s="28">
        <f t="shared" si="130"/>
        <v>606.20770750451561</v>
      </c>
      <c r="AT116" s="28">
        <f t="shared" si="131"/>
        <v>505.09693035388113</v>
      </c>
      <c r="AU116" s="33"/>
      <c r="AY116" s="31"/>
      <c r="BE116" s="11">
        <v>4</v>
      </c>
      <c r="BF116" s="1">
        <v>7.5</v>
      </c>
      <c r="BG116" s="27">
        <f t="shared" si="98"/>
        <v>762.5</v>
      </c>
      <c r="BH116" s="27">
        <f t="shared" si="117"/>
        <v>0</v>
      </c>
      <c r="BI116" s="15">
        <f t="shared" si="132"/>
        <v>1.1259211540132574</v>
      </c>
      <c r="BJ116" s="28">
        <f t="shared" si="133"/>
        <v>388.09273967221714</v>
      </c>
      <c r="BK116" s="28">
        <f t="shared" si="134"/>
        <v>344.68909149534232</v>
      </c>
      <c r="BL116" s="33"/>
      <c r="BP116" s="31"/>
      <c r="BV116" s="11">
        <v>4</v>
      </c>
      <c r="BW116" s="1">
        <v>7</v>
      </c>
      <c r="BX116" s="27">
        <f t="shared" si="99"/>
        <v>725</v>
      </c>
      <c r="BY116" s="27">
        <f t="shared" si="118"/>
        <v>0</v>
      </c>
      <c r="BZ116" s="15">
        <f t="shared" si="135"/>
        <v>1.0867699653980019</v>
      </c>
      <c r="CA116" s="28">
        <f t="shared" si="136"/>
        <v>494.3404845459753</v>
      </c>
      <c r="CB116" s="28">
        <f t="shared" si="137"/>
        <v>454.87131618045373</v>
      </c>
      <c r="CC116" s="33"/>
      <c r="CG116" s="31"/>
      <c r="CM116" s="11">
        <v>4</v>
      </c>
      <c r="CN116" s="1">
        <v>7.5</v>
      </c>
      <c r="CO116" s="27">
        <f t="shared" si="100"/>
        <v>762.5</v>
      </c>
      <c r="CP116" s="27">
        <f t="shared" si="119"/>
        <v>0</v>
      </c>
      <c r="CQ116" s="15">
        <f t="shared" si="138"/>
        <v>1.0431823461146428</v>
      </c>
      <c r="CR116" s="28">
        <f t="shared" si="139"/>
        <v>527.50769780346877</v>
      </c>
      <c r="CS116" s="28">
        <f t="shared" si="140"/>
        <v>505.67161126545483</v>
      </c>
      <c r="CT116" s="33"/>
      <c r="CX116" s="31"/>
      <c r="DD116" s="11">
        <v>4</v>
      </c>
      <c r="DE116" s="1">
        <v>6</v>
      </c>
      <c r="DF116" s="27">
        <f t="shared" si="101"/>
        <v>650</v>
      </c>
      <c r="DG116" s="27">
        <f t="shared" si="120"/>
        <v>0</v>
      </c>
      <c r="DH116" s="15">
        <f t="shared" si="141"/>
        <v>1.0367828281605151</v>
      </c>
      <c r="DI116" s="28">
        <f t="shared" si="142"/>
        <v>445.881713188177</v>
      </c>
      <c r="DJ116" s="28">
        <f t="shared" si="143"/>
        <v>430.06278757458875</v>
      </c>
      <c r="DK116" s="33"/>
      <c r="DO116" s="31"/>
      <c r="DU116" s="11">
        <v>4</v>
      </c>
      <c r="DV116" s="1">
        <v>6</v>
      </c>
      <c r="DW116" s="27">
        <f t="shared" si="102"/>
        <v>650</v>
      </c>
      <c r="DX116" s="27">
        <f t="shared" si="121"/>
        <v>0</v>
      </c>
      <c r="DY116" s="15">
        <f t="shared" si="144"/>
        <v>1.0895978205140335</v>
      </c>
      <c r="DZ116" s="28">
        <f t="shared" si="145"/>
        <v>457.35267590330989</v>
      </c>
      <c r="EA116" s="28">
        <f t="shared" si="146"/>
        <v>419.74448488484234</v>
      </c>
      <c r="EB116" s="33"/>
      <c r="EF116" s="31"/>
      <c r="EL116" s="11">
        <v>4</v>
      </c>
      <c r="EM116" s="1">
        <v>7</v>
      </c>
      <c r="EN116" s="27">
        <f t="shared" si="103"/>
        <v>725</v>
      </c>
      <c r="EO116" s="27">
        <f t="shared" si="122"/>
        <v>0</v>
      </c>
      <c r="EP116" s="15">
        <f t="shared" si="147"/>
        <v>0.97741449265464464</v>
      </c>
      <c r="EQ116" s="28">
        <f t="shared" si="148"/>
        <v>501.20962979756933</v>
      </c>
      <c r="ER116" s="28">
        <f t="shared" si="149"/>
        <v>512.79128104218171</v>
      </c>
      <c r="ES116" s="33"/>
      <c r="EW116" s="31"/>
      <c r="FC116" s="11">
        <v>4</v>
      </c>
      <c r="FD116" s="1">
        <v>8</v>
      </c>
      <c r="FE116" s="27">
        <f t="shared" si="104"/>
        <v>800</v>
      </c>
      <c r="FF116" s="27">
        <f t="shared" si="123"/>
        <v>0</v>
      </c>
      <c r="FG116" s="15">
        <f t="shared" si="150"/>
        <v>1.0042475454411062</v>
      </c>
      <c r="FH116" s="28">
        <f t="shared" si="151"/>
        <v>543.8842392240042</v>
      </c>
      <c r="FI116" s="28">
        <f t="shared" si="152"/>
        <v>541.58383726505224</v>
      </c>
      <c r="FJ116" s="33"/>
      <c r="FN116" s="31"/>
      <c r="FT116" s="11">
        <v>4</v>
      </c>
      <c r="FU116" s="1">
        <v>8</v>
      </c>
      <c r="FV116" s="27">
        <f t="shared" si="105"/>
        <v>800</v>
      </c>
      <c r="FW116" s="27">
        <f t="shared" si="124"/>
        <v>0</v>
      </c>
      <c r="FX116" s="15">
        <f t="shared" si="153"/>
        <v>1.0722156025670908</v>
      </c>
      <c r="FY116" s="28">
        <f t="shared" si="154"/>
        <v>519.55002780925929</v>
      </c>
      <c r="FZ116" s="28">
        <f t="shared" si="155"/>
        <v>484.55742162803483</v>
      </c>
      <c r="GA116" s="33"/>
      <c r="GE116" s="31"/>
      <c r="GK116" s="11">
        <v>4</v>
      </c>
      <c r="GL116" s="1">
        <v>7.5</v>
      </c>
      <c r="GM116" s="27">
        <f t="shared" si="106"/>
        <v>762.5</v>
      </c>
      <c r="GN116" s="27">
        <f t="shared" si="125"/>
        <v>0</v>
      </c>
      <c r="GO116" s="15">
        <f t="shared" si="156"/>
        <v>1.0310495085709011</v>
      </c>
      <c r="GP116" s="28">
        <f t="shared" si="157"/>
        <v>554.14684667133349</v>
      </c>
      <c r="GQ116" s="28">
        <f t="shared" si="158"/>
        <v>537.45900857798347</v>
      </c>
      <c r="GR116" s="33"/>
      <c r="GV116" s="31"/>
      <c r="HC116" s="1">
        <v>6</v>
      </c>
      <c r="HD116" s="27">
        <f t="shared" si="107"/>
        <v>450</v>
      </c>
      <c r="HE116" s="27">
        <f t="shared" si="126"/>
        <v>0</v>
      </c>
      <c r="HF116" s="15">
        <f t="shared" si="159"/>
        <v>1.223116212158958</v>
      </c>
      <c r="HG116" s="28">
        <f t="shared" si="160"/>
        <v>255.73910996601131</v>
      </c>
      <c r="HH116" s="28">
        <f t="shared" si="161"/>
        <v>209.08815321366623</v>
      </c>
      <c r="HI116" s="33"/>
      <c r="HM116" s="31"/>
      <c r="HU116" s="27">
        <f t="shared" si="108"/>
        <v>0</v>
      </c>
      <c r="HV116" s="27">
        <f t="shared" si="127"/>
        <v>0</v>
      </c>
      <c r="HW116" s="15">
        <f t="shared" si="162"/>
        <v>0.19360856878962951</v>
      </c>
      <c r="HX116" s="28">
        <f t="shared" si="163"/>
        <v>3.5651214910816496</v>
      </c>
      <c r="HY116" s="28">
        <f t="shared" si="164"/>
        <v>18.414068723143274</v>
      </c>
      <c r="HZ116" s="33"/>
      <c r="ID116" s="31"/>
      <c r="II116" s="12"/>
      <c r="IL116" s="27">
        <f t="shared" si="109"/>
        <v>0</v>
      </c>
      <c r="IM116" s="27">
        <f t="shared" si="110"/>
        <v>4979.9788289823637</v>
      </c>
      <c r="IN116" s="15">
        <f t="shared" si="165"/>
        <v>6.1877478849189154E-3</v>
      </c>
      <c r="IO116" s="28">
        <f t="shared" si="166"/>
        <v>0.15194304334611161</v>
      </c>
      <c r="IP116" s="28">
        <f t="shared" si="167"/>
        <v>24.555467703594502</v>
      </c>
      <c r="IQ116" s="33"/>
      <c r="IU116" s="31"/>
      <c r="JC116" s="27">
        <f t="shared" si="111"/>
        <v>0</v>
      </c>
      <c r="JD116" s="27">
        <f t="shared" si="112"/>
        <v>5404.0183945794925</v>
      </c>
      <c r="JE116" s="15" t="e">
        <f t="shared" si="168"/>
        <v>#DIV/0!</v>
      </c>
      <c r="JF116" s="28">
        <f t="shared" si="169"/>
        <v>0</v>
      </c>
      <c r="JG116" s="28">
        <f t="shared" si="170"/>
        <v>0</v>
      </c>
      <c r="JH116" s="33"/>
      <c r="JL116" s="31"/>
      <c r="JR116" s="99"/>
      <c r="JS116" s="99"/>
      <c r="JT116" s="99"/>
      <c r="JU116" s="99"/>
      <c r="JV116" s="99"/>
      <c r="JW116" s="99"/>
      <c r="JX116" s="99"/>
      <c r="JY116" s="99"/>
      <c r="JZ116" s="99"/>
      <c r="KA116" s="99"/>
      <c r="KB116" s="99"/>
      <c r="KC116" s="99"/>
      <c r="KD116" s="99"/>
      <c r="KE116" s="99"/>
      <c r="KF116" s="99"/>
      <c r="KG116" s="99"/>
      <c r="KH116" s="99"/>
      <c r="KI116" s="99"/>
      <c r="KJ116" s="99"/>
      <c r="KK116" s="99"/>
      <c r="KL116" s="99"/>
      <c r="KM116" s="99"/>
      <c r="KN116" s="99"/>
      <c r="KO116" s="99"/>
      <c r="KP116" s="99"/>
      <c r="KQ116" s="99"/>
      <c r="KR116" s="99"/>
      <c r="KS116" s="99"/>
      <c r="KT116" s="99"/>
      <c r="KU116" s="99"/>
      <c r="KV116" s="99"/>
      <c r="KW116" s="99"/>
      <c r="KX116" s="99"/>
      <c r="KY116" s="99"/>
      <c r="KZ116" s="99"/>
      <c r="LA116" s="99"/>
      <c r="LB116" s="99"/>
      <c r="LC116" s="99"/>
      <c r="LD116" s="99"/>
      <c r="LE116" s="99"/>
      <c r="LF116" s="99"/>
      <c r="LG116" s="99"/>
      <c r="LH116" s="99"/>
      <c r="LI116" s="99"/>
      <c r="LJ116" s="99"/>
      <c r="LK116" s="99"/>
      <c r="LL116" s="99"/>
      <c r="LM116" s="99"/>
      <c r="LN116" s="99"/>
      <c r="LO116" s="99"/>
      <c r="LP116" s="99"/>
      <c r="LQ116" s="99"/>
      <c r="LR116" s="99"/>
      <c r="LS116" s="99"/>
      <c r="LT116" s="99"/>
      <c r="LU116" s="99"/>
      <c r="LV116" s="99"/>
      <c r="LW116" s="99"/>
      <c r="LX116" s="99"/>
      <c r="LY116" s="99"/>
      <c r="LZ116" s="99"/>
      <c r="MA116" s="99"/>
      <c r="MB116" s="99"/>
      <c r="MC116" s="99"/>
      <c r="MD116" s="99"/>
      <c r="ME116" s="99"/>
      <c r="MF116" s="99"/>
    </row>
    <row r="117" spans="1:344" ht="17.25" customHeight="1" x14ac:dyDescent="0.25">
      <c r="A117" s="156"/>
      <c r="B117" s="81" t="s">
        <v>2</v>
      </c>
      <c r="C117" s="82">
        <v>45251</v>
      </c>
      <c r="D117" s="49">
        <v>12</v>
      </c>
      <c r="F117" s="103">
        <v>90</v>
      </c>
      <c r="G117" s="89">
        <f t="shared" si="93"/>
        <v>7.7227272727272727</v>
      </c>
      <c r="H117" s="35">
        <f t="shared" si="94"/>
        <v>695.0454545454545</v>
      </c>
      <c r="I117" s="39"/>
      <c r="L117" s="89">
        <f t="shared" si="95"/>
        <v>0</v>
      </c>
      <c r="M117" s="35">
        <f t="shared" si="113"/>
        <v>0</v>
      </c>
      <c r="N117" s="35">
        <f t="shared" si="114"/>
        <v>695.0454545454545</v>
      </c>
      <c r="O117" s="97"/>
      <c r="P117" s="150"/>
      <c r="W117" s="11">
        <v>6</v>
      </c>
      <c r="X117" s="1">
        <v>0</v>
      </c>
      <c r="Y117" s="35">
        <f t="shared" si="96"/>
        <v>540</v>
      </c>
      <c r="Z117" s="35">
        <f t="shared" si="115"/>
        <v>0</v>
      </c>
      <c r="AA117" s="15">
        <f t="shared" si="128"/>
        <v>0.96823361020704624</v>
      </c>
      <c r="AB117" s="43">
        <f t="shared" si="173"/>
        <v>433.67293456838536</v>
      </c>
      <c r="AC117" s="43">
        <f t="shared" si="174"/>
        <v>447.90113666437287</v>
      </c>
      <c r="AD117" s="33"/>
      <c r="AH117" s="31"/>
      <c r="AN117" s="11">
        <v>9</v>
      </c>
      <c r="AP117" s="35">
        <f t="shared" si="97"/>
        <v>810</v>
      </c>
      <c r="AQ117" s="35">
        <f t="shared" si="116"/>
        <v>0</v>
      </c>
      <c r="AR117" s="15">
        <f t="shared" si="129"/>
        <v>1.2490494084950079</v>
      </c>
      <c r="AS117" s="28">
        <f t="shared" si="130"/>
        <v>657.15578062838676</v>
      </c>
      <c r="AT117" s="28">
        <f t="shared" si="131"/>
        <v>526.12472826050998</v>
      </c>
      <c r="AU117" s="33"/>
      <c r="AY117" s="31"/>
      <c r="BE117" s="11">
        <v>9</v>
      </c>
      <c r="BG117" s="35">
        <f t="shared" si="98"/>
        <v>810</v>
      </c>
      <c r="BH117" s="35">
        <f t="shared" si="117"/>
        <v>0</v>
      </c>
      <c r="BI117" s="15">
        <f t="shared" si="132"/>
        <v>1.3099692422023981</v>
      </c>
      <c r="BJ117" s="28">
        <f t="shared" si="133"/>
        <v>493.56955475416282</v>
      </c>
      <c r="BK117" s="28">
        <f t="shared" si="134"/>
        <v>376.77949897842211</v>
      </c>
      <c r="BL117" s="33"/>
      <c r="BP117" s="31"/>
      <c r="BV117" s="11">
        <v>7.7</v>
      </c>
      <c r="BX117" s="35">
        <f t="shared" si="99"/>
        <v>693</v>
      </c>
      <c r="BY117" s="35">
        <f t="shared" si="118"/>
        <v>0</v>
      </c>
      <c r="BZ117" s="15">
        <f t="shared" si="135"/>
        <v>1.1542803045301835</v>
      </c>
      <c r="CA117" s="28">
        <f t="shared" si="136"/>
        <v>544.00536340948145</v>
      </c>
      <c r="CB117" s="28">
        <f t="shared" si="137"/>
        <v>471.29398403007764</v>
      </c>
      <c r="CC117" s="33"/>
      <c r="CG117" s="31"/>
      <c r="CM117" s="11">
        <v>9.5</v>
      </c>
      <c r="CO117" s="35">
        <f t="shared" si="100"/>
        <v>855</v>
      </c>
      <c r="CP117" s="35">
        <f t="shared" si="119"/>
        <v>0</v>
      </c>
      <c r="CQ117" s="15">
        <f t="shared" si="138"/>
        <v>1.1502889317750098</v>
      </c>
      <c r="CR117" s="28">
        <f t="shared" si="139"/>
        <v>609.38077335260164</v>
      </c>
      <c r="CS117" s="28">
        <f t="shared" si="140"/>
        <v>529.76322428163041</v>
      </c>
      <c r="CT117" s="33"/>
      <c r="CX117" s="31"/>
      <c r="DD117" s="11">
        <v>6.5</v>
      </c>
      <c r="DF117" s="35">
        <f t="shared" si="101"/>
        <v>585</v>
      </c>
      <c r="DG117" s="35">
        <f t="shared" si="120"/>
        <v>0</v>
      </c>
      <c r="DH117" s="15">
        <f t="shared" si="141"/>
        <v>1.0905577838757037</v>
      </c>
      <c r="DI117" s="28">
        <f t="shared" si="142"/>
        <v>480.66128489113277</v>
      </c>
      <c r="DJ117" s="28">
        <f t="shared" si="143"/>
        <v>440.74811256944469</v>
      </c>
      <c r="DK117" s="33"/>
      <c r="DO117" s="31"/>
      <c r="DU117" s="11">
        <v>6</v>
      </c>
      <c r="DW117" s="35">
        <f t="shared" si="102"/>
        <v>540</v>
      </c>
      <c r="DX117" s="35">
        <f t="shared" si="121"/>
        <v>0</v>
      </c>
      <c r="DY117" s="15">
        <f t="shared" si="144"/>
        <v>1.1167572549580751</v>
      </c>
      <c r="DZ117" s="28">
        <f t="shared" si="145"/>
        <v>478.01450692748244</v>
      </c>
      <c r="EA117" s="28">
        <f t="shared" si="146"/>
        <v>428.03796868588768</v>
      </c>
      <c r="EB117" s="33"/>
      <c r="EF117" s="31"/>
      <c r="EL117" s="11">
        <v>7</v>
      </c>
      <c r="EN117" s="35">
        <f t="shared" si="103"/>
        <v>630</v>
      </c>
      <c r="EO117" s="35">
        <f t="shared" si="122"/>
        <v>0</v>
      </c>
      <c r="EP117" s="15">
        <f t="shared" si="147"/>
        <v>1.0240606479795669</v>
      </c>
      <c r="EQ117" s="28">
        <f t="shared" si="148"/>
        <v>533.40722234817702</v>
      </c>
      <c r="ER117" s="28">
        <f t="shared" si="149"/>
        <v>520.87464097030715</v>
      </c>
      <c r="ES117" s="33"/>
      <c r="EW117" s="31"/>
      <c r="FC117" s="11">
        <v>8.75</v>
      </c>
      <c r="FE117" s="35">
        <f t="shared" si="104"/>
        <v>787.5</v>
      </c>
      <c r="FF117" s="35">
        <f t="shared" si="123"/>
        <v>0</v>
      </c>
      <c r="FG117" s="15">
        <f t="shared" si="150"/>
        <v>1.0827949851333776</v>
      </c>
      <c r="FH117" s="28">
        <f t="shared" si="151"/>
        <v>604.78817941800321</v>
      </c>
      <c r="FI117" s="28">
        <f t="shared" si="152"/>
        <v>558.54357262608312</v>
      </c>
      <c r="FJ117" s="33"/>
      <c r="FN117" s="31"/>
      <c r="FT117" s="11">
        <v>7</v>
      </c>
      <c r="FV117" s="35">
        <f t="shared" si="105"/>
        <v>630</v>
      </c>
      <c r="FW117" s="35">
        <f t="shared" si="124"/>
        <v>0</v>
      </c>
      <c r="FX117" s="15">
        <f t="shared" si="153"/>
        <v>1.1062997535447427</v>
      </c>
      <c r="FY117" s="28">
        <f t="shared" si="154"/>
        <v>547.16252085694441</v>
      </c>
      <c r="FZ117" s="28">
        <f t="shared" si="155"/>
        <v>494.58794427437721</v>
      </c>
      <c r="GA117" s="33"/>
      <c r="GE117" s="31"/>
      <c r="GK117" s="11">
        <v>8.5</v>
      </c>
      <c r="GM117" s="35">
        <f t="shared" si="106"/>
        <v>765</v>
      </c>
      <c r="GN117" s="35">
        <f t="shared" si="125"/>
        <v>0</v>
      </c>
      <c r="GO117" s="15">
        <f t="shared" si="156"/>
        <v>1.0970957236075469</v>
      </c>
      <c r="GP117" s="28">
        <f t="shared" si="157"/>
        <v>606.86013500350009</v>
      </c>
      <c r="GQ117" s="28">
        <f t="shared" si="158"/>
        <v>553.15149074501915</v>
      </c>
      <c r="GR117" s="33"/>
      <c r="GV117" s="31"/>
      <c r="HB117" s="11">
        <v>7</v>
      </c>
      <c r="HD117" s="35">
        <f t="shared" si="107"/>
        <v>630</v>
      </c>
      <c r="HE117" s="35">
        <f t="shared" si="126"/>
        <v>0</v>
      </c>
      <c r="HF117" s="15">
        <f t="shared" si="159"/>
        <v>1.4669468503004774</v>
      </c>
      <c r="HG117" s="28">
        <f t="shared" si="160"/>
        <v>349.3043324745085</v>
      </c>
      <c r="HH117" s="28">
        <f t="shared" si="161"/>
        <v>238.11655644030992</v>
      </c>
      <c r="HI117" s="33"/>
      <c r="HM117" s="31"/>
      <c r="HU117" s="35">
        <f t="shared" si="108"/>
        <v>0</v>
      </c>
      <c r="HV117" s="35">
        <f t="shared" si="127"/>
        <v>0</v>
      </c>
      <c r="HW117" s="15">
        <f t="shared" si="162"/>
        <v>0.15596245819164598</v>
      </c>
      <c r="HX117" s="28">
        <f t="shared" si="163"/>
        <v>2.6738411183112372</v>
      </c>
      <c r="HY117" s="28">
        <f t="shared" si="164"/>
        <v>17.144132949133393</v>
      </c>
      <c r="HZ117" s="33"/>
      <c r="ID117" s="31"/>
      <c r="II117" s="12"/>
      <c r="IL117" s="35">
        <f t="shared" si="109"/>
        <v>0</v>
      </c>
      <c r="IM117" s="35">
        <f t="shared" si="110"/>
        <v>5228.9542147019047</v>
      </c>
      <c r="IN117" s="15">
        <f t="shared" si="165"/>
        <v>4.9845746850735702E-3</v>
      </c>
      <c r="IO117" s="28">
        <f t="shared" si="166"/>
        <v>0.1139572825095837</v>
      </c>
      <c r="IP117" s="28">
        <f t="shared" si="167"/>
        <v>22.861987172312123</v>
      </c>
      <c r="IQ117" s="33"/>
      <c r="IU117" s="31"/>
      <c r="JC117" s="35">
        <f t="shared" si="111"/>
        <v>0</v>
      </c>
      <c r="JD117" s="35">
        <f t="shared" si="112"/>
        <v>5944.7900816138836</v>
      </c>
      <c r="JE117" s="15" t="e">
        <f t="shared" si="168"/>
        <v>#DIV/0!</v>
      </c>
      <c r="JF117" s="28">
        <f t="shared" si="169"/>
        <v>0</v>
      </c>
      <c r="JG117" s="28">
        <f t="shared" si="170"/>
        <v>0</v>
      </c>
      <c r="JH117" s="33"/>
      <c r="JL117" s="31"/>
      <c r="JR117" s="99"/>
      <c r="JS117" s="99"/>
      <c r="JT117" s="99"/>
      <c r="JU117" s="99"/>
      <c r="JV117" s="99"/>
      <c r="JW117" s="99"/>
      <c r="JX117" s="99"/>
      <c r="JY117" s="99"/>
      <c r="JZ117" s="99"/>
      <c r="KA117" s="99"/>
      <c r="KB117" s="99"/>
      <c r="KC117" s="99"/>
      <c r="KD117" s="99"/>
      <c r="KE117" s="99"/>
      <c r="KF117" s="99"/>
      <c r="KG117" s="99"/>
      <c r="KH117" s="99"/>
      <c r="KI117" s="99"/>
      <c r="KJ117" s="99"/>
      <c r="KK117" s="99"/>
      <c r="KL117" s="99"/>
      <c r="KM117" s="99"/>
      <c r="KN117" s="99"/>
      <c r="KO117" s="99"/>
      <c r="KP117" s="99"/>
      <c r="KQ117" s="99"/>
      <c r="KR117" s="99"/>
      <c r="KS117" s="99"/>
      <c r="KT117" s="99"/>
      <c r="KU117" s="99"/>
      <c r="KV117" s="99"/>
      <c r="KW117" s="99"/>
      <c r="KX117" s="99"/>
      <c r="KY117" s="99"/>
      <c r="KZ117" s="99"/>
      <c r="LA117" s="99"/>
      <c r="LB117" s="99"/>
      <c r="LC117" s="99"/>
      <c r="LD117" s="99"/>
      <c r="LE117" s="99"/>
      <c r="LF117" s="99"/>
      <c r="LG117" s="99"/>
      <c r="LH117" s="99"/>
      <c r="LI117" s="99"/>
      <c r="LJ117" s="99"/>
      <c r="LK117" s="99"/>
      <c r="LL117" s="99"/>
      <c r="LM117" s="99"/>
      <c r="LN117" s="99"/>
      <c r="LO117" s="99"/>
      <c r="LP117" s="99"/>
      <c r="LQ117" s="99"/>
      <c r="LR117" s="99"/>
      <c r="LS117" s="99"/>
      <c r="LT117" s="99"/>
      <c r="LU117" s="99"/>
      <c r="LV117" s="99"/>
      <c r="LW117" s="99"/>
      <c r="LX117" s="99"/>
      <c r="LY117" s="99"/>
      <c r="LZ117" s="99"/>
      <c r="MA117" s="99"/>
      <c r="MB117" s="99"/>
      <c r="MC117" s="99"/>
      <c r="MD117" s="99"/>
      <c r="ME117" s="99"/>
      <c r="MF117" s="99"/>
    </row>
    <row r="118" spans="1:344" ht="17.25" customHeight="1" x14ac:dyDescent="0.25">
      <c r="A118" s="156"/>
      <c r="B118" s="81" t="s">
        <v>3</v>
      </c>
      <c r="C118" s="82">
        <v>45252</v>
      </c>
      <c r="D118" s="49">
        <v>12</v>
      </c>
      <c r="F118" s="103">
        <v>98</v>
      </c>
      <c r="G118" s="89">
        <f t="shared" si="93"/>
        <v>8.7272727272727266</v>
      </c>
      <c r="H118" s="35">
        <f t="shared" si="94"/>
        <v>855.27272727272725</v>
      </c>
      <c r="I118" s="39"/>
      <c r="L118" s="89">
        <f t="shared" si="95"/>
        <v>0</v>
      </c>
      <c r="M118" s="35">
        <f t="shared" si="113"/>
        <v>0</v>
      </c>
      <c r="N118" s="35">
        <f t="shared" si="114"/>
        <v>855.27272727272725</v>
      </c>
      <c r="O118" s="97"/>
      <c r="P118" s="150"/>
      <c r="W118" s="11">
        <v>10</v>
      </c>
      <c r="X118" s="1">
        <v>0</v>
      </c>
      <c r="Y118" s="35">
        <f t="shared" si="96"/>
        <v>980</v>
      </c>
      <c r="Z118" s="35">
        <f t="shared" si="115"/>
        <v>0</v>
      </c>
      <c r="AA118" s="15">
        <f t="shared" si="128"/>
        <v>1.1767592104484421</v>
      </c>
      <c r="AB118" s="43">
        <f t="shared" si="173"/>
        <v>570.25470092628905</v>
      </c>
      <c r="AC118" s="43">
        <f t="shared" si="174"/>
        <v>484.59760999786442</v>
      </c>
      <c r="AD118" s="33"/>
      <c r="AH118" s="31"/>
      <c r="AN118" s="11">
        <v>10</v>
      </c>
      <c r="AP118" s="35">
        <f t="shared" si="97"/>
        <v>980</v>
      </c>
      <c r="AQ118" s="35">
        <f t="shared" si="116"/>
        <v>0</v>
      </c>
      <c r="AR118" s="15">
        <f t="shared" si="129"/>
        <v>1.3237025395716613</v>
      </c>
      <c r="AS118" s="28">
        <f t="shared" si="130"/>
        <v>737.86683547129007</v>
      </c>
      <c r="AT118" s="28">
        <f t="shared" si="131"/>
        <v>557.4264711390955</v>
      </c>
      <c r="AU118" s="33"/>
      <c r="AY118" s="31"/>
      <c r="BE118" s="11">
        <v>9.5</v>
      </c>
      <c r="BG118" s="35">
        <f t="shared" si="98"/>
        <v>931</v>
      </c>
      <c r="BH118" s="35">
        <f t="shared" si="117"/>
        <v>0</v>
      </c>
      <c r="BI118" s="15">
        <f t="shared" si="132"/>
        <v>1.452830934718524</v>
      </c>
      <c r="BJ118" s="28">
        <f t="shared" si="133"/>
        <v>602.92716606562215</v>
      </c>
      <c r="BK118" s="28">
        <f t="shared" si="134"/>
        <v>415.00160249715162</v>
      </c>
      <c r="BL118" s="33"/>
      <c r="BP118" s="31"/>
      <c r="BV118" s="11">
        <v>10</v>
      </c>
      <c r="BX118" s="35">
        <f t="shared" si="99"/>
        <v>980</v>
      </c>
      <c r="BY118" s="35">
        <f t="shared" si="118"/>
        <v>0</v>
      </c>
      <c r="BZ118" s="15">
        <f t="shared" si="135"/>
        <v>1.2895605831089749</v>
      </c>
      <c r="CA118" s="28">
        <f t="shared" si="136"/>
        <v>653.00402255711106</v>
      </c>
      <c r="CB118" s="28">
        <f t="shared" si="137"/>
        <v>506.3771575452447</v>
      </c>
      <c r="CC118" s="33"/>
      <c r="CG118" s="31"/>
      <c r="CM118" s="11">
        <v>10</v>
      </c>
      <c r="CO118" s="35">
        <f t="shared" si="100"/>
        <v>980</v>
      </c>
      <c r="CP118" s="35">
        <f t="shared" si="119"/>
        <v>0</v>
      </c>
      <c r="CQ118" s="15">
        <f t="shared" si="138"/>
        <v>1.2518152800183331</v>
      </c>
      <c r="CR118" s="28">
        <f t="shared" si="139"/>
        <v>702.03558001445117</v>
      </c>
      <c r="CS118" s="28">
        <f t="shared" si="140"/>
        <v>560.81403640013866</v>
      </c>
      <c r="CT118" s="33"/>
      <c r="CX118" s="31"/>
      <c r="DD118" s="11">
        <v>6.7</v>
      </c>
      <c r="DF118" s="35">
        <f t="shared" si="101"/>
        <v>656.6</v>
      </c>
      <c r="DG118" s="35">
        <f t="shared" si="120"/>
        <v>0</v>
      </c>
      <c r="DH118" s="15">
        <f t="shared" si="141"/>
        <v>1.1514624587544278</v>
      </c>
      <c r="DI118" s="28">
        <f t="shared" si="142"/>
        <v>524.64596366834962</v>
      </c>
      <c r="DJ118" s="28">
        <f t="shared" si="143"/>
        <v>455.63444963362093</v>
      </c>
      <c r="DK118" s="33"/>
      <c r="DO118" s="31"/>
      <c r="DU118" s="11">
        <v>6.8</v>
      </c>
      <c r="DW118" s="35">
        <f t="shared" si="102"/>
        <v>666.4</v>
      </c>
      <c r="DX118" s="35">
        <f t="shared" si="121"/>
        <v>0</v>
      </c>
      <c r="DY118" s="15">
        <f t="shared" si="144"/>
        <v>1.1814136610172694</v>
      </c>
      <c r="DZ118" s="28">
        <f t="shared" si="145"/>
        <v>525.1108801956118</v>
      </c>
      <c r="EA118" s="28">
        <f t="shared" si="146"/>
        <v>444.47672946617126</v>
      </c>
      <c r="EB118" s="33"/>
      <c r="EF118" s="31"/>
      <c r="EL118" s="11">
        <v>7</v>
      </c>
      <c r="EN118" s="35">
        <f t="shared" si="103"/>
        <v>686</v>
      </c>
      <c r="EO118" s="35">
        <f t="shared" si="122"/>
        <v>0</v>
      </c>
      <c r="EP118" s="15">
        <f t="shared" si="147"/>
        <v>1.0738222453248742</v>
      </c>
      <c r="EQ118" s="28">
        <f t="shared" si="148"/>
        <v>571.55541676113273</v>
      </c>
      <c r="ER118" s="28">
        <f t="shared" si="149"/>
        <v>532.2625967654584</v>
      </c>
      <c r="ES118" s="33"/>
      <c r="EW118" s="31"/>
      <c r="FC118" s="11">
        <v>9</v>
      </c>
      <c r="FE118" s="35">
        <f t="shared" si="104"/>
        <v>882</v>
      </c>
      <c r="FF118" s="35">
        <f t="shared" si="123"/>
        <v>0</v>
      </c>
      <c r="FG118" s="15">
        <f t="shared" si="150"/>
        <v>1.1605235011615163</v>
      </c>
      <c r="FH118" s="28">
        <f t="shared" si="151"/>
        <v>674.09113456350246</v>
      </c>
      <c r="FI118" s="28">
        <f t="shared" si="152"/>
        <v>580.85091244497391</v>
      </c>
      <c r="FJ118" s="33"/>
      <c r="FN118" s="31"/>
      <c r="FT118" s="11">
        <v>7</v>
      </c>
      <c r="FV118" s="35">
        <f t="shared" si="105"/>
        <v>686</v>
      </c>
      <c r="FW118" s="35">
        <f t="shared" si="124"/>
        <v>0</v>
      </c>
      <c r="FX118" s="15">
        <f t="shared" si="153"/>
        <v>1.1458935653634881</v>
      </c>
      <c r="FY118" s="28">
        <f t="shared" si="154"/>
        <v>581.87189064270831</v>
      </c>
      <c r="FZ118" s="28">
        <f t="shared" si="155"/>
        <v>507.78877570373049</v>
      </c>
      <c r="GA118" s="33"/>
      <c r="GE118" s="31"/>
      <c r="GK118" s="11">
        <v>10</v>
      </c>
      <c r="GM118" s="35">
        <f t="shared" si="106"/>
        <v>980</v>
      </c>
      <c r="GN118" s="35">
        <f t="shared" si="125"/>
        <v>0</v>
      </c>
      <c r="GO118" s="15">
        <f t="shared" si="156"/>
        <v>1.2017815611365141</v>
      </c>
      <c r="GP118" s="28">
        <f t="shared" si="157"/>
        <v>700.14510125262507</v>
      </c>
      <c r="GQ118" s="28">
        <f t="shared" si="158"/>
        <v>582.5893189695006</v>
      </c>
      <c r="GR118" s="33"/>
      <c r="GV118" s="31"/>
      <c r="HB118" s="11">
        <v>8</v>
      </c>
      <c r="HD118" s="35">
        <f t="shared" si="107"/>
        <v>784</v>
      </c>
      <c r="HE118" s="35">
        <f t="shared" si="126"/>
        <v>0</v>
      </c>
      <c r="HF118" s="15">
        <f t="shared" si="159"/>
        <v>1.6607634187101517</v>
      </c>
      <c r="HG118" s="28">
        <f t="shared" si="160"/>
        <v>457.97824935588136</v>
      </c>
      <c r="HH118" s="28">
        <f t="shared" si="161"/>
        <v>275.76369047890921</v>
      </c>
      <c r="HI118" s="33"/>
      <c r="HM118" s="31"/>
      <c r="HU118" s="35">
        <f t="shared" si="108"/>
        <v>0</v>
      </c>
      <c r="HV118" s="35">
        <f t="shared" si="127"/>
        <v>0</v>
      </c>
      <c r="HW118" s="15">
        <f t="shared" si="162"/>
        <v>0.12563642465438149</v>
      </c>
      <c r="HX118" s="28">
        <f t="shared" si="163"/>
        <v>2.0053808387334278</v>
      </c>
      <c r="HY118" s="28">
        <f t="shared" si="164"/>
        <v>15.961778952641435</v>
      </c>
      <c r="HZ118" s="33"/>
      <c r="ID118" s="31"/>
      <c r="II118" s="12"/>
      <c r="IL118" s="35">
        <f t="shared" si="109"/>
        <v>0</v>
      </c>
      <c r="IM118" s="35">
        <f t="shared" si="110"/>
        <v>6127.7705597039949</v>
      </c>
      <c r="IN118" s="15">
        <f t="shared" si="165"/>
        <v>4.015351829642598E-3</v>
      </c>
      <c r="IO118" s="28">
        <f t="shared" si="166"/>
        <v>8.5467961882187776E-2</v>
      </c>
      <c r="IP118" s="28">
        <f t="shared" si="167"/>
        <v>21.285298401807839</v>
      </c>
      <c r="IQ118" s="33"/>
      <c r="IU118" s="31"/>
      <c r="JC118" s="35">
        <f t="shared" si="111"/>
        <v>0</v>
      </c>
      <c r="JD118" s="35">
        <f t="shared" si="112"/>
        <v>6595.9679478985527</v>
      </c>
      <c r="JE118" s="15" t="e">
        <f t="shared" si="168"/>
        <v>#DIV/0!</v>
      </c>
      <c r="JF118" s="28">
        <f t="shared" si="169"/>
        <v>0</v>
      </c>
      <c r="JG118" s="28">
        <f t="shared" si="170"/>
        <v>0</v>
      </c>
      <c r="JH118" s="33"/>
      <c r="JL118" s="31"/>
      <c r="JR118" s="99"/>
      <c r="JS118" s="99"/>
      <c r="JT118" s="99"/>
      <c r="JU118" s="99"/>
      <c r="JV118" s="99"/>
      <c r="JW118" s="99"/>
      <c r="JX118" s="99"/>
      <c r="JY118" s="99"/>
      <c r="JZ118" s="99"/>
      <c r="KA118" s="99"/>
      <c r="KB118" s="99"/>
      <c r="KC118" s="99"/>
      <c r="KD118" s="99"/>
      <c r="KE118" s="99"/>
      <c r="KF118" s="99"/>
      <c r="KG118" s="99"/>
      <c r="KH118" s="99"/>
      <c r="KI118" s="99"/>
      <c r="KJ118" s="99"/>
      <c r="KK118" s="99"/>
      <c r="KL118" s="99"/>
      <c r="KM118" s="99"/>
      <c r="KN118" s="99"/>
      <c r="KO118" s="99"/>
      <c r="KP118" s="99"/>
      <c r="KQ118" s="99"/>
      <c r="KR118" s="99"/>
      <c r="KS118" s="99"/>
      <c r="KT118" s="99"/>
      <c r="KU118" s="99"/>
      <c r="KV118" s="99"/>
      <c r="KW118" s="99"/>
      <c r="KX118" s="99"/>
      <c r="KY118" s="99"/>
      <c r="KZ118" s="99"/>
      <c r="LA118" s="99"/>
      <c r="LB118" s="99"/>
      <c r="LC118" s="99"/>
      <c r="LD118" s="99"/>
      <c r="LE118" s="99"/>
      <c r="LF118" s="99"/>
      <c r="LG118" s="99"/>
      <c r="LH118" s="99"/>
      <c r="LI118" s="99"/>
      <c r="LJ118" s="99"/>
      <c r="LK118" s="99"/>
      <c r="LL118" s="99"/>
      <c r="LM118" s="99"/>
      <c r="LN118" s="99"/>
      <c r="LO118" s="99"/>
      <c r="LP118" s="99"/>
      <c r="LQ118" s="99"/>
      <c r="LR118" s="99"/>
      <c r="LS118" s="99"/>
      <c r="LT118" s="99"/>
      <c r="LU118" s="99"/>
      <c r="LV118" s="99"/>
      <c r="LW118" s="99"/>
      <c r="LX118" s="99"/>
      <c r="LY118" s="99"/>
      <c r="LZ118" s="99"/>
      <c r="MA118" s="99"/>
      <c r="MB118" s="99"/>
      <c r="MC118" s="99"/>
      <c r="MD118" s="99"/>
      <c r="ME118" s="99"/>
      <c r="MF118" s="99"/>
    </row>
    <row r="119" spans="1:344" ht="17.25" customHeight="1" x14ac:dyDescent="0.25">
      <c r="A119" s="156"/>
      <c r="B119" s="81" t="s">
        <v>4</v>
      </c>
      <c r="C119" s="82">
        <v>45253</v>
      </c>
      <c r="D119" s="49">
        <v>11</v>
      </c>
      <c r="F119" s="103">
        <v>68</v>
      </c>
      <c r="G119" s="89">
        <f t="shared" si="93"/>
        <v>6.5379999999999994</v>
      </c>
      <c r="H119" s="35">
        <f t="shared" si="94"/>
        <v>444.58399999999995</v>
      </c>
      <c r="I119" s="39"/>
      <c r="L119" s="89">
        <f t="shared" si="95"/>
        <v>0</v>
      </c>
      <c r="M119" s="35">
        <f t="shared" si="113"/>
        <v>0</v>
      </c>
      <c r="N119" s="35">
        <f t="shared" si="114"/>
        <v>444.58399999999995</v>
      </c>
      <c r="O119" s="97"/>
      <c r="P119" s="150"/>
      <c r="W119" s="11">
        <v>5</v>
      </c>
      <c r="X119" s="1">
        <v>0</v>
      </c>
      <c r="Y119" s="35">
        <f t="shared" si="96"/>
        <v>340</v>
      </c>
      <c r="Z119" s="35">
        <f t="shared" si="115"/>
        <v>0</v>
      </c>
      <c r="AA119" s="15">
        <f t="shared" si="128"/>
        <v>1.080201497407165</v>
      </c>
      <c r="AB119" s="43">
        <f t="shared" si="173"/>
        <v>512.69102569471681</v>
      </c>
      <c r="AC119" s="43">
        <f t="shared" si="174"/>
        <v>474.62536103249442</v>
      </c>
      <c r="AD119" s="33"/>
      <c r="AH119" s="31"/>
      <c r="AN119" s="11">
        <v>8.5</v>
      </c>
      <c r="AP119" s="35">
        <f t="shared" si="97"/>
        <v>578</v>
      </c>
      <c r="AQ119" s="35">
        <f t="shared" si="116"/>
        <v>0</v>
      </c>
      <c r="AR119" s="15">
        <f t="shared" si="129"/>
        <v>1.2488251805047554</v>
      </c>
      <c r="AS119" s="28">
        <f t="shared" si="130"/>
        <v>697.90012660346758</v>
      </c>
      <c r="AT119" s="28">
        <f t="shared" si="131"/>
        <v>558.84533519846821</v>
      </c>
      <c r="AU119" s="33"/>
      <c r="AY119" s="31"/>
      <c r="BE119" s="86"/>
      <c r="BF119" s="87"/>
      <c r="BG119" s="35">
        <f t="shared" si="98"/>
        <v>0</v>
      </c>
      <c r="BH119" s="35">
        <f t="shared" si="117"/>
        <v>0</v>
      </c>
      <c r="BI119" s="15">
        <f t="shared" si="132"/>
        <v>1.1703360307454775</v>
      </c>
      <c r="BJ119" s="28">
        <f t="shared" si="133"/>
        <v>452.19537454921658</v>
      </c>
      <c r="BK119" s="28">
        <f t="shared" si="134"/>
        <v>386.38080232493428</v>
      </c>
      <c r="BL119" s="33"/>
      <c r="BP119" s="31"/>
      <c r="BV119" s="11">
        <v>5</v>
      </c>
      <c r="BX119" s="35">
        <f t="shared" si="99"/>
        <v>340</v>
      </c>
      <c r="BY119" s="35">
        <f t="shared" si="118"/>
        <v>0</v>
      </c>
      <c r="BZ119" s="15">
        <f t="shared" si="135"/>
        <v>1.1613450856889733</v>
      </c>
      <c r="CA119" s="28">
        <f t="shared" si="136"/>
        <v>574.75301691783329</v>
      </c>
      <c r="CB119" s="28">
        <f t="shared" si="137"/>
        <v>494.90287081798641</v>
      </c>
      <c r="CC119" s="33"/>
      <c r="CG119" s="31"/>
      <c r="CM119" s="11">
        <v>8</v>
      </c>
      <c r="CO119" s="35">
        <f t="shared" si="100"/>
        <v>544</v>
      </c>
      <c r="CP119" s="35">
        <f t="shared" si="119"/>
        <v>0</v>
      </c>
      <c r="CQ119" s="15">
        <f t="shared" si="138"/>
        <v>1.1838138475515882</v>
      </c>
      <c r="CR119" s="28">
        <f t="shared" si="139"/>
        <v>662.52668501083838</v>
      </c>
      <c r="CS119" s="28">
        <f t="shared" si="140"/>
        <v>559.65444768288774</v>
      </c>
      <c r="CT119" s="33"/>
      <c r="CX119" s="31"/>
      <c r="DD119" s="11">
        <v>5</v>
      </c>
      <c r="DF119" s="35">
        <f t="shared" si="101"/>
        <v>340</v>
      </c>
      <c r="DG119" s="35">
        <f t="shared" si="120"/>
        <v>0</v>
      </c>
      <c r="DH119" s="15">
        <f t="shared" si="141"/>
        <v>1.0688576959275051</v>
      </c>
      <c r="DI119" s="28">
        <f t="shared" si="142"/>
        <v>478.48447275126222</v>
      </c>
      <c r="DJ119" s="28">
        <f t="shared" si="143"/>
        <v>447.659660003716</v>
      </c>
      <c r="DK119" s="33"/>
      <c r="DO119" s="31"/>
      <c r="DU119" s="11">
        <v>5</v>
      </c>
      <c r="DW119" s="35">
        <f t="shared" si="102"/>
        <v>340</v>
      </c>
      <c r="DX119" s="35">
        <f t="shared" si="121"/>
        <v>0</v>
      </c>
      <c r="DY119" s="15">
        <f t="shared" si="144"/>
        <v>1.0950478782217641</v>
      </c>
      <c r="DZ119" s="28">
        <f t="shared" si="145"/>
        <v>478.83316014670885</v>
      </c>
      <c r="EA119" s="28">
        <f t="shared" si="146"/>
        <v>437.27143777884908</v>
      </c>
      <c r="EB119" s="33"/>
      <c r="EF119" s="31"/>
      <c r="EL119" s="11">
        <v>7.5</v>
      </c>
      <c r="EN119" s="35">
        <f t="shared" si="103"/>
        <v>510</v>
      </c>
      <c r="EO119" s="35">
        <f t="shared" si="122"/>
        <v>0</v>
      </c>
      <c r="EP119" s="15">
        <f t="shared" si="147"/>
        <v>1.0479329401937603</v>
      </c>
      <c r="EQ119" s="28">
        <f t="shared" si="148"/>
        <v>556.16656257084958</v>
      </c>
      <c r="ER119" s="28">
        <f t="shared" si="149"/>
        <v>530.72724526439231</v>
      </c>
      <c r="ES119" s="33"/>
      <c r="EW119" s="31"/>
      <c r="FC119" s="11">
        <v>6.8</v>
      </c>
      <c r="FE119" s="35">
        <f t="shared" si="104"/>
        <v>462.4</v>
      </c>
      <c r="FF119" s="35">
        <f t="shared" si="123"/>
        <v>0</v>
      </c>
      <c r="FG119" s="15">
        <f t="shared" si="150"/>
        <v>1.0846656202627358</v>
      </c>
      <c r="FH119" s="28">
        <f t="shared" si="151"/>
        <v>621.16835092262681</v>
      </c>
      <c r="FI119" s="28">
        <f t="shared" si="152"/>
        <v>572.68188400049291</v>
      </c>
      <c r="FJ119" s="33"/>
      <c r="FN119" s="31"/>
      <c r="FT119" s="11">
        <v>7</v>
      </c>
      <c r="FV119" s="35">
        <f t="shared" si="105"/>
        <v>476</v>
      </c>
      <c r="FW119" s="35">
        <f t="shared" si="124"/>
        <v>0</v>
      </c>
      <c r="FX119" s="15">
        <f t="shared" si="153"/>
        <v>1.0985123056090598</v>
      </c>
      <c r="FY119" s="28">
        <f t="shared" si="154"/>
        <v>555.4039179820312</v>
      </c>
      <c r="FZ119" s="28">
        <f t="shared" si="155"/>
        <v>505.59644634485255</v>
      </c>
      <c r="GA119" s="33"/>
      <c r="GE119" s="31"/>
      <c r="GK119" s="11">
        <v>7.58</v>
      </c>
      <c r="GM119" s="35">
        <f t="shared" si="106"/>
        <v>515.44000000000005</v>
      </c>
      <c r="GN119" s="35">
        <f t="shared" si="125"/>
        <v>0</v>
      </c>
      <c r="GO119" s="15">
        <f t="shared" si="156"/>
        <v>1.1315155268959183</v>
      </c>
      <c r="GP119" s="28">
        <f t="shared" si="157"/>
        <v>653.96882593946884</v>
      </c>
      <c r="GQ119" s="28">
        <f t="shared" si="158"/>
        <v>577.95833145436256</v>
      </c>
      <c r="GR119" s="33"/>
      <c r="GV119" s="31"/>
      <c r="HD119" s="35">
        <f t="shared" si="107"/>
        <v>0</v>
      </c>
      <c r="HE119" s="35">
        <f t="shared" si="126"/>
        <v>0</v>
      </c>
      <c r="HF119" s="15">
        <f t="shared" si="159"/>
        <v>1.3378371984053998</v>
      </c>
      <c r="HG119" s="28">
        <f t="shared" si="160"/>
        <v>343.48368701691101</v>
      </c>
      <c r="HH119" s="28">
        <f t="shared" si="161"/>
        <v>256.7455049286396</v>
      </c>
      <c r="HI119" s="33"/>
      <c r="HM119" s="31"/>
      <c r="HU119" s="35">
        <f t="shared" si="108"/>
        <v>0</v>
      </c>
      <c r="HV119" s="35">
        <f t="shared" si="127"/>
        <v>0</v>
      </c>
      <c r="HW119" s="15">
        <f t="shared" si="162"/>
        <v>0.10120711986047397</v>
      </c>
      <c r="HX119" s="28">
        <f t="shared" si="163"/>
        <v>1.5040356290500707</v>
      </c>
      <c r="HY119" s="28">
        <f t="shared" si="164"/>
        <v>14.860966611079956</v>
      </c>
      <c r="HZ119" s="33"/>
      <c r="ID119" s="31"/>
      <c r="II119" s="12"/>
      <c r="IL119" s="35">
        <f t="shared" si="109"/>
        <v>0</v>
      </c>
      <c r="IM119" s="35">
        <f t="shared" si="110"/>
        <v>5117.0104570183321</v>
      </c>
      <c r="IN119" s="15">
        <f t="shared" si="165"/>
        <v>3.2345889738787602E-3</v>
      </c>
      <c r="IO119" s="28">
        <f t="shared" si="166"/>
        <v>6.4100971411640839E-2</v>
      </c>
      <c r="IP119" s="28">
        <f t="shared" si="167"/>
        <v>19.817346787890056</v>
      </c>
      <c r="IQ119" s="33"/>
      <c r="IU119" s="31"/>
      <c r="JC119" s="35">
        <f t="shared" si="111"/>
        <v>0</v>
      </c>
      <c r="JD119" s="35">
        <f t="shared" si="112"/>
        <v>5995.9304200004462</v>
      </c>
      <c r="JE119" s="15" t="e">
        <f t="shared" si="168"/>
        <v>#DIV/0!</v>
      </c>
      <c r="JF119" s="28">
        <f t="shared" si="169"/>
        <v>0</v>
      </c>
      <c r="JG119" s="28">
        <f t="shared" si="170"/>
        <v>0</v>
      </c>
      <c r="JH119" s="33"/>
      <c r="JL119" s="31"/>
      <c r="JR119" s="99"/>
      <c r="JS119" s="99"/>
      <c r="JT119" s="99"/>
      <c r="JU119" s="99"/>
      <c r="JV119" s="99"/>
      <c r="JW119" s="99"/>
      <c r="JX119" s="99"/>
      <c r="JY119" s="99"/>
      <c r="JZ119" s="99"/>
      <c r="KA119" s="99"/>
      <c r="KB119" s="99"/>
      <c r="KC119" s="99"/>
      <c r="KD119" s="99"/>
      <c r="KE119" s="99"/>
      <c r="KF119" s="99"/>
      <c r="KG119" s="99"/>
      <c r="KH119" s="99"/>
      <c r="KI119" s="99"/>
      <c r="KJ119" s="99"/>
      <c r="KK119" s="99"/>
      <c r="KL119" s="99"/>
      <c r="KM119" s="99"/>
      <c r="KN119" s="99"/>
      <c r="KO119" s="99"/>
      <c r="KP119" s="99"/>
      <c r="KQ119" s="99"/>
      <c r="KR119" s="99"/>
      <c r="KS119" s="99"/>
      <c r="KT119" s="99"/>
      <c r="KU119" s="99"/>
      <c r="KV119" s="99"/>
      <c r="KW119" s="99"/>
      <c r="KX119" s="99"/>
      <c r="KY119" s="99"/>
      <c r="KZ119" s="99"/>
      <c r="LA119" s="99"/>
      <c r="LB119" s="99"/>
      <c r="LC119" s="99"/>
      <c r="LD119" s="99"/>
      <c r="LE119" s="99"/>
      <c r="LF119" s="99"/>
      <c r="LG119" s="99"/>
      <c r="LH119" s="99"/>
      <c r="LI119" s="99"/>
      <c r="LJ119" s="99"/>
      <c r="LK119" s="99"/>
      <c r="LL119" s="99"/>
      <c r="LM119" s="99"/>
      <c r="LN119" s="99"/>
      <c r="LO119" s="99"/>
      <c r="LP119" s="99"/>
      <c r="LQ119" s="99"/>
      <c r="LR119" s="99"/>
      <c r="LS119" s="99"/>
      <c r="LT119" s="99"/>
      <c r="LU119" s="99"/>
      <c r="LV119" s="99"/>
      <c r="LW119" s="99"/>
      <c r="LX119" s="99"/>
      <c r="LY119" s="99"/>
      <c r="LZ119" s="99"/>
      <c r="MA119" s="99"/>
      <c r="MB119" s="99"/>
      <c r="MC119" s="99"/>
      <c r="MD119" s="99"/>
      <c r="ME119" s="99"/>
      <c r="MF119" s="99"/>
    </row>
    <row r="120" spans="1:344" ht="17.25" customHeight="1" x14ac:dyDescent="0.25">
      <c r="A120" s="156"/>
      <c r="B120" s="81" t="s">
        <v>5</v>
      </c>
      <c r="C120" s="82">
        <v>45254</v>
      </c>
      <c r="D120" s="49">
        <v>11</v>
      </c>
      <c r="F120" s="103">
        <v>64</v>
      </c>
      <c r="G120" s="89">
        <f t="shared" si="93"/>
        <v>6.08</v>
      </c>
      <c r="H120" s="35">
        <f t="shared" si="94"/>
        <v>389.12</v>
      </c>
      <c r="I120" s="39"/>
      <c r="L120" s="89">
        <f t="shared" si="95"/>
        <v>0</v>
      </c>
      <c r="M120" s="35">
        <f t="shared" si="113"/>
        <v>0</v>
      </c>
      <c r="N120" s="35">
        <f t="shared" si="114"/>
        <v>389.12</v>
      </c>
      <c r="O120" s="97"/>
      <c r="P120" s="150"/>
      <c r="W120" s="11">
        <v>5</v>
      </c>
      <c r="X120" s="1">
        <v>0</v>
      </c>
      <c r="Y120" s="35">
        <f t="shared" si="96"/>
        <v>320</v>
      </c>
      <c r="Z120" s="35">
        <f t="shared" si="115"/>
        <v>0</v>
      </c>
      <c r="AA120" s="15">
        <f t="shared" si="128"/>
        <v>1.0011999404889209</v>
      </c>
      <c r="AB120" s="43">
        <f t="shared" si="173"/>
        <v>464.51826927103764</v>
      </c>
      <c r="AC120" s="43">
        <f t="shared" si="174"/>
        <v>463.96154303025344</v>
      </c>
      <c r="AD120" s="33"/>
      <c r="AH120" s="31"/>
      <c r="AN120" s="11">
        <v>5.5</v>
      </c>
      <c r="AP120" s="35">
        <f t="shared" si="97"/>
        <v>352</v>
      </c>
      <c r="AQ120" s="35">
        <f t="shared" si="116"/>
        <v>0</v>
      </c>
      <c r="AR120" s="15">
        <f t="shared" si="129"/>
        <v>1.1227458557814276</v>
      </c>
      <c r="AS120" s="28">
        <f t="shared" si="130"/>
        <v>611.42509495260072</v>
      </c>
      <c r="AT120" s="28">
        <f t="shared" si="131"/>
        <v>544.58013966753924</v>
      </c>
      <c r="AU120" s="33"/>
      <c r="AY120" s="31"/>
      <c r="BE120" s="86"/>
      <c r="BF120" s="87"/>
      <c r="BG120" s="35">
        <f t="shared" si="98"/>
        <v>0</v>
      </c>
      <c r="BH120" s="35">
        <f t="shared" si="117"/>
        <v>0</v>
      </c>
      <c r="BI120" s="15">
        <f t="shared" si="132"/>
        <v>0.94277069143385706</v>
      </c>
      <c r="BJ120" s="28">
        <f t="shared" si="133"/>
        <v>339.14653091191246</v>
      </c>
      <c r="BK120" s="28">
        <f t="shared" si="134"/>
        <v>359.73385044045602</v>
      </c>
      <c r="BL120" s="33"/>
      <c r="BP120" s="31"/>
      <c r="BV120" s="11">
        <v>3</v>
      </c>
      <c r="BX120" s="35">
        <f t="shared" si="99"/>
        <v>192</v>
      </c>
      <c r="BY120" s="35">
        <f t="shared" si="118"/>
        <v>0</v>
      </c>
      <c r="BZ120" s="15">
        <f t="shared" si="135"/>
        <v>1.0106573972487254</v>
      </c>
      <c r="CA120" s="28">
        <f t="shared" si="136"/>
        <v>479.06476268837497</v>
      </c>
      <c r="CB120" s="28">
        <f t="shared" si="137"/>
        <v>474.01301765812525</v>
      </c>
      <c r="CC120" s="33"/>
      <c r="CG120" s="31"/>
      <c r="CM120" s="11">
        <v>7</v>
      </c>
      <c r="CO120" s="35">
        <f t="shared" si="100"/>
        <v>448</v>
      </c>
      <c r="CP120" s="35">
        <f t="shared" si="119"/>
        <v>0</v>
      </c>
      <c r="CQ120" s="15">
        <f t="shared" si="138"/>
        <v>1.1031623256134764</v>
      </c>
      <c r="CR120" s="28">
        <f t="shared" si="139"/>
        <v>608.89501375812881</v>
      </c>
      <c r="CS120" s="28">
        <f t="shared" si="140"/>
        <v>551.95414094613682</v>
      </c>
      <c r="CT120" s="33"/>
      <c r="CX120" s="31"/>
      <c r="DD120" s="11">
        <v>6.5</v>
      </c>
      <c r="DF120" s="35">
        <f t="shared" si="101"/>
        <v>416</v>
      </c>
      <c r="DG120" s="35">
        <f t="shared" si="120"/>
        <v>0</v>
      </c>
      <c r="DH120" s="15">
        <f t="shared" si="141"/>
        <v>1.0390304083913897</v>
      </c>
      <c r="DI120" s="28">
        <f t="shared" si="142"/>
        <v>462.86335456344665</v>
      </c>
      <c r="DJ120" s="28">
        <f t="shared" si="143"/>
        <v>445.47623517587351</v>
      </c>
      <c r="DK120" s="33"/>
      <c r="DO120" s="31"/>
      <c r="DU120" s="11">
        <v>6.5</v>
      </c>
      <c r="DW120" s="35">
        <f t="shared" si="102"/>
        <v>416</v>
      </c>
      <c r="DX120" s="35">
        <f t="shared" si="121"/>
        <v>0</v>
      </c>
      <c r="DY120" s="15">
        <f t="shared" si="144"/>
        <v>1.0626896502254621</v>
      </c>
      <c r="DZ120" s="28">
        <f t="shared" si="145"/>
        <v>463.12487011003162</v>
      </c>
      <c r="EA120" s="28">
        <f t="shared" si="146"/>
        <v>435.80444206996293</v>
      </c>
      <c r="EB120" s="33"/>
      <c r="EF120" s="31"/>
      <c r="EL120" s="11">
        <v>6</v>
      </c>
      <c r="EN120" s="35">
        <f t="shared" si="103"/>
        <v>384</v>
      </c>
      <c r="EO120" s="35">
        <f t="shared" si="122"/>
        <v>0</v>
      </c>
      <c r="EP120" s="15">
        <f t="shared" si="147"/>
        <v>0.9856260349862731</v>
      </c>
      <c r="EQ120" s="28">
        <f t="shared" si="148"/>
        <v>513.12492192813716</v>
      </c>
      <c r="ER120" s="28">
        <f t="shared" si="149"/>
        <v>520.60812490133083</v>
      </c>
      <c r="ES120" s="33"/>
      <c r="EW120" s="31"/>
      <c r="FC120" s="11">
        <v>7.3</v>
      </c>
      <c r="FE120" s="35">
        <f t="shared" si="104"/>
        <v>467.2</v>
      </c>
      <c r="FF120" s="35">
        <f t="shared" si="123"/>
        <v>0</v>
      </c>
      <c r="FG120" s="15">
        <f t="shared" si="150"/>
        <v>1.0305425712710254</v>
      </c>
      <c r="FH120" s="28">
        <f t="shared" si="151"/>
        <v>582.67626319197007</v>
      </c>
      <c r="FI120" s="28">
        <f t="shared" si="152"/>
        <v>565.40727131080382</v>
      </c>
      <c r="FJ120" s="33"/>
      <c r="FN120" s="31"/>
      <c r="FT120" s="11">
        <v>7</v>
      </c>
      <c r="FV120" s="35">
        <f t="shared" si="105"/>
        <v>448</v>
      </c>
      <c r="FW120" s="35">
        <f t="shared" si="124"/>
        <v>0</v>
      </c>
      <c r="FX120" s="15">
        <f t="shared" si="153"/>
        <v>1.0536829297462666</v>
      </c>
      <c r="FY120" s="28">
        <f t="shared" si="154"/>
        <v>528.55293848652343</v>
      </c>
      <c r="FZ120" s="28">
        <f t="shared" si="155"/>
        <v>501.62427763141443</v>
      </c>
      <c r="GA120" s="33"/>
      <c r="GE120" s="31"/>
      <c r="GK120" s="11">
        <v>7</v>
      </c>
      <c r="GM120" s="35">
        <f t="shared" si="106"/>
        <v>448</v>
      </c>
      <c r="GN120" s="35">
        <f t="shared" si="125"/>
        <v>0</v>
      </c>
      <c r="GO120" s="15">
        <f t="shared" si="156"/>
        <v>1.0588421533949475</v>
      </c>
      <c r="GP120" s="28">
        <f t="shared" si="157"/>
        <v>602.47661945460163</v>
      </c>
      <c r="GQ120" s="28">
        <f t="shared" si="158"/>
        <v>568.99568790578576</v>
      </c>
      <c r="GR120" s="33"/>
      <c r="GV120" s="31"/>
      <c r="HB120" s="11">
        <v>5</v>
      </c>
      <c r="HD120" s="35">
        <f t="shared" si="107"/>
        <v>320</v>
      </c>
      <c r="HE120" s="35">
        <f t="shared" si="126"/>
        <v>0</v>
      </c>
      <c r="HF120" s="15">
        <f t="shared" si="159"/>
        <v>1.2930010393450055</v>
      </c>
      <c r="HG120" s="28">
        <f t="shared" si="160"/>
        <v>337.61276526268324</v>
      </c>
      <c r="HH120" s="28">
        <f t="shared" si="161"/>
        <v>261.10788389907827</v>
      </c>
      <c r="HI120" s="33"/>
      <c r="HM120" s="31"/>
      <c r="HU120" s="35">
        <f t="shared" si="108"/>
        <v>0</v>
      </c>
      <c r="HV120" s="35">
        <f t="shared" si="127"/>
        <v>0</v>
      </c>
      <c r="HW120" s="15">
        <f t="shared" si="162"/>
        <v>8.1527957665381803E-2</v>
      </c>
      <c r="HX120" s="28">
        <f t="shared" si="163"/>
        <v>1.128026721787553</v>
      </c>
      <c r="HY120" s="28">
        <f t="shared" si="164"/>
        <v>13.836072362039959</v>
      </c>
      <c r="HZ120" s="33"/>
      <c r="ID120" s="31"/>
      <c r="II120" s="12"/>
      <c r="IL120" s="35">
        <f t="shared" si="109"/>
        <v>0</v>
      </c>
      <c r="IM120" s="35">
        <f t="shared" si="110"/>
        <v>4481.356111235872</v>
      </c>
      <c r="IN120" s="15">
        <f t="shared" si="165"/>
        <v>2.6056411178467789E-3</v>
      </c>
      <c r="IO120" s="28">
        <f t="shared" si="166"/>
        <v>4.8075728558730629E-2</v>
      </c>
      <c r="IP120" s="28">
        <f t="shared" si="167"/>
        <v>18.450633216311431</v>
      </c>
      <c r="IQ120" s="33"/>
      <c r="IU120" s="31"/>
      <c r="JC120" s="35">
        <f t="shared" si="111"/>
        <v>0</v>
      </c>
      <c r="JD120" s="35">
        <f t="shared" si="112"/>
        <v>5646.6602467400398</v>
      </c>
      <c r="JE120" s="15" t="e">
        <f t="shared" si="168"/>
        <v>#DIV/0!</v>
      </c>
      <c r="JF120" s="28">
        <f t="shared" si="169"/>
        <v>0</v>
      </c>
      <c r="JG120" s="28">
        <f t="shared" si="170"/>
        <v>0</v>
      </c>
      <c r="JH120" s="33"/>
      <c r="JL120" s="31"/>
      <c r="JR120" s="99"/>
      <c r="JS120" s="99"/>
      <c r="JT120" s="99"/>
      <c r="JU120" s="99"/>
      <c r="JV120" s="99"/>
      <c r="JW120" s="99"/>
      <c r="JX120" s="99"/>
      <c r="JY120" s="99"/>
      <c r="JZ120" s="99"/>
      <c r="KA120" s="99"/>
      <c r="KB120" s="99"/>
      <c r="KC120" s="99"/>
      <c r="KD120" s="99"/>
      <c r="KE120" s="99"/>
      <c r="KF120" s="99"/>
      <c r="KG120" s="99"/>
      <c r="KH120" s="99"/>
      <c r="KI120" s="99"/>
      <c r="KJ120" s="99"/>
      <c r="KK120" s="99"/>
      <c r="KL120" s="99"/>
      <c r="KM120" s="99"/>
      <c r="KN120" s="99"/>
      <c r="KO120" s="99"/>
      <c r="KP120" s="99"/>
      <c r="KQ120" s="99"/>
      <c r="KR120" s="99"/>
      <c r="KS120" s="99"/>
      <c r="KT120" s="99"/>
      <c r="KU120" s="99"/>
      <c r="KV120" s="99"/>
      <c r="KW120" s="99"/>
      <c r="KX120" s="99"/>
      <c r="KY120" s="99"/>
      <c r="KZ120" s="99"/>
      <c r="LA120" s="99"/>
      <c r="LB120" s="99"/>
      <c r="LC120" s="99"/>
      <c r="LD120" s="99"/>
      <c r="LE120" s="99"/>
      <c r="LF120" s="99"/>
      <c r="LG120" s="99"/>
      <c r="LH120" s="99"/>
      <c r="LI120" s="99"/>
      <c r="LJ120" s="99"/>
      <c r="LK120" s="99"/>
      <c r="LL120" s="99"/>
      <c r="LM120" s="99"/>
      <c r="LN120" s="99"/>
      <c r="LO120" s="99"/>
      <c r="LP120" s="99"/>
      <c r="LQ120" s="99"/>
      <c r="LR120" s="99"/>
      <c r="LS120" s="99"/>
      <c r="LT120" s="99"/>
      <c r="LU120" s="99"/>
      <c r="LV120" s="99"/>
      <c r="LW120" s="99"/>
      <c r="LX120" s="99"/>
      <c r="LY120" s="99"/>
      <c r="LZ120" s="99"/>
      <c r="MA120" s="99"/>
      <c r="MB120" s="99"/>
      <c r="MC120" s="99"/>
      <c r="MD120" s="99"/>
      <c r="ME120" s="99"/>
      <c r="MF120" s="99"/>
    </row>
    <row r="121" spans="1:344" ht="17.25" customHeight="1" x14ac:dyDescent="0.25">
      <c r="A121" s="156"/>
      <c r="B121" s="90" t="s">
        <v>6</v>
      </c>
      <c r="C121" s="91">
        <v>45255</v>
      </c>
      <c r="D121" s="49"/>
      <c r="G121" s="89">
        <f t="shared" si="93"/>
        <v>0</v>
      </c>
      <c r="H121" s="35">
        <f t="shared" si="94"/>
        <v>0</v>
      </c>
      <c r="I121" s="39">
        <v>10</v>
      </c>
      <c r="K121" s="103">
        <v>100</v>
      </c>
      <c r="L121" s="89">
        <f>AVERAGE(X121,AO121,BF121,BW121,CN121,DE121,DV121,EM121,FD121,FU121,GL121)</f>
        <v>8.14</v>
      </c>
      <c r="M121" s="35">
        <f t="shared" si="113"/>
        <v>814</v>
      </c>
      <c r="N121" s="35">
        <f t="shared" si="114"/>
        <v>814</v>
      </c>
      <c r="O121" s="97"/>
      <c r="P121" s="150"/>
      <c r="W121" s="11">
        <v>0</v>
      </c>
      <c r="X121" s="1">
        <v>8</v>
      </c>
      <c r="Y121" s="35">
        <f t="shared" si="96"/>
        <v>800</v>
      </c>
      <c r="Z121" s="35">
        <f t="shared" si="115"/>
        <v>0</v>
      </c>
      <c r="AA121" s="15">
        <f t="shared" si="128"/>
        <v>1.1257390468914019</v>
      </c>
      <c r="AB121" s="43">
        <f t="shared" si="173"/>
        <v>548.3887019532782</v>
      </c>
      <c r="AC121" s="43">
        <f t="shared" si="174"/>
        <v>487.13660902816696</v>
      </c>
      <c r="AD121" s="33"/>
      <c r="AH121" s="31"/>
      <c r="AO121" s="1">
        <v>8</v>
      </c>
      <c r="AP121" s="35">
        <f t="shared" si="97"/>
        <v>800</v>
      </c>
      <c r="AQ121" s="35">
        <f t="shared" si="116"/>
        <v>0</v>
      </c>
      <c r="AR121" s="15">
        <f t="shared" si="129"/>
        <v>1.1714235575173448</v>
      </c>
      <c r="AS121" s="28">
        <f t="shared" si="130"/>
        <v>658.56882121445051</v>
      </c>
      <c r="AT121" s="28">
        <f t="shared" si="131"/>
        <v>562.19530244908822</v>
      </c>
      <c r="AU121" s="33"/>
      <c r="AY121" s="31"/>
      <c r="BE121" s="86"/>
      <c r="BF121" s="87"/>
      <c r="BG121" s="35">
        <f t="shared" si="98"/>
        <v>0</v>
      </c>
      <c r="BH121" s="35">
        <f t="shared" si="117"/>
        <v>0</v>
      </c>
      <c r="BI121" s="15">
        <f t="shared" si="132"/>
        <v>0.75945416809949595</v>
      </c>
      <c r="BJ121" s="28">
        <f t="shared" si="133"/>
        <v>254.35989818393435</v>
      </c>
      <c r="BK121" s="28">
        <f t="shared" si="134"/>
        <v>334.92461937559699</v>
      </c>
      <c r="BL121" s="33"/>
      <c r="BP121" s="31"/>
      <c r="BW121" s="1">
        <v>8</v>
      </c>
      <c r="BX121" s="35">
        <f t="shared" si="99"/>
        <v>800</v>
      </c>
      <c r="BY121" s="35">
        <f t="shared" si="118"/>
        <v>0</v>
      </c>
      <c r="BZ121" s="15">
        <f t="shared" si="135"/>
        <v>1.1264941416829082</v>
      </c>
      <c r="CA121" s="28">
        <f t="shared" si="136"/>
        <v>559.29857201628124</v>
      </c>
      <c r="CB121" s="28">
        <f t="shared" si="137"/>
        <v>496.49487850928898</v>
      </c>
      <c r="CC121" s="33"/>
      <c r="CG121" s="31"/>
      <c r="CN121" s="1">
        <v>7</v>
      </c>
      <c r="CO121" s="35">
        <f t="shared" si="100"/>
        <v>700</v>
      </c>
      <c r="CP121" s="35">
        <f t="shared" si="119"/>
        <v>0</v>
      </c>
      <c r="CQ121" s="15">
        <f t="shared" si="138"/>
        <v>1.123641918328705</v>
      </c>
      <c r="CR121" s="28">
        <f t="shared" si="139"/>
        <v>631.67126031859664</v>
      </c>
      <c r="CS121" s="28">
        <f t="shared" si="140"/>
        <v>562.16420019123075</v>
      </c>
      <c r="CT121" s="33"/>
      <c r="CX121" s="31"/>
      <c r="DE121" s="1">
        <v>8.9</v>
      </c>
      <c r="DF121" s="35">
        <f t="shared" si="101"/>
        <v>890</v>
      </c>
      <c r="DG121" s="35">
        <f t="shared" si="120"/>
        <v>0</v>
      </c>
      <c r="DH121" s="15">
        <f t="shared" si="141"/>
        <v>1.1964040724719454</v>
      </c>
      <c r="DI121" s="28">
        <f t="shared" si="142"/>
        <v>569.64751592258494</v>
      </c>
      <c r="DJ121" s="28">
        <f t="shared" si="143"/>
        <v>476.13304654305466</v>
      </c>
      <c r="DK121" s="33"/>
      <c r="DO121" s="31"/>
      <c r="DV121" s="1">
        <v>8.5</v>
      </c>
      <c r="DW121" s="35">
        <f t="shared" si="102"/>
        <v>850</v>
      </c>
      <c r="DX121" s="35">
        <f t="shared" si="121"/>
        <v>0</v>
      </c>
      <c r="DY121" s="15">
        <f t="shared" si="144"/>
        <v>1.2055991364033225</v>
      </c>
      <c r="DZ121" s="28">
        <f t="shared" si="145"/>
        <v>559.84365258252365</v>
      </c>
      <c r="EA121" s="28">
        <f t="shared" si="146"/>
        <v>464.36965296168967</v>
      </c>
      <c r="EB121" s="33"/>
      <c r="EF121" s="31"/>
      <c r="EM121" s="1">
        <v>7</v>
      </c>
      <c r="EN121" s="35">
        <f t="shared" si="103"/>
        <v>700</v>
      </c>
      <c r="EO121" s="35">
        <f t="shared" si="122"/>
        <v>0</v>
      </c>
      <c r="EP121" s="15">
        <f t="shared" si="147"/>
        <v>1.0504028559806937</v>
      </c>
      <c r="EQ121" s="28">
        <f t="shared" si="148"/>
        <v>559.84369144610287</v>
      </c>
      <c r="ER121" s="28">
        <f t="shared" si="149"/>
        <v>532.97997835641138</v>
      </c>
      <c r="ES121" s="33"/>
      <c r="EW121" s="31"/>
      <c r="FD121" s="1">
        <v>8</v>
      </c>
      <c r="FE121" s="35">
        <f t="shared" si="104"/>
        <v>800</v>
      </c>
      <c r="FF121" s="35">
        <f t="shared" si="123"/>
        <v>0</v>
      </c>
      <c r="FG121" s="15">
        <f t="shared" si="150"/>
        <v>1.0952930599548389</v>
      </c>
      <c r="FH121" s="28">
        <f t="shared" si="151"/>
        <v>637.00719739397755</v>
      </c>
      <c r="FI121" s="28">
        <f t="shared" si="152"/>
        <v>581.58608018592088</v>
      </c>
      <c r="FJ121" s="33"/>
      <c r="FN121" s="31"/>
      <c r="FU121" s="1">
        <v>8</v>
      </c>
      <c r="FV121" s="35">
        <f t="shared" si="105"/>
        <v>800</v>
      </c>
      <c r="FW121" s="35">
        <f t="shared" si="124"/>
        <v>0</v>
      </c>
      <c r="FX121" s="15">
        <f t="shared" si="153"/>
        <v>1.1421151249492116</v>
      </c>
      <c r="FY121" s="28">
        <f t="shared" si="154"/>
        <v>596.41470386489254</v>
      </c>
      <c r="FZ121" s="28">
        <f t="shared" si="155"/>
        <v>522.20191365683411</v>
      </c>
      <c r="GA121" s="33"/>
      <c r="GE121" s="31"/>
      <c r="GL121" s="1">
        <v>10</v>
      </c>
      <c r="GM121" s="35">
        <f t="shared" si="106"/>
        <v>1000</v>
      </c>
      <c r="GN121" s="35">
        <f t="shared" si="125"/>
        <v>0</v>
      </c>
      <c r="GO121" s="15">
        <f t="shared" si="156"/>
        <v>1.1722630280291622</v>
      </c>
      <c r="GP121" s="28">
        <f t="shared" si="157"/>
        <v>701.85746459095117</v>
      </c>
      <c r="GQ121" s="28">
        <f t="shared" si="158"/>
        <v>598.7201232226281</v>
      </c>
      <c r="GR121" s="33"/>
      <c r="GV121" s="31"/>
      <c r="HD121" s="35">
        <f t="shared" si="107"/>
        <v>0</v>
      </c>
      <c r="HE121" s="35">
        <f t="shared" si="126"/>
        <v>0</v>
      </c>
      <c r="HF121" s="15">
        <f t="shared" si="159"/>
        <v>1.0415841705834765</v>
      </c>
      <c r="HG121" s="28">
        <f t="shared" si="160"/>
        <v>253.20957394701242</v>
      </c>
      <c r="HH121" s="28">
        <f t="shared" si="161"/>
        <v>243.10044363017633</v>
      </c>
      <c r="HI121" s="33"/>
      <c r="HM121" s="31"/>
      <c r="HU121" s="35">
        <f t="shared" si="108"/>
        <v>0</v>
      </c>
      <c r="HV121" s="35">
        <f t="shared" si="127"/>
        <v>0</v>
      </c>
      <c r="HW121" s="15">
        <f t="shared" si="162"/>
        <v>6.567529923044646E-2</v>
      </c>
      <c r="HX121" s="28">
        <f t="shared" si="163"/>
        <v>0.84602004134066477</v>
      </c>
      <c r="HY121" s="28">
        <f t="shared" si="164"/>
        <v>12.881860475002719</v>
      </c>
      <c r="HZ121" s="33"/>
      <c r="ID121" s="31"/>
      <c r="II121" s="12"/>
      <c r="IL121" s="35">
        <f t="shared" si="109"/>
        <v>0</v>
      </c>
      <c r="IM121" s="35">
        <f t="shared" si="110"/>
        <v>5523.0481630366194</v>
      </c>
      <c r="IN121" s="15">
        <f t="shared" si="165"/>
        <v>2.0989886782654607E-3</v>
      </c>
      <c r="IO121" s="28">
        <f t="shared" si="166"/>
        <v>3.6056796419047972E-2</v>
      </c>
      <c r="IP121" s="28">
        <f t="shared" si="167"/>
        <v>17.178175753117539</v>
      </c>
      <c r="IQ121" s="33"/>
      <c r="IU121" s="31"/>
      <c r="JC121" s="35">
        <f t="shared" si="111"/>
        <v>0</v>
      </c>
      <c r="JD121" s="35">
        <f t="shared" si="112"/>
        <v>6040.8769679855268</v>
      </c>
      <c r="JE121" s="15" t="e">
        <f t="shared" si="168"/>
        <v>#DIV/0!</v>
      </c>
      <c r="JF121" s="28">
        <f t="shared" si="169"/>
        <v>0</v>
      </c>
      <c r="JG121" s="28">
        <f t="shared" si="170"/>
        <v>0</v>
      </c>
      <c r="JH121" s="33"/>
      <c r="JL121" s="31"/>
      <c r="JR121" s="99"/>
      <c r="JS121" s="99"/>
      <c r="JT121" s="99"/>
      <c r="JU121" s="99"/>
      <c r="JV121" s="99"/>
      <c r="JW121" s="99"/>
      <c r="JX121" s="99"/>
      <c r="JY121" s="99"/>
      <c r="JZ121" s="99"/>
      <c r="KA121" s="99"/>
      <c r="KB121" s="99"/>
      <c r="KC121" s="99"/>
      <c r="KD121" s="99"/>
      <c r="KE121" s="99"/>
      <c r="KF121" s="99"/>
      <c r="KG121" s="99"/>
      <c r="KH121" s="99"/>
      <c r="KI121" s="99"/>
      <c r="KJ121" s="99"/>
      <c r="KK121" s="99"/>
      <c r="KL121" s="99"/>
      <c r="KM121" s="99"/>
      <c r="KN121" s="99"/>
      <c r="KO121" s="99"/>
      <c r="KP121" s="99"/>
      <c r="KQ121" s="99"/>
      <c r="KR121" s="99"/>
      <c r="KS121" s="99"/>
      <c r="KT121" s="99"/>
      <c r="KU121" s="99"/>
      <c r="KV121" s="99"/>
      <c r="KW121" s="99"/>
      <c r="KX121" s="99"/>
      <c r="KY121" s="99"/>
      <c r="KZ121" s="99"/>
      <c r="LA121" s="99"/>
      <c r="LB121" s="99"/>
      <c r="LC121" s="99"/>
      <c r="LD121" s="99"/>
      <c r="LE121" s="99"/>
      <c r="LF121" s="99"/>
      <c r="LG121" s="99"/>
      <c r="LH121" s="99"/>
      <c r="LI121" s="99"/>
      <c r="LJ121" s="99"/>
      <c r="LK121" s="99"/>
      <c r="LL121" s="99"/>
      <c r="LM121" s="99"/>
      <c r="LN121" s="99"/>
      <c r="LO121" s="99"/>
      <c r="LP121" s="99"/>
      <c r="LQ121" s="99"/>
      <c r="LR121" s="99"/>
      <c r="LS121" s="99"/>
      <c r="LT121" s="99"/>
      <c r="LU121" s="99"/>
      <c r="LV121" s="99"/>
      <c r="LW121" s="99"/>
      <c r="LX121" s="99"/>
      <c r="LY121" s="99"/>
      <c r="LZ121" s="99"/>
      <c r="MA121" s="99"/>
      <c r="MB121" s="99"/>
      <c r="MC121" s="99"/>
      <c r="MD121" s="99"/>
      <c r="ME121" s="99"/>
      <c r="MF121" s="99"/>
    </row>
    <row r="122" spans="1:344" ht="17.25" customHeight="1" x14ac:dyDescent="0.25">
      <c r="A122" s="157"/>
      <c r="B122" s="83" t="s">
        <v>7</v>
      </c>
      <c r="C122" s="84">
        <v>45256</v>
      </c>
      <c r="D122" s="51"/>
      <c r="E122" s="48"/>
      <c r="F122" s="104"/>
      <c r="G122" s="37">
        <f t="shared" si="93"/>
        <v>0</v>
      </c>
      <c r="H122" s="26">
        <f t="shared" si="94"/>
        <v>0</v>
      </c>
      <c r="I122" s="48"/>
      <c r="J122" s="48"/>
      <c r="K122" s="104"/>
      <c r="L122" s="37">
        <f t="shared" si="95"/>
        <v>0</v>
      </c>
      <c r="M122" s="26">
        <f t="shared" si="113"/>
        <v>0</v>
      </c>
      <c r="N122" s="26">
        <f t="shared" si="114"/>
        <v>0</v>
      </c>
      <c r="O122" s="98"/>
      <c r="P122" s="151"/>
      <c r="Q122" s="125"/>
      <c r="R122" s="115"/>
      <c r="S122" s="130"/>
      <c r="T122" s="110"/>
      <c r="U122" s="120"/>
      <c r="V122" s="23"/>
      <c r="W122" s="13">
        <v>0</v>
      </c>
      <c r="X122" s="2">
        <v>0</v>
      </c>
      <c r="Y122" s="26">
        <f t="shared" si="96"/>
        <v>0</v>
      </c>
      <c r="Z122" s="26">
        <f t="shared" si="115"/>
        <v>0</v>
      </c>
      <c r="AA122" s="16">
        <f t="shared" si="128"/>
        <v>0.90684534332918498</v>
      </c>
      <c r="AB122" s="44">
        <f t="shared" si="173"/>
        <v>411.29152646495868</v>
      </c>
      <c r="AC122" s="44">
        <f t="shared" si="174"/>
        <v>453.54098081932784</v>
      </c>
      <c r="AD122" s="34"/>
      <c r="AE122" s="4"/>
      <c r="AF122" s="5"/>
      <c r="AG122" s="6"/>
      <c r="AH122" s="32"/>
      <c r="AI122" s="3"/>
      <c r="AJ122" s="4"/>
      <c r="AK122" s="5"/>
      <c r="AL122" s="6"/>
      <c r="AM122" s="14"/>
      <c r="AN122" s="13"/>
      <c r="AO122" s="2"/>
      <c r="AP122" s="26">
        <f t="shared" si="97"/>
        <v>0</v>
      </c>
      <c r="AQ122" s="26">
        <f t="shared" si="116"/>
        <v>0</v>
      </c>
      <c r="AR122" s="16">
        <f t="shared" si="129"/>
        <v>0.94364675466674985</v>
      </c>
      <c r="AS122" s="29">
        <f t="shared" si="130"/>
        <v>493.92661591083788</v>
      </c>
      <c r="AT122" s="29">
        <f t="shared" si="131"/>
        <v>523.42321262501321</v>
      </c>
      <c r="AU122" s="34"/>
      <c r="AV122" s="4"/>
      <c r="AW122" s="5"/>
      <c r="AX122" s="6"/>
      <c r="AY122" s="32"/>
      <c r="AZ122" s="3"/>
      <c r="BA122" s="4"/>
      <c r="BB122" s="5"/>
      <c r="BC122" s="6"/>
      <c r="BD122" s="14"/>
      <c r="BE122" s="95"/>
      <c r="BF122" s="96"/>
      <c r="BG122" s="26">
        <f t="shared" si="98"/>
        <v>0</v>
      </c>
      <c r="BH122" s="26">
        <f t="shared" si="117"/>
        <v>0</v>
      </c>
      <c r="BI122" s="16">
        <f t="shared" si="132"/>
        <v>0.61178252430237179</v>
      </c>
      <c r="BJ122" s="29">
        <f t="shared" si="133"/>
        <v>190.76992363795077</v>
      </c>
      <c r="BK122" s="29">
        <f t="shared" si="134"/>
        <v>311.82636976348687</v>
      </c>
      <c r="BL122" s="34"/>
      <c r="BM122" s="4"/>
      <c r="BN122" s="5"/>
      <c r="BO122" s="6"/>
      <c r="BP122" s="32"/>
      <c r="BQ122" s="3"/>
      <c r="BR122" s="4"/>
      <c r="BS122" s="5"/>
      <c r="BT122" s="6"/>
      <c r="BU122" s="14"/>
      <c r="BV122" s="13"/>
      <c r="BW122" s="2"/>
      <c r="BX122" s="26">
        <f t="shared" si="99"/>
        <v>0</v>
      </c>
      <c r="BY122" s="26">
        <f t="shared" si="118"/>
        <v>0</v>
      </c>
      <c r="BZ122" s="16">
        <f t="shared" si="135"/>
        <v>0.90745361413345382</v>
      </c>
      <c r="CA122" s="29">
        <f t="shared" si="136"/>
        <v>419.47392901221093</v>
      </c>
      <c r="CB122" s="29">
        <f t="shared" si="137"/>
        <v>462.25385240520006</v>
      </c>
      <c r="CC122" s="34"/>
      <c r="CD122" s="4"/>
      <c r="CE122" s="5"/>
      <c r="CF122" s="6"/>
      <c r="CG122" s="32"/>
      <c r="CH122" s="3"/>
      <c r="CI122" s="4"/>
      <c r="CJ122" s="5"/>
      <c r="CK122" s="6"/>
      <c r="CL122" s="14"/>
      <c r="CM122" s="13"/>
      <c r="CN122" s="2"/>
      <c r="CO122" s="26">
        <f t="shared" si="100"/>
        <v>0</v>
      </c>
      <c r="CP122" s="26">
        <f t="shared" si="119"/>
        <v>0</v>
      </c>
      <c r="CQ122" s="16">
        <f t="shared" si="138"/>
        <v>0.90515598976479017</v>
      </c>
      <c r="CR122" s="29">
        <f t="shared" si="139"/>
        <v>473.75344523894751</v>
      </c>
      <c r="CS122" s="29">
        <f t="shared" si="140"/>
        <v>523.39425535045621</v>
      </c>
      <c r="CT122" s="34"/>
      <c r="CU122" s="4"/>
      <c r="CV122" s="5"/>
      <c r="CW122" s="6"/>
      <c r="CX122" s="32"/>
      <c r="CY122" s="3"/>
      <c r="CZ122" s="4"/>
      <c r="DA122" s="5"/>
      <c r="DB122" s="6"/>
      <c r="DC122" s="14"/>
      <c r="DD122" s="13"/>
      <c r="DE122" s="2"/>
      <c r="DF122" s="26">
        <f t="shared" si="101"/>
        <v>0</v>
      </c>
      <c r="DG122" s="26">
        <f t="shared" si="120"/>
        <v>0</v>
      </c>
      <c r="DH122" s="16">
        <f t="shared" si="141"/>
        <v>0.96376994726906728</v>
      </c>
      <c r="DI122" s="29">
        <f t="shared" si="142"/>
        <v>427.23563694193871</v>
      </c>
      <c r="DJ122" s="29">
        <f t="shared" si="143"/>
        <v>443.29628471249913</v>
      </c>
      <c r="DK122" s="34"/>
      <c r="DL122" s="4"/>
      <c r="DM122" s="5"/>
      <c r="DN122" s="6"/>
      <c r="DO122" s="32"/>
      <c r="DP122" s="3"/>
      <c r="DQ122" s="4"/>
      <c r="DR122" s="5"/>
      <c r="DS122" s="6"/>
      <c r="DT122" s="14"/>
      <c r="DU122" s="13"/>
      <c r="DV122" s="2"/>
      <c r="DW122" s="26">
        <f t="shared" si="102"/>
        <v>0</v>
      </c>
      <c r="DX122" s="26">
        <f t="shared" si="121"/>
        <v>0</v>
      </c>
      <c r="DY122" s="16">
        <f t="shared" si="144"/>
        <v>0.9711770821026765</v>
      </c>
      <c r="DZ122" s="29">
        <f t="shared" si="145"/>
        <v>419.88273943689273</v>
      </c>
      <c r="EA122" s="29">
        <f t="shared" si="146"/>
        <v>432.34415965398694</v>
      </c>
      <c r="EB122" s="34"/>
      <c r="EC122" s="4"/>
      <c r="ED122" s="5"/>
      <c r="EE122" s="6"/>
      <c r="EF122" s="32"/>
      <c r="EG122" s="3"/>
      <c r="EH122" s="4"/>
      <c r="EI122" s="5"/>
      <c r="EJ122" s="6"/>
      <c r="EK122" s="14"/>
      <c r="EL122" s="13"/>
      <c r="EM122" s="2"/>
      <c r="EN122" s="26">
        <f t="shared" si="103"/>
        <v>0</v>
      </c>
      <c r="EO122" s="26">
        <f t="shared" si="122"/>
        <v>0</v>
      </c>
      <c r="EP122" s="16">
        <f t="shared" si="147"/>
        <v>0.84615785620667006</v>
      </c>
      <c r="EQ122" s="29">
        <f t="shared" si="148"/>
        <v>419.88276858457715</v>
      </c>
      <c r="ER122" s="29">
        <f t="shared" si="149"/>
        <v>496.22273846976231</v>
      </c>
      <c r="ES122" s="34"/>
      <c r="ET122" s="4"/>
      <c r="EU122" s="5"/>
      <c r="EV122" s="6"/>
      <c r="EW122" s="32"/>
      <c r="EX122" s="3"/>
      <c r="EY122" s="4"/>
      <c r="EZ122" s="5"/>
      <c r="FA122" s="6"/>
      <c r="FB122" s="14"/>
      <c r="FC122" s="13"/>
      <c r="FD122" s="2"/>
      <c r="FE122" s="26">
        <f t="shared" si="104"/>
        <v>0</v>
      </c>
      <c r="FF122" s="26">
        <f t="shared" si="123"/>
        <v>0</v>
      </c>
      <c r="FG122" s="16">
        <f t="shared" si="150"/>
        <v>0.88231940940806464</v>
      </c>
      <c r="FH122" s="29">
        <f t="shared" si="151"/>
        <v>477.75539804548316</v>
      </c>
      <c r="FI122" s="29">
        <f t="shared" si="152"/>
        <v>541.47669534551255</v>
      </c>
      <c r="FJ122" s="34"/>
      <c r="FK122" s="4"/>
      <c r="FL122" s="5"/>
      <c r="FM122" s="6"/>
      <c r="FN122" s="32"/>
      <c r="FO122" s="3"/>
      <c r="FP122" s="4"/>
      <c r="FQ122" s="5"/>
      <c r="FR122" s="6"/>
      <c r="FS122" s="14"/>
      <c r="FT122" s="13"/>
      <c r="FU122" s="2"/>
      <c r="FV122" s="26">
        <f t="shared" si="105"/>
        <v>0</v>
      </c>
      <c r="FW122" s="26">
        <f t="shared" si="124"/>
        <v>0</v>
      </c>
      <c r="FX122" s="16">
        <f t="shared" si="153"/>
        <v>0.92003718398686507</v>
      </c>
      <c r="FY122" s="29">
        <f t="shared" si="154"/>
        <v>447.31102789866941</v>
      </c>
      <c r="FZ122" s="29">
        <f t="shared" si="155"/>
        <v>486.18798857705241</v>
      </c>
      <c r="GA122" s="34"/>
      <c r="GB122" s="4"/>
      <c r="GC122" s="5"/>
      <c r="GD122" s="6"/>
      <c r="GE122" s="32"/>
      <c r="GF122" s="3"/>
      <c r="GG122" s="4"/>
      <c r="GH122" s="5"/>
      <c r="GI122" s="6"/>
      <c r="GJ122" s="14"/>
      <c r="GK122" s="13"/>
      <c r="GL122" s="2"/>
      <c r="GM122" s="26">
        <f t="shared" si="106"/>
        <v>0</v>
      </c>
      <c r="GN122" s="26">
        <f t="shared" si="125"/>
        <v>0</v>
      </c>
      <c r="GO122" s="16">
        <f t="shared" si="156"/>
        <v>0.94432299480126958</v>
      </c>
      <c r="GP122" s="29">
        <f t="shared" si="157"/>
        <v>526.39309844321338</v>
      </c>
      <c r="GQ122" s="29">
        <f t="shared" si="158"/>
        <v>557.42908024175722</v>
      </c>
      <c r="GR122" s="34"/>
      <c r="GS122" s="4"/>
      <c r="GT122" s="5"/>
      <c r="GU122" s="6"/>
      <c r="GV122" s="32"/>
      <c r="GW122" s="3"/>
      <c r="GX122" s="4"/>
      <c r="GY122" s="5"/>
      <c r="GZ122" s="6"/>
      <c r="HA122" s="14"/>
      <c r="HB122" s="13"/>
      <c r="HC122" s="2"/>
      <c r="HD122" s="26">
        <f t="shared" si="107"/>
        <v>0</v>
      </c>
      <c r="HE122" s="26">
        <f t="shared" si="126"/>
        <v>0</v>
      </c>
      <c r="HF122" s="16">
        <f t="shared" si="159"/>
        <v>0.83905391519224504</v>
      </c>
      <c r="HG122" s="29">
        <f t="shared" si="160"/>
        <v>189.90718046025933</v>
      </c>
      <c r="HH122" s="29">
        <f t="shared" si="161"/>
        <v>226.33489579361245</v>
      </c>
      <c r="HI122" s="34"/>
      <c r="HJ122" s="4"/>
      <c r="HK122" s="5"/>
      <c r="HL122" s="6"/>
      <c r="HM122" s="32"/>
      <c r="HN122" s="3"/>
      <c r="HO122" s="4"/>
      <c r="HP122" s="5"/>
      <c r="HQ122" s="6"/>
      <c r="HR122" s="14"/>
      <c r="HS122" s="13"/>
      <c r="HT122" s="2"/>
      <c r="HU122" s="26">
        <f t="shared" si="108"/>
        <v>0</v>
      </c>
      <c r="HV122" s="26">
        <f t="shared" si="127"/>
        <v>0</v>
      </c>
      <c r="HW122" s="16">
        <f t="shared" si="162"/>
        <v>5.2905102157859644E-2</v>
      </c>
      <c r="HX122" s="29">
        <f t="shared" si="163"/>
        <v>0.63451503100549855</v>
      </c>
      <c r="HY122" s="29">
        <f t="shared" si="164"/>
        <v>11.993456304312877</v>
      </c>
      <c r="HZ122" s="34"/>
      <c r="IA122" s="4"/>
      <c r="IB122" s="5"/>
      <c r="IC122" s="6"/>
      <c r="ID122" s="32"/>
      <c r="IE122" s="3"/>
      <c r="IF122" s="4"/>
      <c r="IG122" s="5"/>
      <c r="IH122" s="6"/>
      <c r="II122" s="14"/>
      <c r="IJ122" s="13"/>
      <c r="IK122" s="2"/>
      <c r="IL122" s="26">
        <f t="shared" si="109"/>
        <v>0</v>
      </c>
      <c r="IM122" s="26">
        <f t="shared" si="110"/>
        <v>3991.8873389172445</v>
      </c>
      <c r="IN122" s="16">
        <f t="shared" si="165"/>
        <v>1.6908519908249546E-3</v>
      </c>
      <c r="IO122" s="29">
        <f t="shared" si="166"/>
        <v>2.7042597314285981E-2</v>
      </c>
      <c r="IP122" s="29">
        <f t="shared" si="167"/>
        <v>15.993473977040468</v>
      </c>
      <c r="IQ122" s="34"/>
      <c r="IR122" s="4"/>
      <c r="IS122" s="5"/>
      <c r="IT122" s="6"/>
      <c r="IU122" s="32"/>
      <c r="IV122" s="3"/>
      <c r="IW122" s="4"/>
      <c r="IX122" s="5"/>
      <c r="IY122" s="6"/>
      <c r="IZ122" s="14"/>
      <c r="JA122" s="13"/>
      <c r="JB122" s="2"/>
      <c r="JC122" s="26">
        <f t="shared" si="111"/>
        <v>0</v>
      </c>
      <c r="JD122" s="26">
        <f t="shared" si="112"/>
        <v>4514.7005256773655</v>
      </c>
      <c r="JE122" s="16" t="e">
        <f t="shared" si="168"/>
        <v>#DIV/0!</v>
      </c>
      <c r="JF122" s="29">
        <f t="shared" si="169"/>
        <v>0</v>
      </c>
      <c r="JG122" s="29">
        <f t="shared" si="170"/>
        <v>0</v>
      </c>
      <c r="JH122" s="34"/>
      <c r="JI122" s="4"/>
      <c r="JJ122" s="5"/>
      <c r="JK122" s="6"/>
      <c r="JL122" s="32"/>
      <c r="JM122" s="3"/>
      <c r="JN122" s="4"/>
      <c r="JO122" s="5"/>
      <c r="JP122" s="6"/>
      <c r="JQ122" s="14"/>
      <c r="JR122" s="99"/>
      <c r="JS122" s="99"/>
      <c r="JT122" s="99"/>
      <c r="JU122" s="99"/>
      <c r="JV122" s="99"/>
      <c r="JW122" s="99"/>
      <c r="JX122" s="99"/>
      <c r="JY122" s="99"/>
      <c r="JZ122" s="99"/>
      <c r="KA122" s="99"/>
      <c r="KB122" s="99"/>
      <c r="KC122" s="99"/>
      <c r="KD122" s="99"/>
      <c r="KE122" s="99"/>
      <c r="KF122" s="99"/>
      <c r="KG122" s="99"/>
      <c r="KH122" s="99"/>
      <c r="KI122" s="99"/>
      <c r="KJ122" s="99"/>
      <c r="KK122" s="99"/>
      <c r="KL122" s="99"/>
      <c r="KM122" s="99"/>
      <c r="KN122" s="99"/>
      <c r="KO122" s="99"/>
      <c r="KP122" s="99"/>
      <c r="KQ122" s="99"/>
      <c r="KR122" s="99"/>
      <c r="KS122" s="99"/>
      <c r="KT122" s="99"/>
      <c r="KU122" s="99"/>
      <c r="KV122" s="99"/>
      <c r="KW122" s="99"/>
      <c r="KX122" s="99"/>
      <c r="KY122" s="99"/>
      <c r="KZ122" s="99"/>
      <c r="LA122" s="99"/>
      <c r="LB122" s="99"/>
      <c r="LC122" s="99"/>
      <c r="LD122" s="99"/>
      <c r="LE122" s="99"/>
      <c r="LF122" s="99"/>
      <c r="LG122" s="99"/>
      <c r="LH122" s="99"/>
      <c r="LI122" s="99"/>
      <c r="LJ122" s="99"/>
      <c r="LK122" s="99"/>
      <c r="LL122" s="99"/>
      <c r="LM122" s="99"/>
      <c r="LN122" s="99"/>
      <c r="LO122" s="99"/>
      <c r="LP122" s="99"/>
      <c r="LQ122" s="99"/>
      <c r="LR122" s="99"/>
      <c r="LS122" s="99"/>
      <c r="LT122" s="99"/>
      <c r="LU122" s="99"/>
      <c r="LV122" s="99"/>
      <c r="LW122" s="99"/>
      <c r="LX122" s="99"/>
      <c r="LY122" s="99"/>
      <c r="LZ122" s="99"/>
      <c r="MA122" s="99"/>
      <c r="MB122" s="99"/>
      <c r="MC122" s="99"/>
      <c r="MD122" s="99"/>
      <c r="ME122" s="99"/>
      <c r="MF122" s="99"/>
    </row>
    <row r="123" spans="1:344" ht="17.25" customHeight="1" x14ac:dyDescent="0.25">
      <c r="A123" s="155" t="s">
        <v>23</v>
      </c>
      <c r="B123" s="79" t="s">
        <v>1</v>
      </c>
      <c r="C123" s="80">
        <v>45257</v>
      </c>
      <c r="D123" s="50"/>
      <c r="G123" s="36">
        <f t="shared" si="93"/>
        <v>0</v>
      </c>
      <c r="H123" s="27">
        <f>F123*G123</f>
        <v>0</v>
      </c>
      <c r="I123" s="47">
        <v>12</v>
      </c>
      <c r="K123" s="105">
        <v>71</v>
      </c>
      <c r="L123" s="89">
        <f t="shared" si="95"/>
        <v>6.7200000000000006</v>
      </c>
      <c r="M123" s="27">
        <f t="shared" si="113"/>
        <v>477.12000000000006</v>
      </c>
      <c r="N123" s="35">
        <f t="shared" si="114"/>
        <v>477.12000000000006</v>
      </c>
      <c r="O123" s="97"/>
      <c r="P123" s="149">
        <f t="shared" ref="P123" si="179">SUM(N123:N129)</f>
        <v>3952.2650000000003</v>
      </c>
      <c r="W123" s="11">
        <v>0</v>
      </c>
      <c r="X123" s="1">
        <v>7.5</v>
      </c>
      <c r="Y123" s="27">
        <f t="shared" si="96"/>
        <v>532.5</v>
      </c>
      <c r="Z123" s="27">
        <f t="shared" si="115"/>
        <v>0</v>
      </c>
      <c r="AA123" s="15">
        <f t="shared" si="128"/>
        <v>0.96210610071100267</v>
      </c>
      <c r="AB123" s="43">
        <f t="shared" si="173"/>
        <v>441.59364484871901</v>
      </c>
      <c r="AC123" s="43">
        <f t="shared" si="174"/>
        <v>458.98643041799488</v>
      </c>
      <c r="AD123" s="33"/>
      <c r="AH123" s="31"/>
      <c r="AO123" s="1">
        <v>9.1999999999999993</v>
      </c>
      <c r="AP123" s="27">
        <f>(AN123*$F123)+AO123*$K123</f>
        <v>653.19999999999993</v>
      </c>
      <c r="AQ123" s="27">
        <f t="shared" si="116"/>
        <v>0</v>
      </c>
      <c r="AR123" s="15">
        <f t="shared" si="129"/>
        <v>1.002576436399798</v>
      </c>
      <c r="AS123" s="28">
        <f t="shared" si="130"/>
        <v>533.74496193312837</v>
      </c>
      <c r="AT123" s="28">
        <f t="shared" si="131"/>
        <v>532.37333589225364</v>
      </c>
      <c r="AU123" s="33"/>
      <c r="AY123" s="31"/>
      <c r="BE123" s="86"/>
      <c r="BF123" s="87"/>
      <c r="BG123" s="27">
        <f>(BE123*$F123)+BF123*$K123</f>
        <v>0</v>
      </c>
      <c r="BH123" s="27">
        <f t="shared" si="117"/>
        <v>0</v>
      </c>
      <c r="BI123" s="15">
        <f t="shared" si="132"/>
        <v>0.49282481124357724</v>
      </c>
      <c r="BJ123" s="28">
        <f t="shared" si="133"/>
        <v>143.07744272846307</v>
      </c>
      <c r="BK123" s="28">
        <f t="shared" si="134"/>
        <v>290.3211028832464</v>
      </c>
      <c r="BL123" s="33"/>
      <c r="BP123" s="31"/>
      <c r="BW123" s="1">
        <v>6</v>
      </c>
      <c r="BX123" s="27">
        <f>(BV123*$F123)+BW123*$K123</f>
        <v>426</v>
      </c>
      <c r="BY123" s="27">
        <f t="shared" si="118"/>
        <v>0</v>
      </c>
      <c r="BZ123" s="15">
        <f t="shared" si="135"/>
        <v>0.91593727361982047</v>
      </c>
      <c r="CA123" s="28">
        <f t="shared" si="136"/>
        <v>421.10544675915821</v>
      </c>
      <c r="CB123" s="28">
        <f t="shared" si="137"/>
        <v>459.75358672208279</v>
      </c>
      <c r="CC123" s="33"/>
      <c r="CG123" s="31"/>
      <c r="CN123" s="1">
        <v>6.5</v>
      </c>
      <c r="CO123" s="27">
        <f>(CM123*$F123)+CN123*$K123</f>
        <v>461.5</v>
      </c>
      <c r="CP123" s="27">
        <f t="shared" si="119"/>
        <v>0</v>
      </c>
      <c r="CQ123" s="15">
        <f t="shared" si="138"/>
        <v>0.90669773545891563</v>
      </c>
      <c r="CR123" s="28">
        <f t="shared" si="139"/>
        <v>470.69008392921063</v>
      </c>
      <c r="CS123" s="28">
        <f t="shared" si="140"/>
        <v>519.12568601594194</v>
      </c>
      <c r="CT123" s="33"/>
      <c r="CX123" s="31"/>
      <c r="DE123" s="1">
        <v>5</v>
      </c>
      <c r="DF123" s="27">
        <f>(DD123*$F123)+DE123*$K123</f>
        <v>355</v>
      </c>
      <c r="DG123" s="27">
        <f t="shared" si="120"/>
        <v>0</v>
      </c>
      <c r="DH123" s="15">
        <f t="shared" si="141"/>
        <v>0.93588811390471605</v>
      </c>
      <c r="DI123" s="28">
        <f t="shared" si="142"/>
        <v>409.17672770645402</v>
      </c>
      <c r="DJ123" s="28">
        <f t="shared" si="143"/>
        <v>437.20688576680953</v>
      </c>
      <c r="DK123" s="33"/>
      <c r="DO123" s="31"/>
      <c r="DV123" s="1">
        <v>5.5</v>
      </c>
      <c r="DW123" s="27">
        <f>(DU123*$F123)+DV123*$K123</f>
        <v>390.5</v>
      </c>
      <c r="DX123" s="27">
        <f t="shared" si="121"/>
        <v>0</v>
      </c>
      <c r="DY123" s="15">
        <f t="shared" si="144"/>
        <v>0.96059850566657234</v>
      </c>
      <c r="DZ123" s="28">
        <f t="shared" si="145"/>
        <v>412.53705457766955</v>
      </c>
      <c r="EA123" s="28">
        <f t="shared" si="146"/>
        <v>429.45835553991884</v>
      </c>
      <c r="EB123" s="33"/>
      <c r="EF123" s="31"/>
      <c r="EM123" s="1">
        <v>6</v>
      </c>
      <c r="EN123" s="27">
        <f>(EL123*$F123)+EM123*$K123</f>
        <v>426</v>
      </c>
      <c r="EO123" s="27">
        <f t="shared" si="122"/>
        <v>0</v>
      </c>
      <c r="EP123" s="15">
        <f t="shared" si="147"/>
        <v>0.85760970265012437</v>
      </c>
      <c r="EQ123" s="28">
        <f t="shared" si="148"/>
        <v>421.41207643843285</v>
      </c>
      <c r="ER123" s="28">
        <f t="shared" si="149"/>
        <v>491.37979098908897</v>
      </c>
      <c r="ES123" s="33"/>
      <c r="EW123" s="31"/>
      <c r="FD123" s="1">
        <v>8</v>
      </c>
      <c r="FE123" s="27">
        <f>(FC123*$F123)+FD123*$K123</f>
        <v>568</v>
      </c>
      <c r="FF123" s="27">
        <f t="shared" si="123"/>
        <v>0</v>
      </c>
      <c r="FG123" s="15">
        <f t="shared" si="150"/>
        <v>0.92087451815923593</v>
      </c>
      <c r="FH123" s="28">
        <f t="shared" si="151"/>
        <v>500.31654853411237</v>
      </c>
      <c r="FI123" s="28">
        <f t="shared" si="152"/>
        <v>543.30588876996001</v>
      </c>
      <c r="FJ123" s="33"/>
      <c r="FN123" s="31"/>
      <c r="FU123" s="1">
        <v>6</v>
      </c>
      <c r="FV123" s="27">
        <f>(FT123*$F123)+FU123*$K123</f>
        <v>426</v>
      </c>
      <c r="FW123" s="27">
        <f t="shared" si="124"/>
        <v>0</v>
      </c>
      <c r="FX123" s="15">
        <f t="shared" si="153"/>
        <v>0.91690717895719231</v>
      </c>
      <c r="FY123" s="28">
        <f t="shared" si="154"/>
        <v>441.98327092400206</v>
      </c>
      <c r="FZ123" s="28">
        <f t="shared" si="155"/>
        <v>482.03709281311774</v>
      </c>
      <c r="GA123" s="33"/>
      <c r="GE123" s="31"/>
      <c r="GL123" s="1">
        <v>7.5</v>
      </c>
      <c r="GM123" s="27">
        <f>(GK123*$F123)+GL123*$K123</f>
        <v>532.5</v>
      </c>
      <c r="GN123" s="27">
        <f t="shared" si="125"/>
        <v>0</v>
      </c>
      <c r="GO123" s="15">
        <f t="shared" si="156"/>
        <v>0.94999187016420261</v>
      </c>
      <c r="GP123" s="28">
        <f t="shared" si="157"/>
        <v>527.91982383240997</v>
      </c>
      <c r="GQ123" s="28">
        <f t="shared" si="158"/>
        <v>555.70983332853257</v>
      </c>
      <c r="GR123" s="33"/>
      <c r="GV123" s="31"/>
      <c r="HD123" s="27">
        <f>(HB123*$F123)+HC123*$K123</f>
        <v>0</v>
      </c>
      <c r="HE123" s="27">
        <f t="shared" si="126"/>
        <v>0</v>
      </c>
      <c r="HF123" s="15">
        <f t="shared" si="159"/>
        <v>0.67590454279375312</v>
      </c>
      <c r="HG123" s="28">
        <f t="shared" si="160"/>
        <v>142.43038534519451</v>
      </c>
      <c r="HH123" s="28">
        <f t="shared" si="161"/>
        <v>210.72559263543226</v>
      </c>
      <c r="HI123" s="33"/>
      <c r="HM123" s="31"/>
      <c r="HU123" s="27">
        <f>(HS123*$F123)+HT123*$K123</f>
        <v>0</v>
      </c>
      <c r="HV123" s="27">
        <f t="shared" si="127"/>
        <v>0</v>
      </c>
      <c r="HW123" s="15">
        <f t="shared" si="162"/>
        <v>4.2617998960498046E-2</v>
      </c>
      <c r="HX123" s="28">
        <f t="shared" si="163"/>
        <v>0.47588627325412391</v>
      </c>
      <c r="HY123" s="28">
        <f t="shared" si="164"/>
        <v>11.166321386774058</v>
      </c>
      <c r="HZ123" s="33"/>
      <c r="ID123" s="31"/>
      <c r="II123" s="12"/>
      <c r="IL123" s="27">
        <f>(IJ123*$F123)+IK123*$K123</f>
        <v>0</v>
      </c>
      <c r="IM123" s="27">
        <f t="shared" si="110"/>
        <v>4411.9375324679058</v>
      </c>
      <c r="IN123" s="15">
        <f t="shared" si="165"/>
        <v>1.3620752148312135E-3</v>
      </c>
      <c r="IO123" s="28">
        <f t="shared" si="166"/>
        <v>2.0281947985714484E-2</v>
      </c>
      <c r="IP123" s="28">
        <f t="shared" si="167"/>
        <v>14.890475771727331</v>
      </c>
      <c r="IQ123" s="33"/>
      <c r="IU123" s="31"/>
      <c r="JC123" s="27">
        <f>(JA123*$F123)+JB123*$K123</f>
        <v>0</v>
      </c>
      <c r="JD123" s="27">
        <f t="shared" si="112"/>
        <v>4942.6088590029285</v>
      </c>
      <c r="JE123" s="15" t="e">
        <f t="shared" si="168"/>
        <v>#DIV/0!</v>
      </c>
      <c r="JF123" s="28">
        <f t="shared" si="169"/>
        <v>0</v>
      </c>
      <c r="JG123" s="28">
        <f t="shared" si="170"/>
        <v>0</v>
      </c>
      <c r="JH123" s="33"/>
      <c r="JL123" s="31"/>
      <c r="JR123" s="99"/>
      <c r="JS123" s="99"/>
      <c r="JT123" s="99"/>
      <c r="JU123" s="99"/>
      <c r="JV123" s="99"/>
      <c r="JW123" s="99"/>
      <c r="JX123" s="99"/>
      <c r="JY123" s="99"/>
      <c r="JZ123" s="99"/>
      <c r="KA123" s="99"/>
      <c r="KB123" s="99"/>
      <c r="KC123" s="99"/>
      <c r="KD123" s="99"/>
      <c r="KE123" s="99"/>
      <c r="KF123" s="99"/>
      <c r="KG123" s="99"/>
      <c r="KH123" s="99"/>
      <c r="KI123" s="99"/>
      <c r="KJ123" s="99"/>
      <c r="KK123" s="99"/>
      <c r="KL123" s="99"/>
      <c r="KM123" s="99"/>
      <c r="KN123" s="99"/>
      <c r="KO123" s="99"/>
      <c r="KP123" s="99"/>
      <c r="KQ123" s="99"/>
      <c r="KR123" s="99"/>
      <c r="KS123" s="99"/>
      <c r="KT123" s="99"/>
      <c r="KU123" s="99"/>
      <c r="KV123" s="99"/>
      <c r="KW123" s="99"/>
      <c r="KX123" s="99"/>
      <c r="KY123" s="99"/>
      <c r="KZ123" s="99"/>
      <c r="LA123" s="99"/>
      <c r="LB123" s="99"/>
      <c r="LC123" s="99"/>
      <c r="LD123" s="99"/>
      <c r="LE123" s="99"/>
      <c r="LF123" s="99"/>
      <c r="LG123" s="99"/>
      <c r="LH123" s="99"/>
      <c r="LI123" s="99"/>
      <c r="LJ123" s="99"/>
      <c r="LK123" s="99"/>
      <c r="LL123" s="99"/>
      <c r="LM123" s="99"/>
      <c r="LN123" s="99"/>
      <c r="LO123" s="99"/>
      <c r="LP123" s="99"/>
      <c r="LQ123" s="99"/>
      <c r="LR123" s="99"/>
      <c r="LS123" s="99"/>
      <c r="LT123" s="99"/>
      <c r="LU123" s="99"/>
      <c r="LV123" s="99"/>
      <c r="LW123" s="99"/>
      <c r="LX123" s="99"/>
      <c r="LY123" s="99"/>
      <c r="LZ123" s="99"/>
      <c r="MA123" s="99"/>
      <c r="MB123" s="99"/>
      <c r="MC123" s="99"/>
      <c r="MD123" s="99"/>
      <c r="ME123" s="99"/>
      <c r="MF123" s="99"/>
    </row>
    <row r="124" spans="1:344" ht="17.25" customHeight="1" x14ac:dyDescent="0.25">
      <c r="A124" s="156"/>
      <c r="B124" s="81" t="s">
        <v>2</v>
      </c>
      <c r="C124" s="82">
        <v>45258</v>
      </c>
      <c r="D124" s="49" t="s">
        <v>90</v>
      </c>
      <c r="F124" s="103">
        <v>50</v>
      </c>
      <c r="G124" s="89">
        <f t="shared" si="93"/>
        <v>3.05</v>
      </c>
      <c r="H124" s="35">
        <f>F124*G124</f>
        <v>152.5</v>
      </c>
      <c r="I124" s="39">
        <v>11</v>
      </c>
      <c r="K124" s="103">
        <v>77</v>
      </c>
      <c r="L124" s="89">
        <f t="shared" si="95"/>
        <v>7.4150000000000009</v>
      </c>
      <c r="M124" s="35">
        <f t="shared" si="113"/>
        <v>570.95500000000004</v>
      </c>
      <c r="N124" s="35">
        <f t="shared" si="114"/>
        <v>723.45500000000004</v>
      </c>
      <c r="O124" s="97"/>
      <c r="P124" s="150"/>
      <c r="W124" s="11">
        <v>3.5</v>
      </c>
      <c r="X124" s="1">
        <v>8.5</v>
      </c>
      <c r="Y124" s="35">
        <f t="shared" si="96"/>
        <v>829.5</v>
      </c>
      <c r="Z124" s="35">
        <f t="shared" si="115"/>
        <v>0</v>
      </c>
      <c r="AA124" s="15">
        <f t="shared" si="128"/>
        <v>1.1115103906353052</v>
      </c>
      <c r="AB124" s="43">
        <f t="shared" si="173"/>
        <v>538.57023363653923</v>
      </c>
      <c r="AC124" s="43">
        <f t="shared" si="174"/>
        <v>484.53909038916765</v>
      </c>
      <c r="AD124" s="33"/>
      <c r="AH124" s="31"/>
      <c r="AN124" s="11">
        <v>3</v>
      </c>
      <c r="AO124" s="1">
        <v>9</v>
      </c>
      <c r="AP124" s="35">
        <f>(AN124*$F124)+AO124*$K124</f>
        <v>843</v>
      </c>
      <c r="AQ124" s="35">
        <f t="shared" si="116"/>
        <v>0</v>
      </c>
      <c r="AR124" s="15">
        <f t="shared" si="129"/>
        <v>1.1034006583909082</v>
      </c>
      <c r="AS124" s="28">
        <f t="shared" si="130"/>
        <v>611.0587214498463</v>
      </c>
      <c r="AT124" s="28">
        <f t="shared" si="131"/>
        <v>553.79586445140853</v>
      </c>
      <c r="AU124" s="33"/>
      <c r="AY124" s="31"/>
      <c r="BE124" s="86"/>
      <c r="BF124" s="87"/>
      <c r="BG124" s="35">
        <f>(BE124*$F124)+BF124*$K124</f>
        <v>0</v>
      </c>
      <c r="BH124" s="35">
        <f t="shared" si="117"/>
        <v>0</v>
      </c>
      <c r="BI124" s="15">
        <f t="shared" si="132"/>
        <v>0.39699776461288161</v>
      </c>
      <c r="BJ124" s="28">
        <f t="shared" si="133"/>
        <v>107.30808204634729</v>
      </c>
      <c r="BK124" s="28">
        <f t="shared" si="134"/>
        <v>270.2989578568156</v>
      </c>
      <c r="BL124" s="33"/>
      <c r="BP124" s="31"/>
      <c r="BV124" s="11">
        <v>3</v>
      </c>
      <c r="BW124" s="1">
        <v>6</v>
      </c>
      <c r="BX124" s="35">
        <f>(BV124*$F124)+BW124*$K124</f>
        <v>612</v>
      </c>
      <c r="BY124" s="35">
        <f t="shared" si="118"/>
        <v>0</v>
      </c>
      <c r="BZ124" s="15">
        <f t="shared" si="135"/>
        <v>0.99697130424527558</v>
      </c>
      <c r="CA124" s="28">
        <f t="shared" si="136"/>
        <v>468.82908506936866</v>
      </c>
      <c r="CB124" s="28">
        <f t="shared" si="137"/>
        <v>470.25333936193914</v>
      </c>
      <c r="CC124" s="33"/>
      <c r="CG124" s="31"/>
      <c r="CM124" s="11">
        <v>3</v>
      </c>
      <c r="CN124" s="1">
        <v>8.5</v>
      </c>
      <c r="CO124" s="35">
        <f>(CM124*$F124)+CN124*$K124</f>
        <v>804.5</v>
      </c>
      <c r="CP124" s="35">
        <f t="shared" si="119"/>
        <v>0</v>
      </c>
      <c r="CQ124" s="15">
        <f t="shared" si="138"/>
        <v>1.0284626945485544</v>
      </c>
      <c r="CR124" s="28">
        <f t="shared" si="139"/>
        <v>554.1425629469079</v>
      </c>
      <c r="CS124" s="28">
        <f t="shared" si="140"/>
        <v>538.80667318725625</v>
      </c>
      <c r="CT124" s="33"/>
      <c r="CX124" s="31"/>
      <c r="DD124" s="11">
        <v>3</v>
      </c>
      <c r="DE124" s="1">
        <v>4.9000000000000004</v>
      </c>
      <c r="DF124" s="35">
        <f>(DD124*$F124)+DE124*$K124</f>
        <v>527.29999999999995</v>
      </c>
      <c r="DG124" s="35">
        <f t="shared" si="120"/>
        <v>0</v>
      </c>
      <c r="DH124" s="15">
        <f t="shared" si="141"/>
        <v>0.98937202642652644</v>
      </c>
      <c r="DI124" s="28">
        <f t="shared" si="142"/>
        <v>438.70754577984047</v>
      </c>
      <c r="DJ124" s="28">
        <f t="shared" si="143"/>
        <v>443.42020398978821</v>
      </c>
      <c r="DK124" s="33"/>
      <c r="DO124" s="31"/>
      <c r="DU124" s="11">
        <v>3</v>
      </c>
      <c r="DV124" s="1">
        <v>5</v>
      </c>
      <c r="DW124" s="35">
        <f>(DU124*$F124)+DV124*$K124</f>
        <v>535</v>
      </c>
      <c r="DX124" s="35">
        <f t="shared" si="121"/>
        <v>0</v>
      </c>
      <c r="DY124" s="15">
        <f t="shared" si="144"/>
        <v>1.0146900765811246</v>
      </c>
      <c r="DZ124" s="28">
        <f t="shared" si="145"/>
        <v>443.15279093325216</v>
      </c>
      <c r="EA124" s="28">
        <f t="shared" si="146"/>
        <v>436.73708964061404</v>
      </c>
      <c r="EB124" s="33"/>
      <c r="EF124" s="31"/>
      <c r="EL124" s="11">
        <v>3</v>
      </c>
      <c r="EM124" s="1">
        <v>7</v>
      </c>
      <c r="EN124" s="35">
        <f>(EL124*$F124)+EM124*$K124</f>
        <v>689</v>
      </c>
      <c r="EO124" s="35">
        <f t="shared" si="122"/>
        <v>0</v>
      </c>
      <c r="EP124" s="15">
        <f t="shared" si="147"/>
        <v>0.96693183454695331</v>
      </c>
      <c r="EQ124" s="28">
        <f t="shared" si="148"/>
        <v>488.30905732882462</v>
      </c>
      <c r="ER124" s="28">
        <f t="shared" si="149"/>
        <v>505.00877092087592</v>
      </c>
      <c r="ES124" s="33"/>
      <c r="EW124" s="31"/>
      <c r="FC124" s="11">
        <v>3</v>
      </c>
      <c r="FD124" s="1">
        <v>9</v>
      </c>
      <c r="FE124" s="35">
        <f>(FC124*$F124)+FD124*$K124</f>
        <v>843</v>
      </c>
      <c r="FF124" s="35">
        <f t="shared" si="123"/>
        <v>0</v>
      </c>
      <c r="FG124" s="15">
        <f t="shared" si="150"/>
        <v>1.0390318449835223</v>
      </c>
      <c r="FH124" s="28">
        <f t="shared" si="151"/>
        <v>585.98741140058428</v>
      </c>
      <c r="FI124" s="28">
        <f t="shared" si="152"/>
        <v>563.97444816513519</v>
      </c>
      <c r="FJ124" s="33"/>
      <c r="FN124" s="31"/>
      <c r="FT124" s="11">
        <v>3</v>
      </c>
      <c r="FU124" s="1">
        <v>8</v>
      </c>
      <c r="FV124" s="35">
        <f>(FT124*$F124)+FU124*$K124</f>
        <v>766</v>
      </c>
      <c r="FW124" s="35">
        <f t="shared" si="124"/>
        <v>0</v>
      </c>
      <c r="FX124" s="15">
        <f t="shared" si="153"/>
        <v>1.0425953511030603</v>
      </c>
      <c r="FY124" s="28">
        <f t="shared" si="154"/>
        <v>522.98745319300156</v>
      </c>
      <c r="FZ124" s="28">
        <f t="shared" si="155"/>
        <v>501.62074158462684</v>
      </c>
      <c r="GA124" s="33"/>
      <c r="GE124" s="31"/>
      <c r="GK124" s="11">
        <v>3</v>
      </c>
      <c r="GL124" s="1">
        <v>8.25</v>
      </c>
      <c r="GM124" s="35">
        <f>(GK124*$F124)+GL124*$K124</f>
        <v>785.25</v>
      </c>
      <c r="GN124" s="35">
        <f t="shared" si="125"/>
        <v>0</v>
      </c>
      <c r="GO124" s="15">
        <f t="shared" si="156"/>
        <v>1.0362392332134387</v>
      </c>
      <c r="GP124" s="28">
        <f t="shared" si="157"/>
        <v>592.25236787430754</v>
      </c>
      <c r="GQ124" s="28">
        <f t="shared" si="158"/>
        <v>571.5401896507027</v>
      </c>
      <c r="GR124" s="33"/>
      <c r="GV124" s="31"/>
      <c r="HD124" s="35">
        <f>(HB124*$F124)+HC124*$K124</f>
        <v>0</v>
      </c>
      <c r="HE124" s="35">
        <f t="shared" si="126"/>
        <v>0</v>
      </c>
      <c r="HF124" s="15">
        <f t="shared" si="159"/>
        <v>0.54447865947274554</v>
      </c>
      <c r="HG124" s="28">
        <f t="shared" si="160"/>
        <v>106.82278900889588</v>
      </c>
      <c r="HH124" s="28">
        <f t="shared" si="161"/>
        <v>196.19279314333349</v>
      </c>
      <c r="HI124" s="33"/>
      <c r="HM124" s="31"/>
      <c r="HU124" s="35">
        <f>(HS124*$F124)+HT124*$K124</f>
        <v>0</v>
      </c>
      <c r="HV124" s="35">
        <f t="shared" si="127"/>
        <v>0</v>
      </c>
      <c r="HW124" s="15">
        <f t="shared" si="162"/>
        <v>3.4331165829290099E-2</v>
      </c>
      <c r="HX124" s="28">
        <f t="shared" si="163"/>
        <v>0.35691470494059296</v>
      </c>
      <c r="HY124" s="28">
        <f t="shared" si="164"/>
        <v>10.396230256651709</v>
      </c>
      <c r="HZ124" s="33"/>
      <c r="ID124" s="31"/>
      <c r="II124" s="12"/>
      <c r="IL124" s="35">
        <f>(IJ124*$F124)+IK124*$K124</f>
        <v>0</v>
      </c>
      <c r="IM124" s="35">
        <f t="shared" si="110"/>
        <v>4841.5739509999057</v>
      </c>
      <c r="IN124" s="15">
        <f t="shared" si="165"/>
        <v>1.0972272563918109E-3</v>
      </c>
      <c r="IO124" s="28">
        <f t="shared" si="166"/>
        <v>1.5211460989285863E-2</v>
      </c>
      <c r="IP124" s="28">
        <f t="shared" si="167"/>
        <v>13.863546408159928</v>
      </c>
      <c r="IQ124" s="33"/>
      <c r="IU124" s="31"/>
      <c r="JC124" s="35">
        <f>(JA124*$F124)+JB124*$K124</f>
        <v>0</v>
      </c>
      <c r="JD124" s="35">
        <f t="shared" si="112"/>
        <v>5718.1890058075587</v>
      </c>
      <c r="JE124" s="15" t="e">
        <f t="shared" si="168"/>
        <v>#DIV/0!</v>
      </c>
      <c r="JF124" s="28">
        <f t="shared" si="169"/>
        <v>0</v>
      </c>
      <c r="JG124" s="28">
        <f t="shared" si="170"/>
        <v>0</v>
      </c>
      <c r="JH124" s="33"/>
      <c r="JL124" s="31"/>
      <c r="JR124" s="99"/>
      <c r="JS124" s="99"/>
      <c r="JT124" s="99"/>
      <c r="JU124" s="99"/>
      <c r="JV124" s="99"/>
      <c r="JW124" s="99"/>
      <c r="JX124" s="99"/>
      <c r="JY124" s="99"/>
      <c r="JZ124" s="99"/>
      <c r="KA124" s="99"/>
      <c r="KB124" s="99"/>
      <c r="KC124" s="99"/>
      <c r="KD124" s="99"/>
      <c r="KE124" s="99"/>
      <c r="KF124" s="99"/>
      <c r="KG124" s="99"/>
      <c r="KH124" s="99"/>
      <c r="KI124" s="99"/>
      <c r="KJ124" s="99"/>
      <c r="KK124" s="99"/>
      <c r="KL124" s="99"/>
      <c r="KM124" s="99"/>
      <c r="KN124" s="99"/>
      <c r="KO124" s="99"/>
      <c r="KP124" s="99"/>
      <c r="KQ124" s="99"/>
      <c r="KR124" s="99"/>
      <c r="KS124" s="99"/>
      <c r="KT124" s="99"/>
      <c r="KU124" s="99"/>
      <c r="KV124" s="99"/>
      <c r="KW124" s="99"/>
      <c r="KX124" s="99"/>
      <c r="KY124" s="99"/>
      <c r="KZ124" s="99"/>
      <c r="LA124" s="99"/>
      <c r="LB124" s="99"/>
      <c r="LC124" s="99"/>
      <c r="LD124" s="99"/>
      <c r="LE124" s="99"/>
      <c r="LF124" s="99"/>
      <c r="LG124" s="99"/>
      <c r="LH124" s="99"/>
      <c r="LI124" s="99"/>
      <c r="LJ124" s="99"/>
      <c r="LK124" s="99"/>
      <c r="LL124" s="99"/>
      <c r="LM124" s="99"/>
      <c r="LN124" s="99"/>
      <c r="LO124" s="99"/>
      <c r="LP124" s="99"/>
      <c r="LQ124" s="99"/>
      <c r="LR124" s="99"/>
      <c r="LS124" s="99"/>
      <c r="LT124" s="99"/>
      <c r="LU124" s="99"/>
      <c r="LV124" s="99"/>
      <c r="LW124" s="99"/>
      <c r="LX124" s="99"/>
      <c r="LY124" s="99"/>
      <c r="LZ124" s="99"/>
      <c r="MA124" s="99"/>
      <c r="MB124" s="99"/>
      <c r="MC124" s="99"/>
      <c r="MD124" s="99"/>
      <c r="ME124" s="99"/>
      <c r="MF124" s="99"/>
    </row>
    <row r="125" spans="1:344" ht="17.25" customHeight="1" x14ac:dyDescent="0.25">
      <c r="A125" s="156"/>
      <c r="B125" s="81" t="s">
        <v>3</v>
      </c>
      <c r="C125" s="82">
        <v>45259</v>
      </c>
      <c r="D125" s="49"/>
      <c r="G125" s="89">
        <f t="shared" si="93"/>
        <v>0</v>
      </c>
      <c r="H125" s="35">
        <f t="shared" si="94"/>
        <v>0</v>
      </c>
      <c r="I125" s="39">
        <v>10</v>
      </c>
      <c r="K125" s="103">
        <v>48</v>
      </c>
      <c r="L125" s="89">
        <f t="shared" si="95"/>
        <v>5.8549999999999995</v>
      </c>
      <c r="M125" s="35">
        <f t="shared" si="113"/>
        <v>281.03999999999996</v>
      </c>
      <c r="N125" s="35">
        <f t="shared" si="114"/>
        <v>281.03999999999996</v>
      </c>
      <c r="O125" s="97"/>
      <c r="P125" s="150"/>
      <c r="W125" s="11">
        <v>0</v>
      </c>
      <c r="X125" s="1">
        <v>6.5</v>
      </c>
      <c r="Y125" s="35">
        <f t="shared" si="96"/>
        <v>312</v>
      </c>
      <c r="Z125" s="35">
        <f t="shared" si="115"/>
        <v>0</v>
      </c>
      <c r="AA125" s="15">
        <f t="shared" si="128"/>
        <v>1.0196509722852167</v>
      </c>
      <c r="AB125" s="43">
        <f t="shared" si="173"/>
        <v>481.92767522740439</v>
      </c>
      <c r="AC125" s="43">
        <f t="shared" si="174"/>
        <v>472.63984277612161</v>
      </c>
      <c r="AD125" s="33"/>
      <c r="AH125" s="31"/>
      <c r="AO125" s="1">
        <v>8.1999999999999993</v>
      </c>
      <c r="AP125" s="35">
        <f t="shared" si="97"/>
        <v>393.59999999999997</v>
      </c>
      <c r="AQ125" s="35">
        <f t="shared" si="116"/>
        <v>0</v>
      </c>
      <c r="AR125" s="15">
        <f t="shared" si="129"/>
        <v>1.0256954802792044</v>
      </c>
      <c r="AS125" s="28">
        <f t="shared" si="130"/>
        <v>556.69404108738468</v>
      </c>
      <c r="AT125" s="28">
        <f t="shared" si="131"/>
        <v>542.7478737995873</v>
      </c>
      <c r="AU125" s="33"/>
      <c r="AY125" s="31"/>
      <c r="BE125" s="86"/>
      <c r="BF125" s="87"/>
      <c r="BG125" s="35">
        <f t="shared" si="98"/>
        <v>0</v>
      </c>
      <c r="BH125" s="35">
        <f t="shared" si="117"/>
        <v>0</v>
      </c>
      <c r="BI125" s="15">
        <f t="shared" si="132"/>
        <v>0.31980375482704354</v>
      </c>
      <c r="BJ125" s="28">
        <f t="shared" si="133"/>
        <v>80.481061534760471</v>
      </c>
      <c r="BK125" s="28">
        <f t="shared" si="134"/>
        <v>251.65765041841453</v>
      </c>
      <c r="BL125" s="33"/>
      <c r="BP125" s="31"/>
      <c r="BW125" s="1">
        <v>5</v>
      </c>
      <c r="BX125" s="35">
        <f t="shared" si="99"/>
        <v>240</v>
      </c>
      <c r="BY125" s="35">
        <f t="shared" si="118"/>
        <v>0</v>
      </c>
      <c r="BZ125" s="15">
        <f t="shared" si="135"/>
        <v>0.90591010081337009</v>
      </c>
      <c r="CA125" s="28">
        <f t="shared" si="136"/>
        <v>411.62181380202651</v>
      </c>
      <c r="CB125" s="28">
        <f t="shared" si="137"/>
        <v>454.37379871628815</v>
      </c>
      <c r="CC125" s="33"/>
      <c r="CG125" s="31"/>
      <c r="CN125" s="1">
        <v>5.5</v>
      </c>
      <c r="CO125" s="35">
        <f t="shared" si="100"/>
        <v>264</v>
      </c>
      <c r="CP125" s="35">
        <f t="shared" si="119"/>
        <v>0</v>
      </c>
      <c r="CQ125" s="15">
        <f t="shared" si="138"/>
        <v>0.92642639923058012</v>
      </c>
      <c r="CR125" s="28">
        <f t="shared" si="139"/>
        <v>481.60692221018093</v>
      </c>
      <c r="CS125" s="28">
        <f t="shared" si="140"/>
        <v>519.85448882951448</v>
      </c>
      <c r="CT125" s="33"/>
      <c r="CX125" s="31"/>
      <c r="DE125" s="1">
        <v>4</v>
      </c>
      <c r="DF125" s="35">
        <f t="shared" si="101"/>
        <v>192</v>
      </c>
      <c r="DG125" s="35">
        <f t="shared" si="120"/>
        <v>0</v>
      </c>
      <c r="DH125" s="15">
        <f t="shared" si="141"/>
        <v>0.8848804943076789</v>
      </c>
      <c r="DI125" s="28">
        <f t="shared" si="142"/>
        <v>377.03065933488034</v>
      </c>
      <c r="DJ125" s="28">
        <f t="shared" si="143"/>
        <v>426.08087957669937</v>
      </c>
      <c r="DK125" s="33"/>
      <c r="DO125" s="31"/>
      <c r="DV125" s="1">
        <v>3.6</v>
      </c>
      <c r="DW125" s="35">
        <f t="shared" si="102"/>
        <v>172.8</v>
      </c>
      <c r="DX125" s="35">
        <f t="shared" si="121"/>
        <v>0</v>
      </c>
      <c r="DY125" s="15">
        <f t="shared" si="144"/>
        <v>0.89733239368239803</v>
      </c>
      <c r="DZ125" s="28">
        <f t="shared" si="145"/>
        <v>375.56459319993911</v>
      </c>
      <c r="EA125" s="28">
        <f t="shared" si="146"/>
        <v>418.53453173436475</v>
      </c>
      <c r="EB125" s="33"/>
      <c r="EF125" s="31"/>
      <c r="EM125" s="1">
        <v>6</v>
      </c>
      <c r="EN125" s="35">
        <f t="shared" si="103"/>
        <v>288</v>
      </c>
      <c r="EO125" s="35">
        <f t="shared" si="122"/>
        <v>0</v>
      </c>
      <c r="EP125" s="15">
        <f t="shared" si="147"/>
        <v>0.89427276193228855</v>
      </c>
      <c r="EQ125" s="28">
        <f t="shared" si="148"/>
        <v>438.23179299661848</v>
      </c>
      <c r="ER125" s="28">
        <f t="shared" si="149"/>
        <v>490.04264878840172</v>
      </c>
      <c r="ES125" s="33"/>
      <c r="EW125" s="31"/>
      <c r="FD125" s="1">
        <v>6</v>
      </c>
      <c r="FE125" s="35">
        <f t="shared" si="104"/>
        <v>288</v>
      </c>
      <c r="FF125" s="35">
        <f t="shared" si="123"/>
        <v>0</v>
      </c>
      <c r="FG125" s="15">
        <f t="shared" si="150"/>
        <v>0.93861514478110586</v>
      </c>
      <c r="FH125" s="28">
        <f t="shared" si="151"/>
        <v>511.49055855043821</v>
      </c>
      <c r="FI125" s="28">
        <f t="shared" si="152"/>
        <v>544.94172760202241</v>
      </c>
      <c r="FJ125" s="33"/>
      <c r="FN125" s="31"/>
      <c r="FU125" s="1">
        <v>7</v>
      </c>
      <c r="FV125" s="35">
        <f t="shared" si="105"/>
        <v>336</v>
      </c>
      <c r="FW125" s="35">
        <f t="shared" si="124"/>
        <v>0</v>
      </c>
      <c r="FX125" s="15">
        <f t="shared" si="153"/>
        <v>0.97152576329451568</v>
      </c>
      <c r="FY125" s="28">
        <f t="shared" si="154"/>
        <v>476.24058989475117</v>
      </c>
      <c r="FZ125" s="28">
        <f t="shared" si="155"/>
        <v>490.19862147534218</v>
      </c>
      <c r="GA125" s="33"/>
      <c r="GE125" s="31"/>
      <c r="GL125" s="1">
        <v>6.75</v>
      </c>
      <c r="GM125" s="35">
        <f t="shared" si="106"/>
        <v>324</v>
      </c>
      <c r="GN125" s="35">
        <f t="shared" si="125"/>
        <v>0</v>
      </c>
      <c r="GO125" s="15">
        <f t="shared" si="156"/>
        <v>0.94719415252719308</v>
      </c>
      <c r="GP125" s="28">
        <f t="shared" si="157"/>
        <v>525.18927590573071</v>
      </c>
      <c r="GQ125" s="28">
        <f t="shared" si="158"/>
        <v>554.46845243341284</v>
      </c>
      <c r="GR125" s="33"/>
      <c r="GV125" s="31"/>
      <c r="HD125" s="35">
        <f t="shared" si="107"/>
        <v>0</v>
      </c>
      <c r="HE125" s="35">
        <f t="shared" si="126"/>
        <v>0</v>
      </c>
      <c r="HF125" s="15">
        <f t="shared" si="159"/>
        <v>0.43860780901971169</v>
      </c>
      <c r="HG125" s="28">
        <f t="shared" si="160"/>
        <v>80.117091756671911</v>
      </c>
      <c r="HH125" s="28">
        <f t="shared" si="161"/>
        <v>182.66225568517257</v>
      </c>
      <c r="HI125" s="33"/>
      <c r="HM125" s="31"/>
      <c r="HU125" s="35">
        <f t="shared" si="108"/>
        <v>0</v>
      </c>
      <c r="HV125" s="35">
        <f t="shared" si="127"/>
        <v>0</v>
      </c>
      <c r="HW125" s="15">
        <f t="shared" si="162"/>
        <v>2.7655661362483687E-2</v>
      </c>
      <c r="HX125" s="28">
        <f t="shared" si="163"/>
        <v>0.26768602870544472</v>
      </c>
      <c r="HY125" s="28">
        <f t="shared" si="164"/>
        <v>9.6792488596412465</v>
      </c>
      <c r="HZ125" s="33"/>
      <c r="ID125" s="31"/>
      <c r="II125" s="12"/>
      <c r="IL125" s="35">
        <f t="shared" si="109"/>
        <v>0</v>
      </c>
      <c r="IM125" s="35">
        <f t="shared" si="110"/>
        <v>4161.073979091987</v>
      </c>
      <c r="IN125" s="15">
        <f t="shared" si="165"/>
        <v>8.8387751209340331E-4</v>
      </c>
      <c r="IO125" s="28">
        <f t="shared" si="166"/>
        <v>1.1408595741964397E-2</v>
      </c>
      <c r="IP125" s="28">
        <f t="shared" si="167"/>
        <v>12.907439759321312</v>
      </c>
      <c r="IQ125" s="33"/>
      <c r="IU125" s="31"/>
      <c r="JC125" s="35">
        <f t="shared" ref="JC125:JC188" si="180">(JA125*$F125)+JB125*$K125</f>
        <v>0</v>
      </c>
      <c r="JD125" s="35">
        <f t="shared" si="112"/>
        <v>4792.4794121859886</v>
      </c>
      <c r="JE125" s="15" t="e">
        <f t="shared" si="168"/>
        <v>#DIV/0!</v>
      </c>
      <c r="JF125" s="28">
        <f t="shared" si="169"/>
        <v>0</v>
      </c>
      <c r="JG125" s="28">
        <f t="shared" si="170"/>
        <v>0</v>
      </c>
      <c r="JH125" s="33"/>
      <c r="JL125" s="31"/>
      <c r="JR125" s="99"/>
      <c r="JS125" s="99"/>
      <c r="JT125" s="99"/>
      <c r="JU125" s="99"/>
      <c r="JV125" s="99"/>
      <c r="JW125" s="99"/>
      <c r="JX125" s="99"/>
      <c r="JY125" s="99"/>
      <c r="JZ125" s="99"/>
      <c r="KA125" s="99"/>
      <c r="KB125" s="99"/>
      <c r="KC125" s="99"/>
      <c r="KD125" s="99"/>
      <c r="KE125" s="99"/>
      <c r="KF125" s="99"/>
      <c r="KG125" s="99"/>
      <c r="KH125" s="99"/>
      <c r="KI125" s="99"/>
      <c r="KJ125" s="99"/>
      <c r="KK125" s="99"/>
      <c r="KL125" s="99"/>
      <c r="KM125" s="99"/>
      <c r="KN125" s="99"/>
      <c r="KO125" s="99"/>
      <c r="KP125" s="99"/>
      <c r="KQ125" s="99"/>
      <c r="KR125" s="99"/>
      <c r="KS125" s="99"/>
      <c r="KT125" s="99"/>
      <c r="KU125" s="99"/>
      <c r="KV125" s="99"/>
      <c r="KW125" s="99"/>
      <c r="KX125" s="99"/>
      <c r="KY125" s="99"/>
      <c r="KZ125" s="99"/>
      <c r="LA125" s="99"/>
      <c r="LB125" s="99"/>
      <c r="LC125" s="99"/>
      <c r="LD125" s="99"/>
      <c r="LE125" s="99"/>
      <c r="LF125" s="99"/>
      <c r="LG125" s="99"/>
      <c r="LH125" s="99"/>
      <c r="LI125" s="99"/>
      <c r="LJ125" s="99"/>
      <c r="LK125" s="99"/>
      <c r="LL125" s="99"/>
      <c r="LM125" s="99"/>
      <c r="LN125" s="99"/>
      <c r="LO125" s="99"/>
      <c r="LP125" s="99"/>
      <c r="LQ125" s="99"/>
      <c r="LR125" s="99"/>
      <c r="LS125" s="99"/>
      <c r="LT125" s="99"/>
      <c r="LU125" s="99"/>
      <c r="LV125" s="99"/>
      <c r="LW125" s="99"/>
      <c r="LX125" s="99"/>
      <c r="LY125" s="99"/>
      <c r="LZ125" s="99"/>
      <c r="MA125" s="99"/>
      <c r="MB125" s="99"/>
      <c r="MC125" s="99"/>
      <c r="MD125" s="99"/>
      <c r="ME125" s="99"/>
      <c r="MF125" s="99"/>
    </row>
    <row r="126" spans="1:344" ht="17.25" customHeight="1" x14ac:dyDescent="0.25">
      <c r="A126" s="156"/>
      <c r="B126" s="81" t="s">
        <v>4</v>
      </c>
      <c r="C126" s="82">
        <v>45260</v>
      </c>
      <c r="D126" s="49">
        <v>11</v>
      </c>
      <c r="F126" s="103">
        <v>90</v>
      </c>
      <c r="G126" s="89">
        <f t="shared" si="93"/>
        <v>7.6150000000000002</v>
      </c>
      <c r="H126" s="35">
        <f t="shared" si="94"/>
        <v>685.35</v>
      </c>
      <c r="I126" s="39"/>
      <c r="L126" s="89">
        <f t="shared" si="95"/>
        <v>0</v>
      </c>
      <c r="M126" s="35">
        <f t="shared" si="113"/>
        <v>0</v>
      </c>
      <c r="N126" s="35">
        <f t="shared" si="114"/>
        <v>685.35</v>
      </c>
      <c r="O126" s="97"/>
      <c r="P126" s="150"/>
      <c r="W126" s="11">
        <v>9</v>
      </c>
      <c r="X126" s="1">
        <v>0</v>
      </c>
      <c r="Y126" s="35">
        <f t="shared" si="96"/>
        <v>810</v>
      </c>
      <c r="Z126" s="35">
        <f t="shared" si="115"/>
        <v>0</v>
      </c>
      <c r="AA126" s="15">
        <f t="shared" si="128"/>
        <v>1.1372027916619902</v>
      </c>
      <c r="AB126" s="43">
        <f t="shared" si="173"/>
        <v>563.94575642055327</v>
      </c>
      <c r="AC126" s="43">
        <f t="shared" si="174"/>
        <v>495.90606051569944</v>
      </c>
      <c r="AD126" s="33"/>
      <c r="AH126" s="31"/>
      <c r="AN126" s="11">
        <v>9.4</v>
      </c>
      <c r="AP126" s="35">
        <f t="shared" si="97"/>
        <v>846</v>
      </c>
      <c r="AQ126" s="35">
        <f t="shared" si="116"/>
        <v>0</v>
      </c>
      <c r="AR126" s="15">
        <f t="shared" si="129"/>
        <v>1.1159537788586382</v>
      </c>
      <c r="AS126" s="28">
        <f t="shared" si="130"/>
        <v>629.02053081553845</v>
      </c>
      <c r="AT126" s="28">
        <f t="shared" si="131"/>
        <v>563.66181353754678</v>
      </c>
      <c r="AU126" s="33"/>
      <c r="AY126" s="31"/>
      <c r="BE126" s="86"/>
      <c r="BF126" s="87"/>
      <c r="BG126" s="35">
        <f t="shared" si="98"/>
        <v>0</v>
      </c>
      <c r="BH126" s="35">
        <f t="shared" si="117"/>
        <v>0</v>
      </c>
      <c r="BI126" s="15">
        <f t="shared" si="132"/>
        <v>0.25761969138845175</v>
      </c>
      <c r="BJ126" s="28">
        <f t="shared" si="133"/>
        <v>60.360796151070353</v>
      </c>
      <c r="BK126" s="28">
        <f t="shared" si="134"/>
        <v>234.30195038955836</v>
      </c>
      <c r="BL126" s="33"/>
      <c r="BP126" s="31"/>
      <c r="BV126" s="11">
        <v>6</v>
      </c>
      <c r="BX126" s="35">
        <f t="shared" si="99"/>
        <v>540</v>
      </c>
      <c r="BY126" s="35">
        <f t="shared" si="118"/>
        <v>0</v>
      </c>
      <c r="BZ126" s="15">
        <f t="shared" si="135"/>
        <v>0.96401597360862501</v>
      </c>
      <c r="CA126" s="28">
        <f t="shared" si="136"/>
        <v>443.71636035151988</v>
      </c>
      <c r="CB126" s="28">
        <f t="shared" si="137"/>
        <v>460.27905397723379</v>
      </c>
      <c r="CC126" s="33"/>
      <c r="CG126" s="31"/>
      <c r="CM126" s="11">
        <v>9</v>
      </c>
      <c r="CO126" s="35">
        <f t="shared" si="100"/>
        <v>810</v>
      </c>
      <c r="CP126" s="35">
        <f t="shared" si="119"/>
        <v>0</v>
      </c>
      <c r="CQ126" s="15">
        <f t="shared" si="138"/>
        <v>1.0441604634338491</v>
      </c>
      <c r="CR126" s="28">
        <f t="shared" si="139"/>
        <v>563.70519165763562</v>
      </c>
      <c r="CS126" s="28">
        <f t="shared" si="140"/>
        <v>539.86452408265143</v>
      </c>
      <c r="CT126" s="33"/>
      <c r="CX126" s="31"/>
      <c r="DD126" s="11">
        <v>5</v>
      </c>
      <c r="DF126" s="35">
        <f t="shared" si="101"/>
        <v>450</v>
      </c>
      <c r="DG126" s="35">
        <f t="shared" si="120"/>
        <v>0</v>
      </c>
      <c r="DH126" s="15">
        <f t="shared" si="141"/>
        <v>0.92411698124468034</v>
      </c>
      <c r="DI126" s="28">
        <f t="shared" si="142"/>
        <v>395.27299450116027</v>
      </c>
      <c r="DJ126" s="28">
        <f t="shared" si="143"/>
        <v>427.73047408865114</v>
      </c>
      <c r="DK126" s="33"/>
      <c r="DO126" s="31"/>
      <c r="DU126" s="11">
        <v>5</v>
      </c>
      <c r="DW126" s="35">
        <f t="shared" si="102"/>
        <v>450</v>
      </c>
      <c r="DX126" s="35">
        <f t="shared" si="121"/>
        <v>0</v>
      </c>
      <c r="DY126" s="15">
        <f t="shared" si="144"/>
        <v>0.93693645993630847</v>
      </c>
      <c r="DZ126" s="28">
        <f t="shared" si="145"/>
        <v>394.17344489995435</v>
      </c>
      <c r="EA126" s="28">
        <f t="shared" si="146"/>
        <v>420.70456402854649</v>
      </c>
      <c r="EB126" s="33"/>
      <c r="EF126" s="31"/>
      <c r="EL126" s="11">
        <v>7.5</v>
      </c>
      <c r="EN126" s="35">
        <f t="shared" si="103"/>
        <v>675</v>
      </c>
      <c r="EO126" s="35">
        <f t="shared" si="122"/>
        <v>0</v>
      </c>
      <c r="EP126" s="15">
        <f t="shared" si="147"/>
        <v>0.98931085659279983</v>
      </c>
      <c r="EQ126" s="28">
        <f t="shared" si="148"/>
        <v>497.42384474746387</v>
      </c>
      <c r="ER126" s="28">
        <f t="shared" si="149"/>
        <v>502.79832818230506</v>
      </c>
      <c r="ES126" s="33"/>
      <c r="EW126" s="31"/>
      <c r="FC126" s="11">
        <v>8.5</v>
      </c>
      <c r="FE126" s="35">
        <f t="shared" si="104"/>
        <v>765</v>
      </c>
      <c r="FF126" s="35">
        <f t="shared" si="123"/>
        <v>0</v>
      </c>
      <c r="FG126" s="15">
        <f t="shared" si="150"/>
        <v>1.0263332985434073</v>
      </c>
      <c r="FH126" s="28">
        <f t="shared" si="151"/>
        <v>574.8679189128286</v>
      </c>
      <c r="FI126" s="28">
        <f t="shared" si="152"/>
        <v>560.11816018119328</v>
      </c>
      <c r="FJ126" s="33"/>
      <c r="FN126" s="31"/>
      <c r="FT126" s="11">
        <v>8</v>
      </c>
      <c r="FV126" s="35">
        <f t="shared" si="105"/>
        <v>720</v>
      </c>
      <c r="FW126" s="35">
        <f t="shared" si="124"/>
        <v>0</v>
      </c>
      <c r="FX126" s="15">
        <f t="shared" si="153"/>
        <v>1.0615228436885564</v>
      </c>
      <c r="FY126" s="28">
        <f t="shared" si="154"/>
        <v>537.18044242106339</v>
      </c>
      <c r="FZ126" s="28">
        <f t="shared" si="155"/>
        <v>506.04699240807719</v>
      </c>
      <c r="GA126" s="33"/>
      <c r="GE126" s="31"/>
      <c r="GK126" s="11">
        <v>8.75</v>
      </c>
      <c r="GM126" s="35">
        <f t="shared" si="106"/>
        <v>787.5</v>
      </c>
      <c r="GN126" s="35">
        <f t="shared" si="125"/>
        <v>0</v>
      </c>
      <c r="GO126" s="15">
        <f t="shared" si="156"/>
        <v>1.0354530404369899</v>
      </c>
      <c r="GP126" s="28">
        <f t="shared" si="157"/>
        <v>590.76695692929798</v>
      </c>
      <c r="GQ126" s="28">
        <f t="shared" si="158"/>
        <v>570.53959364490152</v>
      </c>
      <c r="GR126" s="33"/>
      <c r="GV126" s="31"/>
      <c r="HD126" s="35">
        <f t="shared" si="107"/>
        <v>0</v>
      </c>
      <c r="HE126" s="35">
        <f t="shared" si="126"/>
        <v>0</v>
      </c>
      <c r="HF126" s="15">
        <f t="shared" si="159"/>
        <v>0.35332295726587887</v>
      </c>
      <c r="HG126" s="28">
        <f t="shared" si="160"/>
        <v>60.08781881750393</v>
      </c>
      <c r="HH126" s="28">
        <f t="shared" si="161"/>
        <v>170.06485874136754</v>
      </c>
      <c r="HI126" s="33"/>
      <c r="HM126" s="31"/>
      <c r="HU126" s="35">
        <f t="shared" si="108"/>
        <v>0</v>
      </c>
      <c r="HV126" s="35">
        <f t="shared" si="127"/>
        <v>0</v>
      </c>
      <c r="HW126" s="15">
        <f t="shared" si="162"/>
        <v>2.2278171653111859E-2</v>
      </c>
      <c r="HX126" s="28">
        <f t="shared" si="163"/>
        <v>0.20076452152908353</v>
      </c>
      <c r="HY126" s="28">
        <f t="shared" si="164"/>
        <v>9.0117144555280575</v>
      </c>
      <c r="HZ126" s="33"/>
      <c r="ID126" s="31"/>
      <c r="II126" s="12"/>
      <c r="IL126" s="35">
        <f t="shared" si="109"/>
        <v>0</v>
      </c>
      <c r="IM126" s="35">
        <f t="shared" si="110"/>
        <v>4619.1527592130751</v>
      </c>
      <c r="IN126" s="15">
        <f t="shared" si="165"/>
        <v>7.1201244029746368E-4</v>
      </c>
      <c r="IO126" s="28">
        <f t="shared" si="166"/>
        <v>8.5564468064732967E-3</v>
      </c>
      <c r="IP126" s="28">
        <f t="shared" si="167"/>
        <v>12.017271500057772</v>
      </c>
      <c r="IQ126" s="33"/>
      <c r="IU126" s="31"/>
      <c r="JC126" s="35">
        <f t="shared" si="180"/>
        <v>0</v>
      </c>
      <c r="JD126" s="35">
        <f t="shared" si="112"/>
        <v>5767.2758684341006</v>
      </c>
      <c r="JE126" s="15" t="e">
        <f t="shared" si="168"/>
        <v>#DIV/0!</v>
      </c>
      <c r="JF126" s="28">
        <f t="shared" si="169"/>
        <v>0</v>
      </c>
      <c r="JG126" s="28">
        <f t="shared" si="170"/>
        <v>0</v>
      </c>
      <c r="JH126" s="33"/>
      <c r="JL126" s="31"/>
      <c r="JR126" s="99"/>
      <c r="JS126" s="99"/>
      <c r="JT126" s="99"/>
      <c r="JU126" s="99"/>
      <c r="JV126" s="99"/>
      <c r="JW126" s="99"/>
      <c r="JX126" s="99"/>
      <c r="JY126" s="99"/>
      <c r="JZ126" s="99"/>
      <c r="KA126" s="99"/>
      <c r="KB126" s="99"/>
      <c r="KC126" s="99"/>
      <c r="KD126" s="99"/>
      <c r="KE126" s="99"/>
      <c r="KF126" s="99"/>
      <c r="KG126" s="99"/>
      <c r="KH126" s="99"/>
      <c r="KI126" s="99"/>
      <c r="KJ126" s="99"/>
      <c r="KK126" s="99"/>
      <c r="KL126" s="99"/>
      <c r="KM126" s="99"/>
      <c r="KN126" s="99"/>
      <c r="KO126" s="99"/>
      <c r="KP126" s="99"/>
      <c r="KQ126" s="99"/>
      <c r="KR126" s="99"/>
      <c r="KS126" s="99"/>
      <c r="KT126" s="99"/>
      <c r="KU126" s="99"/>
      <c r="KV126" s="99"/>
      <c r="KW126" s="99"/>
      <c r="KX126" s="99"/>
      <c r="KY126" s="99"/>
      <c r="KZ126" s="99"/>
      <c r="LA126" s="99"/>
      <c r="LB126" s="99"/>
      <c r="LC126" s="99"/>
      <c r="LD126" s="99"/>
      <c r="LE126" s="99"/>
      <c r="LF126" s="99"/>
      <c r="LG126" s="99"/>
      <c r="LH126" s="99"/>
      <c r="LI126" s="99"/>
      <c r="LJ126" s="99"/>
      <c r="LK126" s="99"/>
      <c r="LL126" s="99"/>
      <c r="LM126" s="99"/>
      <c r="LN126" s="99"/>
      <c r="LO126" s="99"/>
      <c r="LP126" s="99"/>
      <c r="LQ126" s="99"/>
      <c r="LR126" s="99"/>
      <c r="LS126" s="99"/>
      <c r="LT126" s="99"/>
      <c r="LU126" s="99"/>
      <c r="LV126" s="99"/>
      <c r="LW126" s="99"/>
      <c r="LX126" s="99"/>
      <c r="LY126" s="99"/>
      <c r="LZ126" s="99"/>
      <c r="MA126" s="99"/>
      <c r="MB126" s="99"/>
      <c r="MC126" s="99"/>
      <c r="MD126" s="99"/>
      <c r="ME126" s="99"/>
      <c r="MF126" s="99"/>
    </row>
    <row r="127" spans="1:344" ht="17.25" customHeight="1" x14ac:dyDescent="0.25">
      <c r="A127" s="156"/>
      <c r="B127" s="81" t="s">
        <v>5</v>
      </c>
      <c r="C127" s="82">
        <v>45261</v>
      </c>
      <c r="D127" s="49">
        <v>12</v>
      </c>
      <c r="F127" s="103">
        <v>88</v>
      </c>
      <c r="G127" s="89">
        <f t="shared" si="93"/>
        <v>7.1</v>
      </c>
      <c r="H127" s="35">
        <f t="shared" si="94"/>
        <v>624.79999999999995</v>
      </c>
      <c r="I127" s="39"/>
      <c r="L127" s="89">
        <f t="shared" si="95"/>
        <v>0</v>
      </c>
      <c r="M127" s="35">
        <f t="shared" si="113"/>
        <v>0</v>
      </c>
      <c r="N127" s="35">
        <f t="shared" si="114"/>
        <v>624.79999999999995</v>
      </c>
      <c r="O127" s="97"/>
      <c r="P127" s="150"/>
      <c r="W127" s="11">
        <v>8</v>
      </c>
      <c r="X127" s="1">
        <v>0</v>
      </c>
      <c r="Y127" s="35">
        <f t="shared" si="96"/>
        <v>704</v>
      </c>
      <c r="Z127" s="35">
        <f t="shared" si="115"/>
        <v>0</v>
      </c>
      <c r="AA127" s="15">
        <f t="shared" si="128"/>
        <v>1.1738376678504483</v>
      </c>
      <c r="AB127" s="43">
        <f t="shared" si="173"/>
        <v>598.95931731541498</v>
      </c>
      <c r="AC127" s="43">
        <f t="shared" si="174"/>
        <v>510.25736668703053</v>
      </c>
      <c r="AD127" s="33"/>
      <c r="AH127" s="31"/>
      <c r="AN127" s="11">
        <v>9.5</v>
      </c>
      <c r="AP127" s="35">
        <f t="shared" si="97"/>
        <v>836</v>
      </c>
      <c r="AQ127" s="35">
        <f t="shared" si="116"/>
        <v>0</v>
      </c>
      <c r="AR127" s="15">
        <f t="shared" si="129"/>
        <v>1.1688088153158833</v>
      </c>
      <c r="AS127" s="28">
        <f t="shared" si="130"/>
        <v>680.76539811165389</v>
      </c>
      <c r="AT127" s="28">
        <f t="shared" si="131"/>
        <v>582.44375743150908</v>
      </c>
      <c r="AU127" s="33"/>
      <c r="AY127" s="31"/>
      <c r="BE127" s="86"/>
      <c r="BF127" s="87"/>
      <c r="BG127" s="35">
        <f t="shared" si="98"/>
        <v>0</v>
      </c>
      <c r="BH127" s="35">
        <f t="shared" si="117"/>
        <v>0</v>
      </c>
      <c r="BI127" s="15">
        <f t="shared" si="132"/>
        <v>0.207526973618475</v>
      </c>
      <c r="BJ127" s="28">
        <f t="shared" si="133"/>
        <v>45.270597113302763</v>
      </c>
      <c r="BK127" s="28">
        <f t="shared" si="134"/>
        <v>218.14319519027848</v>
      </c>
      <c r="BL127" s="33"/>
      <c r="BP127" s="31"/>
      <c r="BV127" s="11">
        <v>6</v>
      </c>
      <c r="BX127" s="35">
        <f t="shared" si="99"/>
        <v>528</v>
      </c>
      <c r="BY127" s="35">
        <f t="shared" si="118"/>
        <v>0</v>
      </c>
      <c r="BZ127" s="15">
        <f t="shared" si="135"/>
        <v>0.99965115825122708</v>
      </c>
      <c r="CA127" s="28">
        <f t="shared" si="136"/>
        <v>464.78727026363993</v>
      </c>
      <c r="CB127" s="28">
        <f t="shared" si="137"/>
        <v>464.94946404776937</v>
      </c>
      <c r="CC127" s="33"/>
      <c r="CG127" s="31"/>
      <c r="CM127" s="11">
        <v>8</v>
      </c>
      <c r="CO127" s="35">
        <f t="shared" si="100"/>
        <v>704</v>
      </c>
      <c r="CP127" s="35">
        <f t="shared" si="119"/>
        <v>0</v>
      </c>
      <c r="CQ127" s="15">
        <f t="shared" si="138"/>
        <v>1.0863498638448494</v>
      </c>
      <c r="CR127" s="28">
        <f t="shared" si="139"/>
        <v>598.77889374322672</v>
      </c>
      <c r="CS127" s="28">
        <f t="shared" si="140"/>
        <v>551.18421207695133</v>
      </c>
      <c r="CT127" s="33"/>
      <c r="CX127" s="31"/>
      <c r="DD127" s="11">
        <v>5</v>
      </c>
      <c r="DF127" s="35">
        <f t="shared" si="101"/>
        <v>440</v>
      </c>
      <c r="DG127" s="35">
        <f t="shared" si="120"/>
        <v>0</v>
      </c>
      <c r="DH127" s="15">
        <f t="shared" si="141"/>
        <v>0.94838285636453101</v>
      </c>
      <c r="DI127" s="28">
        <f t="shared" si="142"/>
        <v>406.45474587587023</v>
      </c>
      <c r="DJ127" s="28">
        <f t="shared" si="143"/>
        <v>428.57664828943382</v>
      </c>
      <c r="DK127" s="33"/>
      <c r="DO127" s="31"/>
      <c r="DU127" s="11">
        <v>5</v>
      </c>
      <c r="DW127" s="35">
        <f t="shared" si="102"/>
        <v>440</v>
      </c>
      <c r="DX127" s="35">
        <f t="shared" si="121"/>
        <v>0</v>
      </c>
      <c r="DY127" s="15">
        <f t="shared" si="144"/>
        <v>0.96112836839149207</v>
      </c>
      <c r="DZ127" s="28">
        <f t="shared" si="145"/>
        <v>405.63008367496576</v>
      </c>
      <c r="EA127" s="28">
        <f t="shared" si="146"/>
        <v>422.03528375071568</v>
      </c>
      <c r="EB127" s="33"/>
      <c r="EF127" s="31"/>
      <c r="EL127" s="11">
        <v>8</v>
      </c>
      <c r="EN127" s="35">
        <f t="shared" si="103"/>
        <v>704</v>
      </c>
      <c r="EO127" s="35">
        <f t="shared" si="122"/>
        <v>0</v>
      </c>
      <c r="EP127" s="15">
        <f t="shared" si="147"/>
        <v>1.0626963208033586</v>
      </c>
      <c r="EQ127" s="28">
        <f t="shared" si="148"/>
        <v>549.06788356059792</v>
      </c>
      <c r="ER127" s="28">
        <f t="shared" si="149"/>
        <v>516.67430554904263</v>
      </c>
      <c r="ES127" s="33"/>
      <c r="EW127" s="31"/>
      <c r="FC127" s="11">
        <v>8</v>
      </c>
      <c r="FE127" s="35">
        <f t="shared" si="104"/>
        <v>704</v>
      </c>
      <c r="FF127" s="35">
        <f t="shared" si="123"/>
        <v>0</v>
      </c>
      <c r="FG127" s="15">
        <f t="shared" si="150"/>
        <v>1.0651003884361134</v>
      </c>
      <c r="FH127" s="28">
        <f t="shared" si="151"/>
        <v>607.15093918462139</v>
      </c>
      <c r="FI127" s="28">
        <f t="shared" si="152"/>
        <v>570.04104568593857</v>
      </c>
      <c r="FJ127" s="33"/>
      <c r="FN127" s="31"/>
      <c r="FT127" s="11">
        <v>6</v>
      </c>
      <c r="FV127" s="35">
        <f t="shared" si="105"/>
        <v>528</v>
      </c>
      <c r="FW127" s="35">
        <f t="shared" si="124"/>
        <v>0</v>
      </c>
      <c r="FX127" s="15">
        <f t="shared" si="153"/>
        <v>1.0538345918316436</v>
      </c>
      <c r="FY127" s="28">
        <f t="shared" si="154"/>
        <v>534.8853318157976</v>
      </c>
      <c r="FZ127" s="28">
        <f t="shared" si="155"/>
        <v>507.56099293165806</v>
      </c>
      <c r="GA127" s="33"/>
      <c r="GE127" s="31"/>
      <c r="GK127" s="11">
        <v>7.5</v>
      </c>
      <c r="GM127" s="35">
        <f t="shared" si="106"/>
        <v>660</v>
      </c>
      <c r="GN127" s="35">
        <f t="shared" si="125"/>
        <v>0</v>
      </c>
      <c r="GO127" s="15">
        <f t="shared" si="156"/>
        <v>1.0543877862116871</v>
      </c>
      <c r="GP127" s="28">
        <f t="shared" si="157"/>
        <v>608.07521769697348</v>
      </c>
      <c r="GQ127" s="28">
        <f t="shared" si="158"/>
        <v>576.70927684180481</v>
      </c>
      <c r="GR127" s="33"/>
      <c r="GV127" s="31"/>
      <c r="HB127" s="11">
        <v>6.5</v>
      </c>
      <c r="HD127" s="35">
        <f t="shared" si="107"/>
        <v>572</v>
      </c>
      <c r="HE127" s="35">
        <f t="shared" si="126"/>
        <v>0</v>
      </c>
      <c r="HF127" s="15">
        <f t="shared" si="159"/>
        <v>0.95086238618172469</v>
      </c>
      <c r="HG127" s="28">
        <f t="shared" si="160"/>
        <v>188.06586411312793</v>
      </c>
      <c r="HH127" s="28">
        <f t="shared" si="161"/>
        <v>197.784523655756</v>
      </c>
      <c r="HI127" s="33"/>
      <c r="HM127" s="31"/>
      <c r="HU127" s="35">
        <f t="shared" si="108"/>
        <v>0</v>
      </c>
      <c r="HV127" s="35">
        <f t="shared" si="127"/>
        <v>0</v>
      </c>
      <c r="HW127" s="15">
        <f t="shared" si="162"/>
        <v>1.7946304942784552E-2</v>
      </c>
      <c r="HX127" s="28">
        <f t="shared" si="163"/>
        <v>0.15057339114681265</v>
      </c>
      <c r="HY127" s="28">
        <f t="shared" si="164"/>
        <v>8.3902169068709505</v>
      </c>
      <c r="HZ127" s="33"/>
      <c r="ID127" s="31"/>
      <c r="II127" s="12"/>
      <c r="IL127" s="35">
        <f t="shared" si="109"/>
        <v>0</v>
      </c>
      <c r="IM127" s="35">
        <f t="shared" si="110"/>
        <v>4714.8953547681604</v>
      </c>
      <c r="IN127" s="15">
        <f t="shared" si="165"/>
        <v>5.7356557690629016E-4</v>
      </c>
      <c r="IO127" s="28">
        <f t="shared" si="166"/>
        <v>6.4173351048549725E-3</v>
      </c>
      <c r="IP127" s="28">
        <f t="shared" si="167"/>
        <v>11.188494155226202</v>
      </c>
      <c r="IQ127" s="33"/>
      <c r="IU127" s="31"/>
      <c r="JC127" s="35">
        <f t="shared" si="180"/>
        <v>0</v>
      </c>
      <c r="JD127" s="35">
        <f t="shared" si="112"/>
        <v>5858.2956849491984</v>
      </c>
      <c r="JE127" s="15" t="e">
        <f t="shared" si="168"/>
        <v>#DIV/0!</v>
      </c>
      <c r="JF127" s="28">
        <f t="shared" si="169"/>
        <v>0</v>
      </c>
      <c r="JG127" s="28">
        <f t="shared" si="170"/>
        <v>0</v>
      </c>
      <c r="JH127" s="33"/>
      <c r="JL127" s="31"/>
      <c r="JR127" s="99"/>
      <c r="JS127" s="99"/>
      <c r="JT127" s="99"/>
      <c r="JU127" s="99"/>
      <c r="JV127" s="99"/>
      <c r="JW127" s="99"/>
      <c r="JX127" s="99"/>
      <c r="JY127" s="99"/>
      <c r="JZ127" s="99"/>
      <c r="KA127" s="99"/>
      <c r="KB127" s="99"/>
      <c r="KC127" s="99"/>
      <c r="KD127" s="99"/>
      <c r="KE127" s="99"/>
      <c r="KF127" s="99"/>
      <c r="KG127" s="99"/>
      <c r="KH127" s="99"/>
      <c r="KI127" s="99"/>
      <c r="KJ127" s="99"/>
      <c r="KK127" s="99"/>
      <c r="KL127" s="99"/>
      <c r="KM127" s="99"/>
      <c r="KN127" s="99"/>
      <c r="KO127" s="99"/>
      <c r="KP127" s="99"/>
      <c r="KQ127" s="99"/>
      <c r="KR127" s="99"/>
      <c r="KS127" s="99"/>
      <c r="KT127" s="99"/>
      <c r="KU127" s="99"/>
      <c r="KV127" s="99"/>
      <c r="KW127" s="99"/>
      <c r="KX127" s="99"/>
      <c r="KY127" s="99"/>
      <c r="KZ127" s="99"/>
      <c r="LA127" s="99"/>
      <c r="LB127" s="99"/>
      <c r="LC127" s="99"/>
      <c r="LD127" s="99"/>
      <c r="LE127" s="99"/>
      <c r="LF127" s="99"/>
      <c r="LG127" s="99"/>
      <c r="LH127" s="99"/>
      <c r="LI127" s="99"/>
      <c r="LJ127" s="99"/>
      <c r="LK127" s="99"/>
      <c r="LL127" s="99"/>
      <c r="LM127" s="99"/>
      <c r="LN127" s="99"/>
      <c r="LO127" s="99"/>
      <c r="LP127" s="99"/>
      <c r="LQ127" s="99"/>
      <c r="LR127" s="99"/>
      <c r="LS127" s="99"/>
      <c r="LT127" s="99"/>
      <c r="LU127" s="99"/>
      <c r="LV127" s="99"/>
      <c r="LW127" s="99"/>
      <c r="LX127" s="99"/>
      <c r="LY127" s="99"/>
      <c r="LZ127" s="99"/>
      <c r="MA127" s="99"/>
      <c r="MB127" s="99"/>
      <c r="MC127" s="99"/>
      <c r="MD127" s="99"/>
      <c r="ME127" s="99"/>
      <c r="MF127" s="99"/>
    </row>
    <row r="128" spans="1:344" ht="17.25" customHeight="1" x14ac:dyDescent="0.25">
      <c r="A128" s="156"/>
      <c r="B128" s="81" t="s">
        <v>6</v>
      </c>
      <c r="C128" s="82">
        <v>45262</v>
      </c>
      <c r="D128" s="49">
        <v>12</v>
      </c>
      <c r="F128" s="103">
        <v>60</v>
      </c>
      <c r="G128" s="89">
        <f t="shared" si="93"/>
        <v>5.9249999999999998</v>
      </c>
      <c r="H128" s="35">
        <f t="shared" si="94"/>
        <v>355.5</v>
      </c>
      <c r="I128" s="39"/>
      <c r="L128" s="89">
        <f t="shared" si="95"/>
        <v>0</v>
      </c>
      <c r="M128" s="35">
        <f t="shared" si="113"/>
        <v>0</v>
      </c>
      <c r="N128" s="35">
        <f t="shared" si="114"/>
        <v>355.5</v>
      </c>
      <c r="O128" s="97"/>
      <c r="P128" s="150"/>
      <c r="W128" s="11">
        <v>5</v>
      </c>
      <c r="X128" s="1">
        <v>0</v>
      </c>
      <c r="Y128" s="35">
        <f t="shared" si="96"/>
        <v>300</v>
      </c>
      <c r="Z128" s="35">
        <f t="shared" si="115"/>
        <v>0</v>
      </c>
      <c r="AA128" s="15">
        <f t="shared" si="128"/>
        <v>1.0574124772070996</v>
      </c>
      <c r="AB128" s="43">
        <f t="shared" si="173"/>
        <v>524.21948798656126</v>
      </c>
      <c r="AC128" s="43">
        <f t="shared" si="174"/>
        <v>495.75685863964907</v>
      </c>
      <c r="AD128" s="33"/>
      <c r="AH128" s="31"/>
      <c r="AN128" s="11">
        <v>7.5</v>
      </c>
      <c r="AP128" s="35">
        <f t="shared" si="97"/>
        <v>450</v>
      </c>
      <c r="AQ128" s="35">
        <f t="shared" si="116"/>
        <v>0</v>
      </c>
      <c r="AR128" s="15">
        <f t="shared" si="129"/>
        <v>1.0868018506192454</v>
      </c>
      <c r="AS128" s="28">
        <f t="shared" si="130"/>
        <v>623.07404858374048</v>
      </c>
      <c r="AT128" s="28">
        <f t="shared" si="131"/>
        <v>573.30970519485322</v>
      </c>
      <c r="AU128" s="33"/>
      <c r="AY128" s="31"/>
      <c r="BE128" s="86"/>
      <c r="BF128" s="87"/>
      <c r="BG128" s="35">
        <f t="shared" si="98"/>
        <v>0</v>
      </c>
      <c r="BH128" s="35">
        <f t="shared" si="117"/>
        <v>0</v>
      </c>
      <c r="BI128" s="15">
        <f t="shared" si="132"/>
        <v>0.16717450652599378</v>
      </c>
      <c r="BJ128" s="28">
        <f t="shared" si="133"/>
        <v>33.952947834977074</v>
      </c>
      <c r="BK128" s="28">
        <f t="shared" si="134"/>
        <v>203.09883690129374</v>
      </c>
      <c r="BL128" s="33"/>
      <c r="BP128" s="31"/>
      <c r="BV128" s="11">
        <v>4</v>
      </c>
      <c r="BX128" s="35">
        <f t="shared" si="99"/>
        <v>240</v>
      </c>
      <c r="BY128" s="35">
        <f t="shared" si="118"/>
        <v>0</v>
      </c>
      <c r="BZ128" s="15">
        <f t="shared" si="135"/>
        <v>0.90911880277811086</v>
      </c>
      <c r="CA128" s="28">
        <f t="shared" si="136"/>
        <v>408.59045269772992</v>
      </c>
      <c r="CB128" s="28">
        <f t="shared" si="137"/>
        <v>449.43570790654388</v>
      </c>
      <c r="CC128" s="33"/>
      <c r="CG128" s="31"/>
      <c r="CM128" s="11">
        <v>6</v>
      </c>
      <c r="CO128" s="35">
        <f t="shared" si="100"/>
        <v>360</v>
      </c>
      <c r="CP128" s="35">
        <f t="shared" si="119"/>
        <v>0</v>
      </c>
      <c r="CQ128" s="15">
        <f t="shared" si="138"/>
        <v>1.0020168738513446</v>
      </c>
      <c r="CR128" s="28">
        <f t="shared" si="139"/>
        <v>539.08417030741998</v>
      </c>
      <c r="CS128" s="28">
        <f t="shared" si="140"/>
        <v>537.99909400267882</v>
      </c>
      <c r="CT128" s="33"/>
      <c r="CX128" s="31"/>
      <c r="DD128" s="11">
        <v>4</v>
      </c>
      <c r="DF128" s="35">
        <f t="shared" si="101"/>
        <v>240</v>
      </c>
      <c r="DG128" s="35">
        <f t="shared" si="120"/>
        <v>0</v>
      </c>
      <c r="DH128" s="15">
        <f t="shared" si="141"/>
        <v>0.87792637460632328</v>
      </c>
      <c r="DI128" s="28">
        <f t="shared" si="142"/>
        <v>364.84105940690267</v>
      </c>
      <c r="DJ128" s="28">
        <f t="shared" si="143"/>
        <v>415.57136220050734</v>
      </c>
      <c r="DK128" s="33"/>
      <c r="DO128" s="31"/>
      <c r="DU128" s="11">
        <v>4.0999999999999996</v>
      </c>
      <c r="DW128" s="35">
        <f t="shared" si="102"/>
        <v>245.99999999999997</v>
      </c>
      <c r="DX128" s="35">
        <f t="shared" si="121"/>
        <v>0</v>
      </c>
      <c r="DY128" s="15">
        <f t="shared" si="144"/>
        <v>0.89223492531331161</v>
      </c>
      <c r="DZ128" s="28">
        <f t="shared" si="145"/>
        <v>365.72256275622431</v>
      </c>
      <c r="EA128" s="28">
        <f t="shared" si="146"/>
        <v>409.89491935411456</v>
      </c>
      <c r="EB128" s="33"/>
      <c r="EF128" s="31"/>
      <c r="EL128" s="11">
        <v>6</v>
      </c>
      <c r="EN128" s="35">
        <f t="shared" si="103"/>
        <v>360</v>
      </c>
      <c r="EO128" s="35">
        <f t="shared" si="122"/>
        <v>0</v>
      </c>
      <c r="EP128" s="15">
        <f t="shared" si="147"/>
        <v>0.99195786477899306</v>
      </c>
      <c r="EQ128" s="28">
        <f t="shared" si="148"/>
        <v>501.80091267044844</v>
      </c>
      <c r="ER128" s="28">
        <f t="shared" si="149"/>
        <v>505.86918102841901</v>
      </c>
      <c r="ES128" s="33"/>
      <c r="EW128" s="31"/>
      <c r="FC128" s="11">
        <v>7.65</v>
      </c>
      <c r="FE128" s="35">
        <f t="shared" si="104"/>
        <v>459</v>
      </c>
      <c r="FF128" s="35">
        <f t="shared" si="123"/>
        <v>0</v>
      </c>
      <c r="FG128" s="15">
        <f t="shared" si="150"/>
        <v>1.0137453679585267</v>
      </c>
      <c r="FH128" s="28">
        <f t="shared" si="151"/>
        <v>570.1132043884661</v>
      </c>
      <c r="FI128" s="28">
        <f t="shared" si="152"/>
        <v>562.38304253518425</v>
      </c>
      <c r="FJ128" s="33"/>
      <c r="FN128" s="31"/>
      <c r="FT128" s="11">
        <v>8</v>
      </c>
      <c r="FV128" s="35">
        <f t="shared" si="105"/>
        <v>480</v>
      </c>
      <c r="FW128" s="35">
        <f t="shared" si="124"/>
        <v>0</v>
      </c>
      <c r="FX128" s="15">
        <f t="shared" si="153"/>
        <v>1.0306604375754163</v>
      </c>
      <c r="FY128" s="28">
        <f t="shared" si="154"/>
        <v>521.1639988618482</v>
      </c>
      <c r="FZ128" s="28">
        <f t="shared" si="155"/>
        <v>505.66023479844029</v>
      </c>
      <c r="GA128" s="33"/>
      <c r="GE128" s="31"/>
      <c r="GK128" s="11">
        <v>7</v>
      </c>
      <c r="GM128" s="35">
        <f t="shared" si="106"/>
        <v>420</v>
      </c>
      <c r="GN128" s="35">
        <f t="shared" si="125"/>
        <v>0</v>
      </c>
      <c r="GO128" s="15">
        <f t="shared" si="156"/>
        <v>0.99143786475933349</v>
      </c>
      <c r="GP128" s="28">
        <f t="shared" si="157"/>
        <v>561.05641327273008</v>
      </c>
      <c r="GQ128" s="28">
        <f t="shared" si="158"/>
        <v>565.90174050788721</v>
      </c>
      <c r="GR128" s="33"/>
      <c r="GV128" s="31"/>
      <c r="HB128" s="11">
        <v>5</v>
      </c>
      <c r="HD128" s="35">
        <f t="shared" si="107"/>
        <v>300</v>
      </c>
      <c r="HE128" s="35">
        <f t="shared" si="126"/>
        <v>0</v>
      </c>
      <c r="HF128" s="15">
        <f t="shared" si="159"/>
        <v>1.054754281629823</v>
      </c>
      <c r="HG128" s="28">
        <f t="shared" si="160"/>
        <v>216.04939808484596</v>
      </c>
      <c r="HH128" s="28">
        <f t="shared" si="161"/>
        <v>204.83386685191078</v>
      </c>
      <c r="HI128" s="33"/>
      <c r="HM128" s="31"/>
      <c r="HU128" s="35">
        <f t="shared" si="108"/>
        <v>0</v>
      </c>
      <c r="HV128" s="35">
        <f t="shared" si="127"/>
        <v>0</v>
      </c>
      <c r="HW128" s="15">
        <f t="shared" si="162"/>
        <v>1.4456745648354221E-2</v>
      </c>
      <c r="HX128" s="28">
        <f t="shared" si="163"/>
        <v>0.11293004336010948</v>
      </c>
      <c r="HY128" s="28">
        <f t="shared" si="164"/>
        <v>7.8115812581212296</v>
      </c>
      <c r="HZ128" s="33"/>
      <c r="ID128" s="31"/>
      <c r="II128" s="12"/>
      <c r="IL128" s="35">
        <f t="shared" si="109"/>
        <v>0</v>
      </c>
      <c r="IM128" s="35">
        <f t="shared" si="110"/>
        <v>4124.2677067319728</v>
      </c>
      <c r="IN128" s="15">
        <f t="shared" si="165"/>
        <v>4.6203893695228936E-4</v>
      </c>
      <c r="IO128" s="28">
        <f t="shared" si="166"/>
        <v>4.8130013286412296E-3</v>
      </c>
      <c r="IP128" s="28">
        <f t="shared" si="167"/>
        <v>10.416873868658877</v>
      </c>
      <c r="IQ128" s="33"/>
      <c r="IU128" s="31"/>
      <c r="JC128" s="35">
        <f t="shared" si="180"/>
        <v>0</v>
      </c>
      <c r="JD128" s="35">
        <f t="shared" si="112"/>
        <v>5209.338201864628</v>
      </c>
      <c r="JE128" s="15" t="e">
        <f t="shared" si="168"/>
        <v>#DIV/0!</v>
      </c>
      <c r="JF128" s="28">
        <f t="shared" si="169"/>
        <v>0</v>
      </c>
      <c r="JG128" s="28">
        <f t="shared" si="170"/>
        <v>0</v>
      </c>
      <c r="JH128" s="33"/>
      <c r="JL128" s="31"/>
      <c r="JR128" s="99"/>
      <c r="JS128" s="99"/>
      <c r="JT128" s="99"/>
      <c r="JU128" s="99"/>
      <c r="JV128" s="99"/>
      <c r="JW128" s="99"/>
      <c r="JX128" s="99"/>
      <c r="JY128" s="99"/>
      <c r="JZ128" s="99"/>
      <c r="KA128" s="99"/>
      <c r="KB128" s="99"/>
      <c r="KC128" s="99"/>
      <c r="KD128" s="99"/>
      <c r="KE128" s="99"/>
      <c r="KF128" s="99"/>
      <c r="KG128" s="99"/>
      <c r="KH128" s="99"/>
      <c r="KI128" s="99"/>
      <c r="KJ128" s="99"/>
      <c r="KK128" s="99"/>
      <c r="KL128" s="99"/>
      <c r="KM128" s="99"/>
      <c r="KN128" s="99"/>
      <c r="KO128" s="99"/>
      <c r="KP128" s="99"/>
      <c r="KQ128" s="99"/>
      <c r="KR128" s="99"/>
      <c r="KS128" s="99"/>
      <c r="KT128" s="99"/>
      <c r="KU128" s="99"/>
      <c r="KV128" s="99"/>
      <c r="KW128" s="99"/>
      <c r="KX128" s="99"/>
      <c r="KY128" s="99"/>
      <c r="KZ128" s="99"/>
      <c r="LA128" s="99"/>
      <c r="LB128" s="99"/>
      <c r="LC128" s="99"/>
      <c r="LD128" s="99"/>
      <c r="LE128" s="99"/>
      <c r="LF128" s="99"/>
      <c r="LG128" s="99"/>
      <c r="LH128" s="99"/>
      <c r="LI128" s="99"/>
      <c r="LJ128" s="99"/>
      <c r="LK128" s="99"/>
      <c r="LL128" s="99"/>
      <c r="LM128" s="99"/>
      <c r="LN128" s="99"/>
      <c r="LO128" s="99"/>
      <c r="LP128" s="99"/>
      <c r="LQ128" s="99"/>
      <c r="LR128" s="99"/>
      <c r="LS128" s="99"/>
      <c r="LT128" s="99"/>
      <c r="LU128" s="99"/>
      <c r="LV128" s="99"/>
      <c r="LW128" s="99"/>
      <c r="LX128" s="99"/>
      <c r="LY128" s="99"/>
      <c r="LZ128" s="99"/>
      <c r="MA128" s="99"/>
      <c r="MB128" s="99"/>
      <c r="MC128" s="99"/>
      <c r="MD128" s="99"/>
      <c r="ME128" s="99"/>
      <c r="MF128" s="99"/>
    </row>
    <row r="129" spans="1:344" ht="17.25" customHeight="1" x14ac:dyDescent="0.25">
      <c r="A129" s="157"/>
      <c r="B129" s="92" t="s">
        <v>7</v>
      </c>
      <c r="C129" s="93">
        <v>45263</v>
      </c>
      <c r="D129" s="51"/>
      <c r="E129" s="48"/>
      <c r="F129" s="104"/>
      <c r="G129" s="37">
        <f t="shared" si="93"/>
        <v>0</v>
      </c>
      <c r="H129" s="26">
        <f t="shared" si="94"/>
        <v>0</v>
      </c>
      <c r="I129" s="48">
        <v>10</v>
      </c>
      <c r="J129" s="48"/>
      <c r="K129" s="104">
        <v>100</v>
      </c>
      <c r="L129" s="37">
        <f t="shared" si="95"/>
        <v>8.0500000000000007</v>
      </c>
      <c r="M129" s="26">
        <f t="shared" si="113"/>
        <v>805.00000000000011</v>
      </c>
      <c r="N129" s="26">
        <f t="shared" si="114"/>
        <v>805.00000000000011</v>
      </c>
      <c r="O129" s="98"/>
      <c r="P129" s="151"/>
      <c r="Q129" s="125"/>
      <c r="R129" s="115"/>
      <c r="S129" s="130"/>
      <c r="T129" s="110"/>
      <c r="U129" s="120"/>
      <c r="V129" s="23"/>
      <c r="W129" s="13">
        <v>0</v>
      </c>
      <c r="X129" s="2">
        <v>8.1999999999999993</v>
      </c>
      <c r="Y129" s="26">
        <f t="shared" si="96"/>
        <v>819.99999999999989</v>
      </c>
      <c r="Z129" s="26">
        <f t="shared" si="115"/>
        <v>0</v>
      </c>
      <c r="AA129" s="16">
        <f t="shared" si="128"/>
        <v>1.154493939917413</v>
      </c>
      <c r="AB129" s="44">
        <f t="shared" si="173"/>
        <v>598.16461598992089</v>
      </c>
      <c r="AC129" s="44">
        <f t="shared" si="174"/>
        <v>518.11845459553535</v>
      </c>
      <c r="AD129" s="34"/>
      <c r="AE129" s="4"/>
      <c r="AF129" s="5"/>
      <c r="AG129" s="6"/>
      <c r="AH129" s="32"/>
      <c r="AI129" s="3"/>
      <c r="AJ129" s="4"/>
      <c r="AK129" s="5"/>
      <c r="AL129" s="6"/>
      <c r="AM129" s="14"/>
      <c r="AN129" s="13"/>
      <c r="AO129" s="2">
        <v>9</v>
      </c>
      <c r="AP129" s="26">
        <f t="shared" si="97"/>
        <v>900</v>
      </c>
      <c r="AQ129" s="26">
        <f t="shared" si="116"/>
        <v>0</v>
      </c>
      <c r="AR129" s="16">
        <f t="shared" si="129"/>
        <v>1.161898252372809</v>
      </c>
      <c r="AS129" s="29">
        <f t="shared" si="130"/>
        <v>692.30553643780536</v>
      </c>
      <c r="AT129" s="29">
        <f t="shared" si="131"/>
        <v>595.84007035382888</v>
      </c>
      <c r="AU129" s="34"/>
      <c r="AV129" s="4"/>
      <c r="AW129" s="5"/>
      <c r="AX129" s="6"/>
      <c r="AY129" s="32"/>
      <c r="AZ129" s="3"/>
      <c r="BA129" s="4"/>
      <c r="BB129" s="5"/>
      <c r="BC129" s="6"/>
      <c r="BD129" s="14"/>
      <c r="BE129" s="95"/>
      <c r="BF129" s="96"/>
      <c r="BG129" s="26">
        <f t="shared" si="98"/>
        <v>0</v>
      </c>
      <c r="BH129" s="26">
        <f t="shared" si="117"/>
        <v>0</v>
      </c>
      <c r="BI129" s="16">
        <f t="shared" si="132"/>
        <v>0.13466835247927278</v>
      </c>
      <c r="BJ129" s="29">
        <f t="shared" si="133"/>
        <v>25.464710876232807</v>
      </c>
      <c r="BK129" s="29">
        <f t="shared" si="134"/>
        <v>189.09202056327348</v>
      </c>
      <c r="BL129" s="34"/>
      <c r="BM129" s="4"/>
      <c r="BN129" s="5"/>
      <c r="BO129" s="6"/>
      <c r="BP129" s="32"/>
      <c r="BQ129" s="3"/>
      <c r="BR129" s="4"/>
      <c r="BS129" s="5"/>
      <c r="BT129" s="6"/>
      <c r="BU129" s="14"/>
      <c r="BV129" s="13"/>
      <c r="BW129" s="2">
        <v>10</v>
      </c>
      <c r="BX129" s="26">
        <f t="shared" si="99"/>
        <v>1000</v>
      </c>
      <c r="BY129" s="26">
        <f t="shared" si="118"/>
        <v>0</v>
      </c>
      <c r="BZ129" s="16">
        <f t="shared" si="135"/>
        <v>1.1416421396654277</v>
      </c>
      <c r="CA129" s="29">
        <f t="shared" si="136"/>
        <v>556.44283952329738</v>
      </c>
      <c r="CB129" s="29">
        <f t="shared" si="137"/>
        <v>487.40565908540293</v>
      </c>
      <c r="CC129" s="34"/>
      <c r="CD129" s="4"/>
      <c r="CE129" s="5"/>
      <c r="CF129" s="6"/>
      <c r="CG129" s="32"/>
      <c r="CH129" s="3"/>
      <c r="CI129" s="4"/>
      <c r="CJ129" s="5"/>
      <c r="CK129" s="6"/>
      <c r="CL129" s="14"/>
      <c r="CM129" s="13"/>
      <c r="CN129" s="2">
        <v>6.5</v>
      </c>
      <c r="CO129" s="26">
        <f t="shared" si="100"/>
        <v>650</v>
      </c>
      <c r="CP129" s="26">
        <f t="shared" si="119"/>
        <v>0</v>
      </c>
      <c r="CQ129" s="16">
        <f t="shared" si="138"/>
        <v>1.0386456534475697</v>
      </c>
      <c r="CR129" s="29">
        <f t="shared" si="139"/>
        <v>566.81312773056493</v>
      </c>
      <c r="CS129" s="29">
        <f t="shared" si="140"/>
        <v>545.7232944162871</v>
      </c>
      <c r="CT129" s="34"/>
      <c r="CU129" s="4"/>
      <c r="CV129" s="5"/>
      <c r="CW129" s="6"/>
      <c r="CX129" s="32"/>
      <c r="CY129" s="3"/>
      <c r="CZ129" s="4"/>
      <c r="DA129" s="5"/>
      <c r="DB129" s="6"/>
      <c r="DC129" s="14"/>
      <c r="DD129" s="13"/>
      <c r="DE129" s="2">
        <v>8</v>
      </c>
      <c r="DF129" s="26">
        <f t="shared" si="101"/>
        <v>800</v>
      </c>
      <c r="DG129" s="26">
        <f t="shared" si="120"/>
        <v>0</v>
      </c>
      <c r="DH129" s="16">
        <f t="shared" si="141"/>
        <v>1.071360047401501</v>
      </c>
      <c r="DI129" s="29">
        <f t="shared" si="142"/>
        <v>473.63079455517698</v>
      </c>
      <c r="DJ129" s="29">
        <f t="shared" si="143"/>
        <v>442.08368204874819</v>
      </c>
      <c r="DK129" s="34"/>
      <c r="DL129" s="4"/>
      <c r="DM129" s="5"/>
      <c r="DN129" s="6"/>
      <c r="DO129" s="32"/>
      <c r="DP129" s="3"/>
      <c r="DQ129" s="4"/>
      <c r="DR129" s="5"/>
      <c r="DS129" s="6"/>
      <c r="DT129" s="14"/>
      <c r="DU129" s="13"/>
      <c r="DV129" s="2">
        <v>7.8</v>
      </c>
      <c r="DW129" s="26">
        <f t="shared" si="102"/>
        <v>780</v>
      </c>
      <c r="DX129" s="26">
        <f t="shared" si="121"/>
        <v>0</v>
      </c>
      <c r="DY129" s="16">
        <f t="shared" si="144"/>
        <v>1.0777928447736251</v>
      </c>
      <c r="DZ129" s="29">
        <f t="shared" si="145"/>
        <v>469.29192206716823</v>
      </c>
      <c r="EA129" s="29">
        <f t="shared" si="146"/>
        <v>435.41940767452047</v>
      </c>
      <c r="EB129" s="34"/>
      <c r="EC129" s="4"/>
      <c r="ED129" s="5"/>
      <c r="EE129" s="6"/>
      <c r="EF129" s="32"/>
      <c r="EG129" s="3"/>
      <c r="EH129" s="4"/>
      <c r="EI129" s="5"/>
      <c r="EJ129" s="6"/>
      <c r="EK129" s="14"/>
      <c r="EL129" s="13"/>
      <c r="EM129" s="2">
        <v>5</v>
      </c>
      <c r="EN129" s="26">
        <f t="shared" si="103"/>
        <v>500</v>
      </c>
      <c r="EO129" s="26">
        <f t="shared" si="122"/>
        <v>0</v>
      </c>
      <c r="EP129" s="16">
        <f t="shared" si="147"/>
        <v>0.99186149343175112</v>
      </c>
      <c r="EQ129" s="29">
        <f t="shared" si="148"/>
        <v>501.35068450283632</v>
      </c>
      <c r="ER129" s="29">
        <f t="shared" si="149"/>
        <v>505.46440992301081</v>
      </c>
      <c r="ES129" s="34"/>
      <c r="ET129" s="4"/>
      <c r="EU129" s="5"/>
      <c r="EV129" s="6"/>
      <c r="EW129" s="32"/>
      <c r="EX129" s="3"/>
      <c r="EY129" s="4"/>
      <c r="EZ129" s="5"/>
      <c r="FA129" s="6"/>
      <c r="FB129" s="14"/>
      <c r="FC129" s="13"/>
      <c r="FD129" s="2">
        <v>9</v>
      </c>
      <c r="FE129" s="26">
        <f t="shared" si="104"/>
        <v>900</v>
      </c>
      <c r="FF129" s="26">
        <f t="shared" si="123"/>
        <v>0</v>
      </c>
      <c r="FG129" s="16">
        <f t="shared" si="150"/>
        <v>1.1142593590047447</v>
      </c>
      <c r="FH129" s="29">
        <f t="shared" si="151"/>
        <v>652.58490329134952</v>
      </c>
      <c r="FI129" s="29">
        <f t="shared" si="152"/>
        <v>585.66697063620597</v>
      </c>
      <c r="FJ129" s="34"/>
      <c r="FK129" s="4"/>
      <c r="FL129" s="5"/>
      <c r="FM129" s="6"/>
      <c r="FN129" s="32"/>
      <c r="FO129" s="3"/>
      <c r="FP129" s="4"/>
      <c r="FQ129" s="5"/>
      <c r="FR129" s="6"/>
      <c r="FS129" s="14"/>
      <c r="FT129" s="13"/>
      <c r="FU129" s="2">
        <v>7</v>
      </c>
      <c r="FV129" s="26">
        <f t="shared" si="105"/>
        <v>700</v>
      </c>
      <c r="FW129" s="26">
        <f t="shared" si="124"/>
        <v>0</v>
      </c>
      <c r="FX129" s="16">
        <f t="shared" si="153"/>
        <v>1.0901817774991474</v>
      </c>
      <c r="FY129" s="29">
        <f t="shared" si="154"/>
        <v>565.87299914638618</v>
      </c>
      <c r="FZ129" s="29">
        <f t="shared" si="155"/>
        <v>519.06297722613397</v>
      </c>
      <c r="GA129" s="34"/>
      <c r="GB129" s="4"/>
      <c r="GC129" s="5"/>
      <c r="GD129" s="6"/>
      <c r="GE129" s="32"/>
      <c r="GF129" s="3"/>
      <c r="GG129" s="4"/>
      <c r="GH129" s="5"/>
      <c r="GI129" s="6"/>
      <c r="GJ129" s="14"/>
      <c r="GK129" s="13"/>
      <c r="GL129" s="2">
        <v>10</v>
      </c>
      <c r="GM129" s="26">
        <f t="shared" si="106"/>
        <v>1000</v>
      </c>
      <c r="GN129" s="26">
        <f t="shared" si="125"/>
        <v>0</v>
      </c>
      <c r="GO129" s="16">
        <f t="shared" si="156"/>
        <v>1.1257935265586019</v>
      </c>
      <c r="GP129" s="29">
        <f t="shared" si="157"/>
        <v>670.79230995454759</v>
      </c>
      <c r="GQ129" s="29">
        <f t="shared" si="158"/>
        <v>595.83955150734323</v>
      </c>
      <c r="GR129" s="34"/>
      <c r="GS129" s="4"/>
      <c r="GT129" s="5"/>
      <c r="GU129" s="6"/>
      <c r="GV129" s="32"/>
      <c r="GW129" s="3"/>
      <c r="GX129" s="4"/>
      <c r="GY129" s="5"/>
      <c r="GZ129" s="6"/>
      <c r="HA129" s="14"/>
      <c r="HB129" s="13"/>
      <c r="HC129" s="2"/>
      <c r="HD129" s="26">
        <f t="shared" si="107"/>
        <v>0</v>
      </c>
      <c r="HE129" s="26">
        <f t="shared" si="126"/>
        <v>0</v>
      </c>
      <c r="HF129" s="16">
        <f t="shared" si="159"/>
        <v>0.84966317131291291</v>
      </c>
      <c r="HG129" s="29">
        <f t="shared" si="160"/>
        <v>162.03704856363447</v>
      </c>
      <c r="HH129" s="29">
        <f t="shared" si="161"/>
        <v>190.70739327591693</v>
      </c>
      <c r="HI129" s="34"/>
      <c r="HJ129" s="4"/>
      <c r="HK129" s="5"/>
      <c r="HL129" s="6"/>
      <c r="HM129" s="32"/>
      <c r="HN129" s="3"/>
      <c r="HO129" s="4"/>
      <c r="HP129" s="5"/>
      <c r="HQ129" s="6"/>
      <c r="HR129" s="14"/>
      <c r="HS129" s="13"/>
      <c r="HT129" s="2"/>
      <c r="HU129" s="26">
        <f t="shared" si="108"/>
        <v>0</v>
      </c>
      <c r="HV129" s="26">
        <f t="shared" si="127"/>
        <v>0</v>
      </c>
      <c r="HW129" s="16">
        <f t="shared" si="162"/>
        <v>1.1645711772285345E-2</v>
      </c>
      <c r="HX129" s="29">
        <f t="shared" si="163"/>
        <v>8.4697532520082108E-2</v>
      </c>
      <c r="HY129" s="29">
        <f t="shared" si="164"/>
        <v>7.2728515161818343</v>
      </c>
      <c r="HZ129" s="34"/>
      <c r="IA129" s="4"/>
      <c r="IB129" s="5"/>
      <c r="IC129" s="6"/>
      <c r="ID129" s="32"/>
      <c r="IE129" s="3"/>
      <c r="IF129" s="4"/>
      <c r="IG129" s="5"/>
      <c r="IH129" s="6"/>
      <c r="II129" s="14"/>
      <c r="IJ129" s="13"/>
      <c r="IK129" s="2"/>
      <c r="IL129" s="26">
        <f t="shared" si="109"/>
        <v>0</v>
      </c>
      <c r="IM129" s="26">
        <f t="shared" si="110"/>
        <v>5666.2245799392003</v>
      </c>
      <c r="IN129" s="16">
        <f t="shared" si="165"/>
        <v>3.7219803254489973E-4</v>
      </c>
      <c r="IO129" s="29">
        <f t="shared" si="166"/>
        <v>3.6097509964809222E-3</v>
      </c>
      <c r="IP129" s="29">
        <f t="shared" si="167"/>
        <v>9.6984687742686102</v>
      </c>
      <c r="IQ129" s="34"/>
      <c r="IR129" s="4"/>
      <c r="IS129" s="5"/>
      <c r="IT129" s="6"/>
      <c r="IU129" s="32"/>
      <c r="IV129" s="3"/>
      <c r="IW129" s="4"/>
      <c r="IX129" s="5"/>
      <c r="IY129" s="6"/>
      <c r="IZ129" s="14"/>
      <c r="JA129" s="13"/>
      <c r="JB129" s="2"/>
      <c r="JC129" s="26">
        <f t="shared" si="180"/>
        <v>0</v>
      </c>
      <c r="JD129" s="26">
        <f t="shared" si="112"/>
        <v>5648.9849199640375</v>
      </c>
      <c r="JE129" s="16" t="e">
        <f t="shared" si="168"/>
        <v>#DIV/0!</v>
      </c>
      <c r="JF129" s="29">
        <f t="shared" si="169"/>
        <v>0</v>
      </c>
      <c r="JG129" s="29">
        <f t="shared" si="170"/>
        <v>0</v>
      </c>
      <c r="JH129" s="34"/>
      <c r="JI129" s="4"/>
      <c r="JJ129" s="5"/>
      <c r="JK129" s="6"/>
      <c r="JL129" s="32"/>
      <c r="JM129" s="3"/>
      <c r="JN129" s="4"/>
      <c r="JO129" s="5"/>
      <c r="JP129" s="6"/>
      <c r="JQ129" s="14"/>
      <c r="JR129" s="99"/>
      <c r="JS129" s="99"/>
      <c r="JT129" s="99"/>
      <c r="JU129" s="99"/>
      <c r="JV129" s="99"/>
      <c r="JW129" s="99"/>
      <c r="JX129" s="99"/>
      <c r="JY129" s="99"/>
      <c r="JZ129" s="99"/>
      <c r="KA129" s="99"/>
      <c r="KB129" s="99"/>
      <c r="KC129" s="99"/>
      <c r="KD129" s="99"/>
      <c r="KE129" s="99"/>
      <c r="KF129" s="99"/>
      <c r="KG129" s="99"/>
      <c r="KH129" s="99"/>
      <c r="KI129" s="99"/>
      <c r="KJ129" s="99"/>
      <c r="KK129" s="99"/>
      <c r="KL129" s="99"/>
      <c r="KM129" s="99"/>
      <c r="KN129" s="99"/>
      <c r="KO129" s="99"/>
      <c r="KP129" s="99"/>
      <c r="KQ129" s="99"/>
      <c r="KR129" s="99"/>
      <c r="KS129" s="99"/>
      <c r="KT129" s="99"/>
      <c r="KU129" s="99"/>
      <c r="KV129" s="99"/>
      <c r="KW129" s="99"/>
      <c r="KX129" s="99"/>
      <c r="KY129" s="99"/>
      <c r="KZ129" s="99"/>
      <c r="LA129" s="99"/>
      <c r="LB129" s="99"/>
      <c r="LC129" s="99"/>
      <c r="LD129" s="99"/>
      <c r="LE129" s="99"/>
      <c r="LF129" s="99"/>
      <c r="LG129" s="99"/>
      <c r="LH129" s="99"/>
      <c r="LI129" s="99"/>
      <c r="LJ129" s="99"/>
      <c r="LK129" s="99"/>
      <c r="LL129" s="99"/>
      <c r="LM129" s="99"/>
      <c r="LN129" s="99"/>
      <c r="LO129" s="99"/>
      <c r="LP129" s="99"/>
      <c r="LQ129" s="99"/>
      <c r="LR129" s="99"/>
      <c r="LS129" s="99"/>
      <c r="LT129" s="99"/>
      <c r="LU129" s="99"/>
      <c r="LV129" s="99"/>
      <c r="LW129" s="99"/>
      <c r="LX129" s="99"/>
      <c r="LY129" s="99"/>
      <c r="LZ129" s="99"/>
      <c r="MA129" s="99"/>
      <c r="MB129" s="99"/>
      <c r="MC129" s="99"/>
      <c r="MD129" s="99"/>
      <c r="ME129" s="99"/>
      <c r="MF129" s="99"/>
    </row>
    <row r="130" spans="1:344" ht="17.25" customHeight="1" x14ac:dyDescent="0.25">
      <c r="A130" s="155" t="s">
        <v>24</v>
      </c>
      <c r="B130" s="79" t="s">
        <v>1</v>
      </c>
      <c r="C130" s="80">
        <v>45264</v>
      </c>
      <c r="D130" s="50"/>
      <c r="G130" s="36">
        <f t="shared" si="93"/>
        <v>0</v>
      </c>
      <c r="H130" s="27">
        <f t="shared" si="94"/>
        <v>0</v>
      </c>
      <c r="I130" s="47"/>
      <c r="K130" s="105"/>
      <c r="L130" s="89">
        <f t="shared" si="95"/>
        <v>0</v>
      </c>
      <c r="M130" s="27">
        <f t="shared" si="113"/>
        <v>0</v>
      </c>
      <c r="N130" s="35">
        <f t="shared" si="114"/>
        <v>0</v>
      </c>
      <c r="O130" s="97" t="e">
        <f>SUM($Z130,$BH130,$AQ130,$BY130,$CP130,$DG130,$DX130,$EO130,$FF130,$FW130,$GN130)/I130</f>
        <v>#DIV/0!</v>
      </c>
      <c r="P130" s="149">
        <f t="shared" ref="P130" si="181">SUM(N130:N136)</f>
        <v>3232.0979166666666</v>
      </c>
      <c r="Q130" s="131">
        <f t="shared" ref="Q130" si="182">SUM(AD130+AI130+AU130+AZ130+BL130+BQ130+CC130+CH130+CT130+CY130+DK130+DP130+EB130+EG130+ES130+EX130+FJ130+FO130+GA130+GF130+GR130+GW130)/11</f>
        <v>0</v>
      </c>
      <c r="R130" s="133">
        <f t="shared" ref="R130" si="183">SUM(AE130+AJ130+AV130+BA130+BM130+BR130+CD130+CI130+CU130+CZ130+DL130+DQ130+EC130+EH130+ET130+EY130+FK130+FP130+GB130+GG130+GS130+GX130)/11</f>
        <v>0</v>
      </c>
      <c r="S130" s="135">
        <f t="shared" ref="S130" si="184">SUM(AF130+AK130+AW130+BB130+BN130+BS130+CE130+CJ130+CV130+DA130+DM130+DR130+ED130+EI130+EU130+EZ130+FL130+FQ130+GC130+GH130+GT130+GY130)/11</f>
        <v>0</v>
      </c>
      <c r="T130" s="137">
        <f t="shared" ref="T130" si="185">SUM(AG130+AL130+AX130+BC130+BO130+BT130+CF130+CK130+CW130+DB130+DN130+DS130+EE130+EJ130+EV130+FA130+FM130+FR130+GD130+GI130+GU130+GZ130)/11</f>
        <v>0</v>
      </c>
      <c r="U130" s="143">
        <f t="shared" ref="U130" si="186">SUM(AH130+AM130+AY130+BD130+BP130+BU130+CG130+CL130+CX130+DC130+DO130+DT130+EF130+EK130+EW130+FB130+FN130+FS130+GE130+GJ130+GV130+HA130)/11</f>
        <v>0</v>
      </c>
      <c r="W130" s="11">
        <v>0</v>
      </c>
      <c r="X130" s="1">
        <v>0</v>
      </c>
      <c r="Y130" s="27">
        <f t="shared" si="96"/>
        <v>0</v>
      </c>
      <c r="Z130" s="27">
        <f t="shared" si="115"/>
        <v>0</v>
      </c>
      <c r="AA130" s="15">
        <f t="shared" si="128"/>
        <v>0.93000900715569379</v>
      </c>
      <c r="AB130" s="43">
        <f t="shared" si="173"/>
        <v>448.62346199244064</v>
      </c>
      <c r="AC130" s="43">
        <f t="shared" si="174"/>
        <v>482.38614738205013</v>
      </c>
      <c r="AD130" s="33"/>
      <c r="AH130" s="31"/>
      <c r="AN130" s="86"/>
      <c r="AO130" s="87"/>
      <c r="AP130" s="27">
        <f t="shared" si="97"/>
        <v>0</v>
      </c>
      <c r="AQ130" s="27">
        <f t="shared" si="116"/>
        <v>0</v>
      </c>
      <c r="AR130" s="15">
        <f t="shared" si="129"/>
        <v>0.9359735921892075</v>
      </c>
      <c r="AS130" s="28">
        <f t="shared" si="130"/>
        <v>519.22915232835408</v>
      </c>
      <c r="AT130" s="28">
        <f t="shared" si="131"/>
        <v>554.74765170873718</v>
      </c>
      <c r="AU130" s="33"/>
      <c r="AY130" s="31"/>
      <c r="BE130" s="86"/>
      <c r="BF130" s="87"/>
      <c r="BG130" s="27">
        <f t="shared" si="98"/>
        <v>0</v>
      </c>
      <c r="BH130" s="27">
        <f t="shared" si="117"/>
        <v>0</v>
      </c>
      <c r="BI130" s="15">
        <f t="shared" si="132"/>
        <v>0.10848283949719197</v>
      </c>
      <c r="BJ130" s="28">
        <f t="shared" si="133"/>
        <v>19.098533157174607</v>
      </c>
      <c r="BK130" s="28">
        <f t="shared" si="134"/>
        <v>176.05119155890978</v>
      </c>
      <c r="BL130" s="33"/>
      <c r="BP130" s="31"/>
      <c r="BX130" s="27">
        <f t="shared" si="99"/>
        <v>0</v>
      </c>
      <c r="BY130" s="27">
        <f t="shared" si="118"/>
        <v>0</v>
      </c>
      <c r="BZ130" s="15">
        <f t="shared" si="135"/>
        <v>0.91965616806381667</v>
      </c>
      <c r="CA130" s="28">
        <f t="shared" si="136"/>
        <v>417.33212964247303</v>
      </c>
      <c r="CB130" s="28">
        <f t="shared" si="137"/>
        <v>453.79147570020274</v>
      </c>
      <c r="CC130" s="33"/>
      <c r="CG130" s="31"/>
      <c r="CO130" s="27">
        <f t="shared" si="100"/>
        <v>0</v>
      </c>
      <c r="CP130" s="27">
        <f t="shared" si="119"/>
        <v>0</v>
      </c>
      <c r="CQ130" s="15">
        <f t="shared" si="138"/>
        <v>0.83668677638832001</v>
      </c>
      <c r="CR130" s="28">
        <f t="shared" si="139"/>
        <v>425.1098457979237</v>
      </c>
      <c r="CS130" s="28">
        <f t="shared" si="140"/>
        <v>508.0872051461983</v>
      </c>
      <c r="CT130" s="33"/>
      <c r="CX130" s="31"/>
      <c r="DF130" s="27">
        <f t="shared" si="101"/>
        <v>0</v>
      </c>
      <c r="DG130" s="27">
        <f t="shared" si="120"/>
        <v>0</v>
      </c>
      <c r="DH130" s="15">
        <f t="shared" si="141"/>
        <v>0.86304003818454245</v>
      </c>
      <c r="DI130" s="28">
        <f t="shared" si="142"/>
        <v>355.2230959163827</v>
      </c>
      <c r="DJ130" s="28">
        <f t="shared" si="143"/>
        <v>411.59515225228279</v>
      </c>
      <c r="DK130" s="33"/>
      <c r="DO130" s="31"/>
      <c r="DW130" s="27">
        <f t="shared" si="102"/>
        <v>0</v>
      </c>
      <c r="DX130" s="27">
        <f t="shared" si="121"/>
        <v>0</v>
      </c>
      <c r="DY130" s="15">
        <f t="shared" si="144"/>
        <v>0.86822201384542019</v>
      </c>
      <c r="DZ130" s="28">
        <f t="shared" si="145"/>
        <v>351.96894155037614</v>
      </c>
      <c r="EA130" s="28">
        <f t="shared" si="146"/>
        <v>405.39048300731213</v>
      </c>
      <c r="EB130" s="33"/>
      <c r="EF130" s="31"/>
      <c r="EN130" s="27">
        <f t="shared" si="103"/>
        <v>0</v>
      </c>
      <c r="EO130" s="27">
        <f t="shared" si="122"/>
        <v>0</v>
      </c>
      <c r="EP130" s="15">
        <f t="shared" si="147"/>
        <v>0.79899953637557719</v>
      </c>
      <c r="EQ130" s="28">
        <f t="shared" si="148"/>
        <v>376.01301337712721</v>
      </c>
      <c r="ER130" s="28">
        <f t="shared" si="149"/>
        <v>470.60479544556176</v>
      </c>
      <c r="ES130" s="33"/>
      <c r="EW130" s="31"/>
      <c r="FC130" s="86"/>
      <c r="FD130" s="87"/>
      <c r="FE130" s="27">
        <f t="shared" si="104"/>
        <v>0</v>
      </c>
      <c r="FF130" s="27">
        <f t="shared" si="123"/>
        <v>0</v>
      </c>
      <c r="FG130" s="15">
        <f t="shared" si="150"/>
        <v>0.89759781697604446</v>
      </c>
      <c r="FH130" s="28">
        <f t="shared" si="151"/>
        <v>489.43867746851214</v>
      </c>
      <c r="FI130" s="28">
        <f t="shared" si="152"/>
        <v>545.27614507508827</v>
      </c>
      <c r="FJ130" s="33"/>
      <c r="FN130" s="31"/>
      <c r="FV130" s="27">
        <f t="shared" si="105"/>
        <v>0</v>
      </c>
      <c r="FW130" s="27">
        <f t="shared" si="124"/>
        <v>0</v>
      </c>
      <c r="FX130" s="15">
        <f t="shared" si="153"/>
        <v>0.87820198742986888</v>
      </c>
      <c r="FY130" s="28">
        <f t="shared" si="154"/>
        <v>424.40474935978966</v>
      </c>
      <c r="FZ130" s="28">
        <f t="shared" si="155"/>
        <v>483.26553052088332</v>
      </c>
      <c r="GA130" s="33"/>
      <c r="GE130" s="31"/>
      <c r="GM130" s="27">
        <f t="shared" si="106"/>
        <v>0</v>
      </c>
      <c r="GN130" s="27">
        <f t="shared" si="125"/>
        <v>0</v>
      </c>
      <c r="GO130" s="15">
        <f t="shared" si="156"/>
        <v>0.90688922972776254</v>
      </c>
      <c r="GP130" s="28">
        <f t="shared" si="157"/>
        <v>503.09423246591069</v>
      </c>
      <c r="GQ130" s="28">
        <f t="shared" si="158"/>
        <v>554.74716864476784</v>
      </c>
      <c r="GR130" s="33"/>
      <c r="GV130" s="31"/>
      <c r="HD130" s="27">
        <f t="shared" si="107"/>
        <v>0</v>
      </c>
      <c r="HE130" s="27">
        <f t="shared" si="126"/>
        <v>0</v>
      </c>
      <c r="HF130" s="15">
        <f t="shared" si="159"/>
        <v>0.68445088800206877</v>
      </c>
      <c r="HG130" s="28">
        <f t="shared" si="160"/>
        <v>121.52778642272585</v>
      </c>
      <c r="HH130" s="28">
        <f t="shared" si="161"/>
        <v>177.55515925688817</v>
      </c>
      <c r="HI130" s="33"/>
      <c r="HM130" s="31"/>
      <c r="HU130" s="27">
        <f t="shared" si="108"/>
        <v>0</v>
      </c>
      <c r="HV130" s="27">
        <f t="shared" si="127"/>
        <v>0</v>
      </c>
      <c r="HW130" s="15">
        <f t="shared" si="162"/>
        <v>9.3812678165631942E-3</v>
      </c>
      <c r="HX130" s="28">
        <f t="shared" si="163"/>
        <v>6.3523149390061581E-2</v>
      </c>
      <c r="HY130" s="28">
        <f t="shared" si="164"/>
        <v>6.7712755495486041</v>
      </c>
      <c r="HZ130" s="33"/>
      <c r="ID130" s="31"/>
      <c r="II130" s="12"/>
      <c r="IL130" s="27">
        <f t="shared" si="109"/>
        <v>0</v>
      </c>
      <c r="IM130" s="27">
        <f t="shared" si="110"/>
        <v>3941.0448655750974</v>
      </c>
      <c r="IN130" s="15">
        <f t="shared" si="165"/>
        <v>2.9982619288339144E-4</v>
      </c>
      <c r="IO130" s="28">
        <f t="shared" si="166"/>
        <v>2.7073132473606916E-3</v>
      </c>
      <c r="IP130" s="28">
        <f t="shared" si="167"/>
        <v>9.0296088588018097</v>
      </c>
      <c r="IQ130" s="33"/>
      <c r="IU130" s="31"/>
      <c r="JC130" s="27">
        <f t="shared" si="180"/>
        <v>0</v>
      </c>
      <c r="JD130" s="27">
        <f t="shared" si="112"/>
        <v>4243.3854692518507</v>
      </c>
      <c r="JE130" s="15" t="e">
        <f t="shared" si="168"/>
        <v>#DIV/0!</v>
      </c>
      <c r="JF130" s="28">
        <f t="shared" si="169"/>
        <v>0</v>
      </c>
      <c r="JG130" s="28">
        <f t="shared" si="170"/>
        <v>0</v>
      </c>
      <c r="JH130" s="33"/>
      <c r="JL130" s="31"/>
      <c r="JR130" s="99"/>
      <c r="JS130" s="99"/>
      <c r="JT130" s="99"/>
      <c r="JU130" s="99"/>
      <c r="JV130" s="99"/>
      <c r="JW130" s="99"/>
      <c r="JX130" s="99"/>
      <c r="JY130" s="99"/>
      <c r="JZ130" s="99"/>
      <c r="KA130" s="99"/>
      <c r="KB130" s="99"/>
      <c r="KC130" s="99"/>
      <c r="KD130" s="99"/>
      <c r="KE130" s="99"/>
      <c r="KF130" s="99"/>
      <c r="KG130" s="99"/>
      <c r="KH130" s="99"/>
      <c r="KI130" s="99"/>
      <c r="KJ130" s="99"/>
      <c r="KK130" s="99"/>
      <c r="KL130" s="99"/>
      <c r="KM130" s="99"/>
      <c r="KN130" s="99"/>
      <c r="KO130" s="99"/>
      <c r="KP130" s="99"/>
      <c r="KQ130" s="99"/>
      <c r="KR130" s="99"/>
      <c r="KS130" s="99"/>
      <c r="KT130" s="99"/>
      <c r="KU130" s="99"/>
      <c r="KV130" s="99"/>
      <c r="KW130" s="99"/>
      <c r="KX130" s="99"/>
      <c r="KY130" s="99"/>
      <c r="KZ130" s="99"/>
      <c r="LA130" s="99"/>
      <c r="LB130" s="99"/>
      <c r="LC130" s="99"/>
      <c r="LD130" s="99"/>
      <c r="LE130" s="99"/>
      <c r="LF130" s="99"/>
      <c r="LG130" s="99"/>
      <c r="LH130" s="99"/>
      <c r="LI130" s="99"/>
      <c r="LJ130" s="99"/>
      <c r="LK130" s="99"/>
      <c r="LL130" s="99"/>
      <c r="LM130" s="99"/>
      <c r="LN130" s="99"/>
      <c r="LO130" s="99"/>
      <c r="LP130" s="99"/>
      <c r="LQ130" s="99"/>
      <c r="LR130" s="99"/>
      <c r="LS130" s="99"/>
      <c r="LT130" s="99"/>
      <c r="LU130" s="99"/>
      <c r="LV130" s="99"/>
      <c r="LW130" s="99"/>
      <c r="LX130" s="99"/>
      <c r="LY130" s="99"/>
      <c r="LZ130" s="99"/>
      <c r="MA130" s="99"/>
      <c r="MB130" s="99"/>
      <c r="MC130" s="99"/>
      <c r="MD130" s="99"/>
      <c r="ME130" s="99"/>
      <c r="MF130" s="99"/>
    </row>
    <row r="131" spans="1:344" ht="17.25" customHeight="1" x14ac:dyDescent="0.25">
      <c r="A131" s="156"/>
      <c r="B131" s="81" t="s">
        <v>2</v>
      </c>
      <c r="C131" s="82">
        <v>45265</v>
      </c>
      <c r="D131" s="49" t="s">
        <v>90</v>
      </c>
      <c r="F131" s="103">
        <v>50</v>
      </c>
      <c r="G131" s="89">
        <f t="shared" si="93"/>
        <v>3.625</v>
      </c>
      <c r="H131" s="35">
        <f t="shared" si="94"/>
        <v>181.25</v>
      </c>
      <c r="I131" s="39">
        <v>10</v>
      </c>
      <c r="J131" s="39">
        <v>8</v>
      </c>
      <c r="K131" s="103">
        <v>69</v>
      </c>
      <c r="L131" s="89">
        <f t="shared" si="95"/>
        <v>5.96875</v>
      </c>
      <c r="M131" s="35">
        <f t="shared" si="113"/>
        <v>411.84375</v>
      </c>
      <c r="N131" s="35">
        <f t="shared" si="114"/>
        <v>593.09375</v>
      </c>
      <c r="O131" s="97">
        <f>SUM($Z131,$BH131,$AQ131,$BY131,$CP131,$DG131,$DX131,$EO131,$FF131,$FW131,$GN131)/J131</f>
        <v>161.5625</v>
      </c>
      <c r="P131" s="150"/>
      <c r="Q131" s="132">
        <f>SUM(AD131+AI131+AU131+AZ131+BL131+BQ131+CC131+CH131+CT131+CY131+DK131+DP131+EB131+EG131+ES131+EX131+FJ131+FO131+GA131+GF131+GR131+GW131)/8</f>
        <v>13</v>
      </c>
      <c r="R131" s="134">
        <f>SUM(AE131+AJ131+AV131+BA131+BM131+BR131+CD131+CI131+CU131+CZ131+DL131+DQ131+EC131+EH131+ET131+EY131+FK131+FP131+GB131+GG131+GS131+GX131)/8</f>
        <v>15.125</v>
      </c>
      <c r="S131" s="136">
        <f>SUM(AF131+AK131+AW131+BB131+BN131+BS131+CE131+CJ131+CV131+DA131+DM131+DR131+ED131+EI131+EU131+EZ131+FL131+FQ131+GC131+GH131+GT131+GY131)/8</f>
        <v>15.375</v>
      </c>
      <c r="T131" s="138">
        <f>SUM(AG131+AL131+AX131+BC131+BO131+BT131+CF131+CK131+CW131+DB131+DN131+DS131+EE131+EJ131+EV131+FA131+FM131+FR131+GD131+GI131+GU131+GZ131)/8</f>
        <v>14.5</v>
      </c>
      <c r="U131" s="144">
        <f>SUM(AH131+AM131+AY131+BD131+BP131+BU131+CG131+CL131+CX131+DC131+DO131+DT131+EF131+EK131+EW131+FB131+FN131+FS131+GE131+GJ131+GV131+HA131)/8</f>
        <v>2.8375000000000004</v>
      </c>
      <c r="W131" s="11">
        <v>4</v>
      </c>
      <c r="X131" s="1">
        <v>7.5</v>
      </c>
      <c r="Y131" s="35">
        <f t="shared" si="96"/>
        <v>717.5</v>
      </c>
      <c r="Z131" s="35">
        <f>(AD131*1+AE131*2+AF131*3+AG131*4+AH131*5)+(AI131*1+AJ131*2+AK131*3+AL131*4+AM131*5)</f>
        <v>214</v>
      </c>
      <c r="AA131" s="15">
        <f t="shared" si="128"/>
        <v>1.0345801638139376</v>
      </c>
      <c r="AB131" s="43">
        <f t="shared" si="173"/>
        <v>515.84259649433045</v>
      </c>
      <c r="AC131" s="43">
        <f t="shared" si="174"/>
        <v>498.60089583846042</v>
      </c>
      <c r="AD131" s="33"/>
      <c r="AH131" s="31"/>
      <c r="AI131" s="7">
        <v>3</v>
      </c>
      <c r="AJ131" s="8">
        <v>11</v>
      </c>
      <c r="AK131" s="9">
        <v>11</v>
      </c>
      <c r="AL131" s="10">
        <v>19</v>
      </c>
      <c r="AM131" s="12">
        <v>16</v>
      </c>
      <c r="AN131" s="86"/>
      <c r="AO131" s="87"/>
      <c r="AP131" s="35">
        <f t="shared" si="97"/>
        <v>0</v>
      </c>
      <c r="AQ131" s="35">
        <f t="shared" si="116"/>
        <v>0</v>
      </c>
      <c r="AR131" s="15">
        <f t="shared" si="129"/>
        <v>0.75397872704130597</v>
      </c>
      <c r="AS131" s="28">
        <f t="shared" si="130"/>
        <v>389.42186424626556</v>
      </c>
      <c r="AT131" s="28">
        <f t="shared" si="131"/>
        <v>516.48919297020359</v>
      </c>
      <c r="AU131" s="33"/>
      <c r="AY131" s="31"/>
      <c r="BE131" s="86"/>
      <c r="BF131" s="87"/>
      <c r="BG131" s="35">
        <f t="shared" si="98"/>
        <v>0</v>
      </c>
      <c r="BH131" s="35">
        <f t="shared" si="117"/>
        <v>0</v>
      </c>
      <c r="BI131" s="15">
        <f t="shared" si="132"/>
        <v>8.7388954039404637E-2</v>
      </c>
      <c r="BJ131" s="28">
        <f t="shared" si="133"/>
        <v>14.323899867880955</v>
      </c>
      <c r="BK131" s="28">
        <f t="shared" si="134"/>
        <v>163.90973007208842</v>
      </c>
      <c r="BL131" s="33"/>
      <c r="BP131" s="31"/>
      <c r="BV131" s="11">
        <v>4</v>
      </c>
      <c r="BW131" s="1">
        <v>6</v>
      </c>
      <c r="BX131" s="35">
        <f t="shared" si="99"/>
        <v>614</v>
      </c>
      <c r="BY131" s="35">
        <f t="shared" si="118"/>
        <v>168</v>
      </c>
      <c r="BZ131" s="15">
        <f t="shared" si="135"/>
        <v>1.0035684462945251</v>
      </c>
      <c r="CA131" s="28">
        <f t="shared" si="136"/>
        <v>466.49909723185476</v>
      </c>
      <c r="CB131" s="28">
        <f t="shared" si="137"/>
        <v>464.84033944501635</v>
      </c>
      <c r="CC131" s="33"/>
      <c r="CG131" s="31"/>
      <c r="CH131" s="7">
        <v>15</v>
      </c>
      <c r="CI131" s="8">
        <v>9</v>
      </c>
      <c r="CJ131" s="9">
        <v>9</v>
      </c>
      <c r="CK131" s="10">
        <v>22</v>
      </c>
      <c r="CL131" s="12">
        <v>4</v>
      </c>
      <c r="CM131" s="11">
        <v>4</v>
      </c>
      <c r="CN131" s="1">
        <v>6.5</v>
      </c>
      <c r="CO131" s="35">
        <f t="shared" si="100"/>
        <v>648.5</v>
      </c>
      <c r="CP131" s="35">
        <f t="shared" si="119"/>
        <v>134.5</v>
      </c>
      <c r="CQ131" s="15">
        <f t="shared" si="138"/>
        <v>0.92890008756880416</v>
      </c>
      <c r="CR131" s="28">
        <f t="shared" si="139"/>
        <v>480.95738434844276</v>
      </c>
      <c r="CS131" s="28">
        <f t="shared" si="140"/>
        <v>517.77084617059847</v>
      </c>
      <c r="CT131" s="33"/>
      <c r="CX131" s="31"/>
      <c r="CY131" s="7">
        <v>21</v>
      </c>
      <c r="CZ131" s="8">
        <v>18</v>
      </c>
      <c r="DA131" s="9">
        <v>12</v>
      </c>
      <c r="DB131" s="10">
        <v>10</v>
      </c>
      <c r="DC131" s="12">
        <v>0.3</v>
      </c>
      <c r="DD131" s="11">
        <v>3</v>
      </c>
      <c r="DE131" s="1">
        <v>5.5</v>
      </c>
      <c r="DF131" s="35">
        <f t="shared" si="101"/>
        <v>529.5</v>
      </c>
      <c r="DG131" s="35">
        <f t="shared" si="120"/>
        <v>171.5</v>
      </c>
      <c r="DH131" s="15">
        <f t="shared" si="141"/>
        <v>0.95012419260000169</v>
      </c>
      <c r="DI131" s="28">
        <f t="shared" si="142"/>
        <v>398.79232193728706</v>
      </c>
      <c r="DJ131" s="28">
        <f t="shared" si="143"/>
        <v>419.72652106247017</v>
      </c>
      <c r="DK131" s="33"/>
      <c r="DO131" s="31"/>
      <c r="DP131" s="7">
        <v>11</v>
      </c>
      <c r="DQ131" s="8">
        <v>14</v>
      </c>
      <c r="DR131" s="9">
        <v>17</v>
      </c>
      <c r="DS131" s="10">
        <v>20</v>
      </c>
      <c r="DT131" s="12">
        <v>0.3</v>
      </c>
      <c r="DU131" s="11">
        <v>3</v>
      </c>
      <c r="DV131" s="1">
        <v>4.5</v>
      </c>
      <c r="DW131" s="35">
        <f t="shared" si="102"/>
        <v>460.5</v>
      </c>
      <c r="DX131" s="35">
        <f t="shared" si="121"/>
        <v>121</v>
      </c>
      <c r="DY131" s="15">
        <f t="shared" si="144"/>
        <v>0.92646606855532088</v>
      </c>
      <c r="DZ131" s="28">
        <f t="shared" si="145"/>
        <v>379.10170616278208</v>
      </c>
      <c r="EA131" s="28">
        <f t="shared" si="146"/>
        <v>409.1911393516354</v>
      </c>
      <c r="EB131" s="33"/>
      <c r="EF131" s="31"/>
      <c r="EG131" s="7">
        <v>23</v>
      </c>
      <c r="EH131" s="8">
        <v>22</v>
      </c>
      <c r="EI131" s="9">
        <v>14</v>
      </c>
      <c r="EJ131" s="10">
        <v>3</v>
      </c>
      <c r="EK131" s="12">
        <v>0</v>
      </c>
      <c r="EL131" s="11">
        <v>4</v>
      </c>
      <c r="EM131" s="1">
        <v>6</v>
      </c>
      <c r="EN131" s="35">
        <f t="shared" si="103"/>
        <v>614</v>
      </c>
      <c r="EO131" s="35">
        <f t="shared" si="122"/>
        <v>173</v>
      </c>
      <c r="EP131" s="15">
        <f t="shared" si="147"/>
        <v>0.90637895865544804</v>
      </c>
      <c r="EQ131" s="28">
        <f t="shared" si="148"/>
        <v>435.50976003284541</v>
      </c>
      <c r="ER131" s="28">
        <f t="shared" si="149"/>
        <v>480.49411989759199</v>
      </c>
      <c r="ES131" s="33"/>
      <c r="EW131" s="31"/>
      <c r="EX131" s="7">
        <v>2</v>
      </c>
      <c r="EY131" s="8">
        <v>18</v>
      </c>
      <c r="EZ131" s="9">
        <v>29</v>
      </c>
      <c r="FA131" s="10">
        <v>12</v>
      </c>
      <c r="FB131" s="12">
        <v>0</v>
      </c>
      <c r="FC131" s="86"/>
      <c r="FD131" s="87"/>
      <c r="FE131" s="35">
        <f t="shared" si="104"/>
        <v>0</v>
      </c>
      <c r="FF131" s="35">
        <f t="shared" si="123"/>
        <v>0</v>
      </c>
      <c r="FG131" s="15">
        <f t="shared" si="150"/>
        <v>0.72306490811959134</v>
      </c>
      <c r="FH131" s="28">
        <f t="shared" si="151"/>
        <v>367.07900810138409</v>
      </c>
      <c r="FI131" s="28">
        <f t="shared" si="152"/>
        <v>507.67089369059943</v>
      </c>
      <c r="FJ131" s="33"/>
      <c r="FN131" s="31"/>
      <c r="FT131" s="11">
        <v>3</v>
      </c>
      <c r="FU131" s="1">
        <v>5</v>
      </c>
      <c r="FV131" s="35">
        <f t="shared" si="105"/>
        <v>495</v>
      </c>
      <c r="FW131" s="35">
        <f t="shared" si="124"/>
        <v>172</v>
      </c>
      <c r="FX131" s="15">
        <f t="shared" si="153"/>
        <v>0.9131926679784732</v>
      </c>
      <c r="FY131" s="28">
        <f t="shared" si="154"/>
        <v>442.05356201984227</v>
      </c>
      <c r="FZ131" s="28">
        <f t="shared" si="155"/>
        <v>484.07480427806377</v>
      </c>
      <c r="GA131" s="33"/>
      <c r="GE131" s="31"/>
      <c r="GF131" s="7">
        <v>11</v>
      </c>
      <c r="GG131" s="8">
        <v>14</v>
      </c>
      <c r="GH131" s="9">
        <v>13</v>
      </c>
      <c r="GI131" s="10">
        <v>21</v>
      </c>
      <c r="GJ131" s="12">
        <v>2</v>
      </c>
      <c r="GK131" s="11">
        <v>4</v>
      </c>
      <c r="GL131" s="1">
        <v>6.75</v>
      </c>
      <c r="GM131" s="35">
        <f t="shared" si="106"/>
        <v>665.75</v>
      </c>
      <c r="GN131" s="35">
        <f t="shared" si="125"/>
        <v>138.5</v>
      </c>
      <c r="GO131" s="15">
        <f t="shared" si="156"/>
        <v>0.96684872351953555</v>
      </c>
      <c r="GP131" s="28">
        <f t="shared" si="157"/>
        <v>543.75817434943303</v>
      </c>
      <c r="GQ131" s="28">
        <f t="shared" si="158"/>
        <v>562.40253632443898</v>
      </c>
      <c r="GR131" s="33"/>
      <c r="GV131" s="31"/>
      <c r="GW131" s="7">
        <v>18</v>
      </c>
      <c r="GX131" s="8">
        <v>15</v>
      </c>
      <c r="GY131" s="9">
        <v>18</v>
      </c>
      <c r="GZ131" s="10">
        <v>9</v>
      </c>
      <c r="HA131" s="12">
        <v>0.1</v>
      </c>
      <c r="HB131" s="11">
        <v>3</v>
      </c>
      <c r="HC131" s="1">
        <v>6</v>
      </c>
      <c r="HD131" s="35">
        <f t="shared" si="107"/>
        <v>564</v>
      </c>
      <c r="HE131" s="35">
        <f t="shared" si="126"/>
        <v>129</v>
      </c>
      <c r="HF131" s="15">
        <f t="shared" si="159"/>
        <v>1.1368188988060255</v>
      </c>
      <c r="HG131" s="28">
        <f t="shared" si="160"/>
        <v>232.14583981704439</v>
      </c>
      <c r="HH131" s="28">
        <f t="shared" si="161"/>
        <v>204.20652758399933</v>
      </c>
      <c r="HI131" s="33"/>
      <c r="HM131" s="31"/>
      <c r="HN131" s="7">
        <v>19</v>
      </c>
      <c r="HO131" s="8">
        <v>19</v>
      </c>
      <c r="HP131" s="9">
        <v>16</v>
      </c>
      <c r="HQ131" s="10">
        <v>6</v>
      </c>
      <c r="HR131" s="12">
        <v>0</v>
      </c>
      <c r="HU131" s="35">
        <f t="shared" si="108"/>
        <v>0</v>
      </c>
      <c r="HV131" s="35">
        <f t="shared" si="127"/>
        <v>0</v>
      </c>
      <c r="HW131" s="15">
        <f t="shared" si="162"/>
        <v>7.557132407787018E-3</v>
      </c>
      <c r="HX131" s="28">
        <f t="shared" si="163"/>
        <v>4.7642362042546182E-2</v>
      </c>
      <c r="HY131" s="28">
        <f t="shared" si="164"/>
        <v>6.3042910288900798</v>
      </c>
      <c r="HZ131" s="33"/>
      <c r="ID131" s="31"/>
      <c r="II131" s="12"/>
      <c r="IL131" s="35">
        <f t="shared" si="109"/>
        <v>0</v>
      </c>
      <c r="IM131" s="35">
        <f t="shared" si="110"/>
        <v>5143.2087914913845</v>
      </c>
      <c r="IN131" s="15">
        <f t="shared" si="165"/>
        <v>2.4152665537828755E-4</v>
      </c>
      <c r="IO131" s="28">
        <f t="shared" si="166"/>
        <v>2.0304849355205186E-3</v>
      </c>
      <c r="IP131" s="28">
        <f t="shared" si="167"/>
        <v>8.4068772133672027</v>
      </c>
      <c r="IQ131" s="33"/>
      <c r="IU131" s="31"/>
      <c r="JC131" s="35">
        <f t="shared" si="180"/>
        <v>0</v>
      </c>
      <c r="JD131" s="35">
        <f t="shared" si="112"/>
        <v>5432.9704685094694</v>
      </c>
      <c r="JE131" s="15" t="e">
        <f t="shared" si="168"/>
        <v>#DIV/0!</v>
      </c>
      <c r="JF131" s="28">
        <f t="shared" si="169"/>
        <v>0</v>
      </c>
      <c r="JG131" s="28">
        <f t="shared" si="170"/>
        <v>0</v>
      </c>
      <c r="JH131" s="33"/>
      <c r="JL131" s="31"/>
      <c r="JR131" s="99"/>
      <c r="JS131" s="99"/>
      <c r="JT131" s="99"/>
      <c r="JU131" s="99"/>
      <c r="JV131" s="99"/>
      <c r="JW131" s="99"/>
      <c r="JX131" s="99"/>
      <c r="JY131" s="99"/>
      <c r="JZ131" s="99"/>
      <c r="KA131" s="99"/>
      <c r="KB131" s="99"/>
      <c r="KC131" s="99"/>
      <c r="KD131" s="99"/>
      <c r="KE131" s="99"/>
      <c r="KF131" s="99"/>
      <c r="KG131" s="99"/>
      <c r="KH131" s="99"/>
      <c r="KI131" s="99"/>
      <c r="KJ131" s="99"/>
      <c r="KK131" s="99"/>
      <c r="KL131" s="99"/>
      <c r="KM131" s="99"/>
      <c r="KN131" s="99"/>
      <c r="KO131" s="99"/>
      <c r="KP131" s="99"/>
      <c r="KQ131" s="99"/>
      <c r="KR131" s="99"/>
      <c r="KS131" s="99"/>
      <c r="KT131" s="99"/>
      <c r="KU131" s="99"/>
      <c r="KV131" s="99"/>
      <c r="KW131" s="99"/>
      <c r="KX131" s="99"/>
      <c r="KY131" s="99"/>
      <c r="KZ131" s="99"/>
      <c r="LA131" s="99"/>
      <c r="LB131" s="99"/>
      <c r="LC131" s="99"/>
      <c r="LD131" s="99"/>
      <c r="LE131" s="99"/>
      <c r="LF131" s="99"/>
      <c r="LG131" s="99"/>
      <c r="LH131" s="99"/>
      <c r="LI131" s="99"/>
      <c r="LJ131" s="99"/>
      <c r="LK131" s="99"/>
      <c r="LL131" s="99"/>
      <c r="LM131" s="99"/>
      <c r="LN131" s="99"/>
      <c r="LO131" s="99"/>
      <c r="LP131" s="99"/>
      <c r="LQ131" s="99"/>
      <c r="LR131" s="99"/>
      <c r="LS131" s="99"/>
      <c r="LT131" s="99"/>
      <c r="LU131" s="99"/>
      <c r="LV131" s="99"/>
      <c r="LW131" s="99"/>
      <c r="LX131" s="99"/>
      <c r="LY131" s="99"/>
      <c r="LZ131" s="99"/>
      <c r="MA131" s="99"/>
      <c r="MB131" s="99"/>
      <c r="MC131" s="99"/>
      <c r="MD131" s="99"/>
      <c r="ME131" s="99"/>
      <c r="MF131" s="99"/>
    </row>
    <row r="132" spans="1:344" ht="17.25" customHeight="1" x14ac:dyDescent="0.25">
      <c r="A132" s="156"/>
      <c r="B132" s="81" t="s">
        <v>3</v>
      </c>
      <c r="C132" s="82">
        <v>45266</v>
      </c>
      <c r="D132" s="49">
        <v>9</v>
      </c>
      <c r="E132" s="39">
        <v>8</v>
      </c>
      <c r="F132" s="103">
        <v>83</v>
      </c>
      <c r="G132" s="89">
        <f t="shared" si="93"/>
        <v>7.4749999999999996</v>
      </c>
      <c r="H132" s="35">
        <f t="shared" si="94"/>
        <v>620.42499999999995</v>
      </c>
      <c r="I132" s="39"/>
      <c r="L132" s="89">
        <f t="shared" si="95"/>
        <v>0</v>
      </c>
      <c r="M132" s="35">
        <f t="shared" si="113"/>
        <v>0</v>
      </c>
      <c r="N132" s="35">
        <f t="shared" si="114"/>
        <v>620.42499999999995</v>
      </c>
      <c r="O132" s="97">
        <f>SUM($Z132,$BH132,$AQ132,$BY132,$CP132,$DG132,$DX132,$EO132,$FF132,$FW132,$GN132)/D132</f>
        <v>182.44444444444446</v>
      </c>
      <c r="P132" s="150"/>
      <c r="Q132" s="132">
        <f t="shared" ref="Q132:Q136" si="187">SUM(AD132+AI132+AU132+AZ132+BL132+BQ132+CC132+CH132+CT132+CY132+DK132+DP132+EB132+EG132+ES132+EX132+FJ132+FO132+GA132+GF132+GR132+GW132)/8</f>
        <v>25</v>
      </c>
      <c r="R132" s="134">
        <f t="shared" ref="R132:R136" si="188">SUM(AE132+AJ132+AV132+BA132+BM132+BR132+CD132+CI132+CU132+CZ132+DL132+DQ132+EC132+EH132+ET132+EY132+FK132+FP132+GB132+GG132+GS132+GX132)/8</f>
        <v>16</v>
      </c>
      <c r="S132" s="136">
        <f t="shared" ref="S132:S136" si="189">SUM(AF132+AK132+AW132+BB132+BN132+BS132+CE132+CJ132+CV132+DA132+DM132+DR132+ED132+EI132+EU132+EZ132+FL132+FQ132+GC132+GH132+GT132+GY132)/8</f>
        <v>22.625</v>
      </c>
      <c r="T132" s="138">
        <f t="shared" ref="T132:T136" si="190">SUM(AG132+AL132+AX132+BC132+BO132+BT132+CF132+CK132+CW132+DB132+DN132+DS132+EE132+EJ132+EV132+FA132+FM132+FR132+GD132+GI132+GU132+GZ132)/8</f>
        <v>17.875</v>
      </c>
      <c r="U132" s="144">
        <f t="shared" ref="U132:U136" si="191">SUM(AH132+AM132+AY132+BD132+BP132+BU132+CG132+CL132+CX132+DC132+DO132+DT132+EF132+EK132+EW132+FB132+FN132+FS132+GE132+GJ132+GV132+HA132)/8</f>
        <v>1.7749999999999999</v>
      </c>
      <c r="W132" s="86">
        <v>0</v>
      </c>
      <c r="X132" s="87">
        <v>0</v>
      </c>
      <c r="Y132" s="35">
        <f t="shared" si="96"/>
        <v>0</v>
      </c>
      <c r="Z132" s="35">
        <f t="shared" si="115"/>
        <v>0</v>
      </c>
      <c r="AA132" s="15">
        <f t="shared" si="128"/>
        <v>0.83341179862789427</v>
      </c>
      <c r="AB132" s="43">
        <f t="shared" si="173"/>
        <v>386.88194737074787</v>
      </c>
      <c r="AC132" s="43">
        <f t="shared" si="174"/>
        <v>464.21462715994591</v>
      </c>
      <c r="AD132" s="33"/>
      <c r="AH132" s="31"/>
      <c r="AN132" s="86"/>
      <c r="AO132" s="87"/>
      <c r="AP132" s="35">
        <f t="shared" si="97"/>
        <v>0</v>
      </c>
      <c r="AQ132" s="35">
        <f t="shared" si="116"/>
        <v>0</v>
      </c>
      <c r="AR132" s="15">
        <f t="shared" si="129"/>
        <v>0.60737175233882978</v>
      </c>
      <c r="AS132" s="28">
        <f t="shared" si="130"/>
        <v>292.06639818469915</v>
      </c>
      <c r="AT132" s="28">
        <f t="shared" si="131"/>
        <v>480.86924862743092</v>
      </c>
      <c r="AU132" s="33"/>
      <c r="AY132" s="31"/>
      <c r="BE132" s="86"/>
      <c r="BF132" s="87"/>
      <c r="BG132" s="35">
        <f t="shared" si="98"/>
        <v>0</v>
      </c>
      <c r="BH132" s="35">
        <f t="shared" si="117"/>
        <v>0</v>
      </c>
      <c r="BI132" s="15">
        <f t="shared" si="132"/>
        <v>7.0396657420631517E-2</v>
      </c>
      <c r="BJ132" s="28">
        <f t="shared" si="133"/>
        <v>10.742924900910717</v>
      </c>
      <c r="BK132" s="28">
        <f t="shared" si="134"/>
        <v>152.60561075677197</v>
      </c>
      <c r="BL132" s="33"/>
      <c r="BP132" s="31"/>
      <c r="BV132" s="11">
        <v>10</v>
      </c>
      <c r="BX132" s="35">
        <f t="shared" si="99"/>
        <v>830</v>
      </c>
      <c r="BY132" s="35">
        <f>(CC132*1+CD132*2+CE132*3+CF132*4+CG132*5)+(CH132*1+CI132*2+CJ132*3+CK132*4+CL132*5)</f>
        <v>212.5</v>
      </c>
      <c r="BZ132" s="15">
        <f t="shared" si="135"/>
        <v>1.1374434538041829</v>
      </c>
      <c r="CA132" s="28">
        <f t="shared" si="136"/>
        <v>557.3743229238911</v>
      </c>
      <c r="CB132" s="28">
        <f t="shared" si="137"/>
        <v>490.02376431087725</v>
      </c>
      <c r="CC132" s="33">
        <v>40</v>
      </c>
      <c r="CD132" s="8">
        <v>12</v>
      </c>
      <c r="CE132" s="9">
        <v>24</v>
      </c>
      <c r="CF132" s="10">
        <v>19</v>
      </c>
      <c r="CG132" s="31">
        <v>0.1</v>
      </c>
      <c r="CM132" s="11">
        <v>8</v>
      </c>
      <c r="CO132" s="35">
        <f t="shared" si="100"/>
        <v>664</v>
      </c>
      <c r="CP132" s="35">
        <f t="shared" si="119"/>
        <v>236.5</v>
      </c>
      <c r="CQ132" s="15">
        <f t="shared" si="138"/>
        <v>0.99784490852102115</v>
      </c>
      <c r="CR132" s="28">
        <f t="shared" si="139"/>
        <v>526.71803826133214</v>
      </c>
      <c r="CS132" s="28">
        <f t="shared" si="140"/>
        <v>527.85561540021229</v>
      </c>
      <c r="CT132" s="33">
        <v>27</v>
      </c>
      <c r="CU132" s="8">
        <v>17</v>
      </c>
      <c r="CV132" s="9">
        <v>29</v>
      </c>
      <c r="CW132" s="10">
        <v>22</v>
      </c>
      <c r="CX132" s="31">
        <v>0.1</v>
      </c>
      <c r="DD132" s="11">
        <v>8</v>
      </c>
      <c r="DF132" s="35">
        <f t="shared" si="101"/>
        <v>664</v>
      </c>
      <c r="DG132" s="35">
        <f t="shared" si="120"/>
        <v>244</v>
      </c>
      <c r="DH132" s="15">
        <f t="shared" si="141"/>
        <v>1.0653299119854835</v>
      </c>
      <c r="DI132" s="28">
        <f t="shared" si="142"/>
        <v>465.09424145296532</v>
      </c>
      <c r="DJ132" s="28">
        <f t="shared" si="143"/>
        <v>436.57296788574808</v>
      </c>
      <c r="DK132" s="33">
        <v>26</v>
      </c>
      <c r="DL132" s="8">
        <v>18</v>
      </c>
      <c r="DM132" s="9">
        <v>24</v>
      </c>
      <c r="DN132" s="10">
        <v>25</v>
      </c>
      <c r="DO132" s="31">
        <v>2</v>
      </c>
      <c r="DU132" s="11">
        <v>7.8</v>
      </c>
      <c r="DW132" s="35">
        <f t="shared" si="102"/>
        <v>647.4</v>
      </c>
      <c r="DX132" s="35">
        <f t="shared" si="121"/>
        <v>252</v>
      </c>
      <c r="DY132" s="15">
        <f t="shared" si="144"/>
        <v>1.0482988934355075</v>
      </c>
      <c r="DZ132" s="28">
        <f t="shared" si="145"/>
        <v>446.17627962208655</v>
      </c>
      <c r="EA132" s="28">
        <f t="shared" si="146"/>
        <v>425.61933663772948</v>
      </c>
      <c r="EB132" s="33">
        <v>19</v>
      </c>
      <c r="EC132" s="8">
        <v>18</v>
      </c>
      <c r="ED132" s="9">
        <v>39</v>
      </c>
      <c r="EE132" s="10">
        <v>20</v>
      </c>
      <c r="EF132" s="31">
        <v>0</v>
      </c>
      <c r="EL132" s="11">
        <v>8</v>
      </c>
      <c r="EN132" s="35">
        <f t="shared" si="103"/>
        <v>664</v>
      </c>
      <c r="EO132" s="35">
        <f t="shared" si="122"/>
        <v>214</v>
      </c>
      <c r="EP132" s="15">
        <f t="shared" si="147"/>
        <v>0.99895087067207855</v>
      </c>
      <c r="EQ132" s="28">
        <f t="shared" si="148"/>
        <v>492.63232002463405</v>
      </c>
      <c r="ER132" s="28">
        <f t="shared" si="149"/>
        <v>493.1496978356891</v>
      </c>
      <c r="ES132" s="33">
        <v>31</v>
      </c>
      <c r="ET132" s="8">
        <v>23</v>
      </c>
      <c r="EU132" s="9">
        <v>27</v>
      </c>
      <c r="EV132" s="10">
        <v>14</v>
      </c>
      <c r="EW132" s="31">
        <v>0</v>
      </c>
      <c r="FC132" s="86"/>
      <c r="FD132" s="87"/>
      <c r="FE132" s="35">
        <f t="shared" si="104"/>
        <v>0</v>
      </c>
      <c r="FF132" s="35">
        <f t="shared" si="123"/>
        <v>0</v>
      </c>
      <c r="FG132" s="15">
        <f t="shared" si="150"/>
        <v>0.58246895376300423</v>
      </c>
      <c r="FH132" s="28">
        <f t="shared" si="151"/>
        <v>275.30925607603808</v>
      </c>
      <c r="FI132" s="28">
        <f t="shared" si="152"/>
        <v>472.65910791883391</v>
      </c>
      <c r="FJ132" s="33"/>
      <c r="FN132" s="31"/>
      <c r="FT132" s="11">
        <v>8</v>
      </c>
      <c r="FV132" s="35">
        <f t="shared" si="105"/>
        <v>664</v>
      </c>
      <c r="FW132" s="35">
        <f t="shared" si="124"/>
        <v>228</v>
      </c>
      <c r="FX132" s="15">
        <f t="shared" si="153"/>
        <v>1.0021284356480524</v>
      </c>
      <c r="FY132" s="28">
        <f t="shared" si="154"/>
        <v>497.54017151488171</v>
      </c>
      <c r="FZ132" s="28">
        <f t="shared" si="155"/>
        <v>496.48343846578348</v>
      </c>
      <c r="GA132" s="33">
        <v>29</v>
      </c>
      <c r="GB132" s="8">
        <v>23</v>
      </c>
      <c r="GC132" s="9">
        <v>20</v>
      </c>
      <c r="GD132" s="10">
        <v>22</v>
      </c>
      <c r="GE132" s="31">
        <v>1</v>
      </c>
      <c r="GK132" s="11">
        <v>10</v>
      </c>
      <c r="GM132" s="35">
        <f t="shared" si="106"/>
        <v>830</v>
      </c>
      <c r="GN132" s="35">
        <f t="shared" si="125"/>
        <v>255</v>
      </c>
      <c r="GO132" s="15">
        <f t="shared" si="156"/>
        <v>1.0593279675933236</v>
      </c>
      <c r="GP132" s="28">
        <f t="shared" si="157"/>
        <v>615.3186307620748</v>
      </c>
      <c r="GQ132" s="28">
        <f t="shared" si="158"/>
        <v>580.85753381930522</v>
      </c>
      <c r="GR132" s="33">
        <v>28</v>
      </c>
      <c r="GS132" s="8">
        <v>17</v>
      </c>
      <c r="GT132" s="9">
        <v>18</v>
      </c>
      <c r="GU132" s="10">
        <v>21</v>
      </c>
      <c r="GV132" s="31">
        <v>11</v>
      </c>
      <c r="HB132" s="11">
        <v>8.5</v>
      </c>
      <c r="HD132" s="35">
        <f t="shared" si="107"/>
        <v>705.5</v>
      </c>
      <c r="HE132" s="35">
        <f t="shared" si="126"/>
        <v>230</v>
      </c>
      <c r="HF132" s="15">
        <f t="shared" si="159"/>
        <v>1.4678222401985086</v>
      </c>
      <c r="HG132" s="28">
        <f t="shared" si="160"/>
        <v>350.48437986278327</v>
      </c>
      <c r="HH132" s="28">
        <f t="shared" si="161"/>
        <v>238.77849119889592</v>
      </c>
      <c r="HI132" s="33">
        <v>30</v>
      </c>
      <c r="HJ132" s="8">
        <v>18</v>
      </c>
      <c r="HK132" s="9">
        <v>20</v>
      </c>
      <c r="HL132" s="10">
        <v>26</v>
      </c>
      <c r="HM132" s="31">
        <v>0</v>
      </c>
      <c r="HU132" s="35">
        <f t="shared" si="108"/>
        <v>0</v>
      </c>
      <c r="HV132" s="35">
        <f t="shared" si="127"/>
        <v>0</v>
      </c>
      <c r="HW132" s="15">
        <f t="shared" si="162"/>
        <v>6.0876899951617649E-3</v>
      </c>
      <c r="HX132" s="28">
        <f t="shared" si="163"/>
        <v>3.5731771531909637E-2</v>
      </c>
      <c r="HY132" s="28">
        <f t="shared" si="164"/>
        <v>5.8695123372424876</v>
      </c>
      <c r="HZ132" s="33"/>
      <c r="ID132" s="31"/>
      <c r="II132" s="12"/>
      <c r="IL132" s="35">
        <f t="shared" si="109"/>
        <v>0</v>
      </c>
      <c r="IM132" s="35">
        <f t="shared" si="110"/>
        <v>6150.5284436113634</v>
      </c>
      <c r="IN132" s="15">
        <f t="shared" si="165"/>
        <v>1.9456313905473162E-4</v>
      </c>
      <c r="IO132" s="28">
        <f t="shared" si="166"/>
        <v>1.522863701640389E-3</v>
      </c>
      <c r="IP132" s="28">
        <f t="shared" si="167"/>
        <v>7.827092577962568</v>
      </c>
      <c r="IQ132" s="33"/>
      <c r="IU132" s="31"/>
      <c r="JC132" s="35">
        <f t="shared" si="180"/>
        <v>0</v>
      </c>
      <c r="JD132" s="35">
        <f t="shared" si="112"/>
        <v>6122.6437647719531</v>
      </c>
      <c r="JE132" s="15" t="e">
        <f t="shared" si="168"/>
        <v>#DIV/0!</v>
      </c>
      <c r="JF132" s="28">
        <f t="shared" si="169"/>
        <v>0</v>
      </c>
      <c r="JG132" s="28">
        <f t="shared" si="170"/>
        <v>0</v>
      </c>
      <c r="JH132" s="33"/>
      <c r="JL132" s="31"/>
      <c r="JR132" s="99"/>
      <c r="JS132" s="99"/>
      <c r="JT132" s="99"/>
      <c r="JU132" s="99"/>
      <c r="JV132" s="99"/>
      <c r="JW132" s="99"/>
      <c r="JX132" s="99"/>
      <c r="JY132" s="99"/>
      <c r="JZ132" s="99"/>
      <c r="KA132" s="99"/>
      <c r="KB132" s="99"/>
      <c r="KC132" s="99"/>
      <c r="KD132" s="99"/>
      <c r="KE132" s="99"/>
      <c r="KF132" s="99"/>
      <c r="KG132" s="99"/>
      <c r="KH132" s="99"/>
      <c r="KI132" s="99"/>
      <c r="KJ132" s="99"/>
      <c r="KK132" s="99"/>
      <c r="KL132" s="99"/>
      <c r="KM132" s="99"/>
      <c r="KN132" s="99"/>
      <c r="KO132" s="99"/>
      <c r="KP132" s="99"/>
      <c r="KQ132" s="99"/>
      <c r="KR132" s="99"/>
      <c r="KS132" s="99"/>
      <c r="KT132" s="99"/>
      <c r="KU132" s="99"/>
      <c r="KV132" s="99"/>
      <c r="KW132" s="99"/>
      <c r="KX132" s="99"/>
      <c r="KY132" s="99"/>
      <c r="KZ132" s="99"/>
      <c r="LA132" s="99"/>
      <c r="LB132" s="99"/>
      <c r="LC132" s="99"/>
      <c r="LD132" s="99"/>
      <c r="LE132" s="99"/>
      <c r="LF132" s="99"/>
      <c r="LG132" s="99"/>
      <c r="LH132" s="99"/>
      <c r="LI132" s="99"/>
      <c r="LJ132" s="99"/>
      <c r="LK132" s="99"/>
      <c r="LL132" s="99"/>
      <c r="LM132" s="99"/>
      <c r="LN132" s="99"/>
      <c r="LO132" s="99"/>
      <c r="LP132" s="99"/>
      <c r="LQ132" s="99"/>
      <c r="LR132" s="99"/>
      <c r="LS132" s="99"/>
      <c r="LT132" s="99"/>
      <c r="LU132" s="99"/>
      <c r="LV132" s="99"/>
      <c r="LW132" s="99"/>
      <c r="LX132" s="99"/>
      <c r="LY132" s="99"/>
      <c r="LZ132" s="99"/>
      <c r="MA132" s="99"/>
      <c r="MB132" s="99"/>
      <c r="MC132" s="99"/>
      <c r="MD132" s="99"/>
      <c r="ME132" s="99"/>
      <c r="MF132" s="99"/>
    </row>
    <row r="133" spans="1:344" ht="17.25" customHeight="1" x14ac:dyDescent="0.25">
      <c r="A133" s="156"/>
      <c r="B133" s="81" t="s">
        <v>4</v>
      </c>
      <c r="C133" s="82">
        <v>45267</v>
      </c>
      <c r="D133" s="49" t="s">
        <v>90</v>
      </c>
      <c r="F133" s="103">
        <v>50</v>
      </c>
      <c r="G133" s="89">
        <f t="shared" si="93"/>
        <v>3.5</v>
      </c>
      <c r="H133" s="35">
        <f t="shared" si="94"/>
        <v>175</v>
      </c>
      <c r="I133" s="39">
        <v>9</v>
      </c>
      <c r="J133" s="39">
        <v>8</v>
      </c>
      <c r="K133" s="103">
        <v>77</v>
      </c>
      <c r="L133" s="89">
        <f t="shared" si="95"/>
        <v>5.5625</v>
      </c>
      <c r="M133" s="35">
        <f t="shared" si="113"/>
        <v>428.3125</v>
      </c>
      <c r="N133" s="35">
        <f t="shared" si="114"/>
        <v>603.3125</v>
      </c>
      <c r="O133" s="97">
        <f>SUM($Z133,$BH133,$AQ133,$BY133,$CP133,$DG133,$DX133,$EO133,$FF133,$FW133,$GN133)/I133</f>
        <v>146.55555555555554</v>
      </c>
      <c r="P133" s="150"/>
      <c r="Q133" s="132">
        <f t="shared" si="187"/>
        <v>15.75</v>
      </c>
      <c r="R133" s="134">
        <f t="shared" si="188"/>
        <v>16.375</v>
      </c>
      <c r="S133" s="136">
        <f t="shared" si="189"/>
        <v>15.5</v>
      </c>
      <c r="T133" s="138">
        <f t="shared" si="190"/>
        <v>14</v>
      </c>
      <c r="U133" s="144">
        <f t="shared" si="191"/>
        <v>2.7749999999999999</v>
      </c>
      <c r="W133" s="86">
        <v>0</v>
      </c>
      <c r="X133" s="87">
        <v>0</v>
      </c>
      <c r="Y133" s="35">
        <f t="shared" si="96"/>
        <v>0</v>
      </c>
      <c r="Z133" s="35">
        <f t="shared" si="115"/>
        <v>0</v>
      </c>
      <c r="AA133" s="15">
        <f t="shared" si="128"/>
        <v>0.67135950445024817</v>
      </c>
      <c r="AB133" s="43">
        <f t="shared" si="173"/>
        <v>290.1614605280609</v>
      </c>
      <c r="AC133" s="43">
        <f t="shared" si="174"/>
        <v>432.19982528684619</v>
      </c>
      <c r="AD133" s="33"/>
      <c r="AH133" s="31"/>
      <c r="AN133" s="86"/>
      <c r="AO133" s="87"/>
      <c r="AP133" s="35">
        <f t="shared" si="97"/>
        <v>0</v>
      </c>
      <c r="AQ133" s="35">
        <f t="shared" si="116"/>
        <v>0</v>
      </c>
      <c r="AR133" s="15">
        <f t="shared" si="129"/>
        <v>0.48927168938405735</v>
      </c>
      <c r="AS133" s="28">
        <f t="shared" si="130"/>
        <v>219.04979863852435</v>
      </c>
      <c r="AT133" s="28">
        <f t="shared" si="131"/>
        <v>447.70585217036671</v>
      </c>
      <c r="AU133" s="33"/>
      <c r="AY133" s="31"/>
      <c r="BE133" s="86"/>
      <c r="BF133" s="87"/>
      <c r="BG133" s="35">
        <f t="shared" si="98"/>
        <v>0</v>
      </c>
      <c r="BH133" s="35">
        <f t="shared" si="117"/>
        <v>0</v>
      </c>
      <c r="BI133" s="15">
        <f t="shared" si="132"/>
        <v>5.6708418477730949E-2</v>
      </c>
      <c r="BJ133" s="28">
        <f t="shared" si="133"/>
        <v>8.0571936756830382</v>
      </c>
      <c r="BK133" s="28">
        <f t="shared" si="134"/>
        <v>142.08108587699459</v>
      </c>
      <c r="BL133" s="33"/>
      <c r="BP133" s="31"/>
      <c r="BV133" s="11">
        <v>4</v>
      </c>
      <c r="BW133" s="1">
        <v>6</v>
      </c>
      <c r="BX133" s="35">
        <f t="shared" si="99"/>
        <v>662</v>
      </c>
      <c r="BY133" s="35">
        <f t="shared" si="118"/>
        <v>165.5</v>
      </c>
      <c r="BZ133" s="15">
        <f t="shared" si="135"/>
        <v>1.1626800539891289</v>
      </c>
      <c r="CA133" s="28">
        <f t="shared" si="136"/>
        <v>583.5307421929183</v>
      </c>
      <c r="CB133" s="28">
        <f t="shared" si="137"/>
        <v>501.88419435840291</v>
      </c>
      <c r="CC133" s="33">
        <v>28</v>
      </c>
      <c r="CD133" s="8">
        <v>15</v>
      </c>
      <c r="CE133" s="9">
        <v>13</v>
      </c>
      <c r="CF133" s="10">
        <v>17</v>
      </c>
      <c r="CG133" s="31">
        <v>0.1</v>
      </c>
      <c r="CM133" s="11">
        <v>4</v>
      </c>
      <c r="CN133" s="1">
        <v>8.5</v>
      </c>
      <c r="CO133" s="35">
        <f t="shared" si="100"/>
        <v>854.5</v>
      </c>
      <c r="CP133" s="35">
        <f t="shared" si="119"/>
        <v>192</v>
      </c>
      <c r="CQ133" s="15">
        <f t="shared" si="138"/>
        <v>1.105891232138047</v>
      </c>
      <c r="CR133" s="28">
        <f t="shared" si="139"/>
        <v>608.66352869599905</v>
      </c>
      <c r="CS133" s="28">
        <f t="shared" si="140"/>
        <v>550.3828143381287</v>
      </c>
      <c r="CT133" s="33">
        <v>18</v>
      </c>
      <c r="CU133" s="8">
        <v>18</v>
      </c>
      <c r="CV133" s="9">
        <v>15</v>
      </c>
      <c r="CW133" s="10">
        <v>22</v>
      </c>
      <c r="CX133" s="31">
        <v>1</v>
      </c>
      <c r="DD133" s="11">
        <v>4</v>
      </c>
      <c r="DE133" s="1">
        <v>5</v>
      </c>
      <c r="DF133" s="35">
        <f t="shared" si="101"/>
        <v>585</v>
      </c>
      <c r="DG133" s="35">
        <f t="shared" si="120"/>
        <v>188.5</v>
      </c>
      <c r="DH133" s="15">
        <f t="shared" si="141"/>
        <v>1.1080133393579288</v>
      </c>
      <c r="DI133" s="28">
        <f t="shared" si="142"/>
        <v>495.07068108972396</v>
      </c>
      <c r="DJ133" s="28">
        <f t="shared" si="143"/>
        <v>446.80931492811027</v>
      </c>
      <c r="DK133" s="33">
        <v>17</v>
      </c>
      <c r="DL133" s="8">
        <v>19</v>
      </c>
      <c r="DM133" s="9">
        <v>19</v>
      </c>
      <c r="DN133" s="10">
        <v>19</v>
      </c>
      <c r="DO133" s="31">
        <v>0.1</v>
      </c>
      <c r="DU133" s="11">
        <v>4</v>
      </c>
      <c r="DV133" s="1">
        <v>5</v>
      </c>
      <c r="DW133" s="35">
        <f t="shared" si="102"/>
        <v>585</v>
      </c>
      <c r="DX133" s="35">
        <f t="shared" si="121"/>
        <v>150</v>
      </c>
      <c r="DY133" s="15">
        <f t="shared" si="144"/>
        <v>1.1013971072430093</v>
      </c>
      <c r="DZ133" s="28">
        <f t="shared" si="145"/>
        <v>480.88220971656494</v>
      </c>
      <c r="EA133" s="28">
        <f t="shared" si="146"/>
        <v>436.6111065247826</v>
      </c>
      <c r="EB133" s="33">
        <v>24</v>
      </c>
      <c r="EC133" s="8">
        <v>22</v>
      </c>
      <c r="ED133" s="9">
        <v>26</v>
      </c>
      <c r="EE133" s="10">
        <v>1</v>
      </c>
      <c r="EF133" s="31">
        <v>0</v>
      </c>
      <c r="EL133" s="11">
        <v>4</v>
      </c>
      <c r="EM133" s="1">
        <v>6</v>
      </c>
      <c r="EN133" s="35">
        <f t="shared" si="103"/>
        <v>662</v>
      </c>
      <c r="EO133" s="35">
        <f t="shared" si="122"/>
        <v>169</v>
      </c>
      <c r="EP133" s="15">
        <f t="shared" si="147"/>
        <v>1.0597860931367282</v>
      </c>
      <c r="EQ133" s="28">
        <f t="shared" si="148"/>
        <v>534.97424001847548</v>
      </c>
      <c r="ER133" s="28">
        <f t="shared" si="149"/>
        <v>504.79454626081395</v>
      </c>
      <c r="ES133" s="33">
        <v>19</v>
      </c>
      <c r="ET133" s="8">
        <v>23</v>
      </c>
      <c r="EU133" s="9">
        <v>24</v>
      </c>
      <c r="EV133" s="10">
        <v>8</v>
      </c>
      <c r="EW133" s="31">
        <v>0</v>
      </c>
      <c r="FC133" s="86"/>
      <c r="FD133" s="87"/>
      <c r="FE133" s="35">
        <f t="shared" si="104"/>
        <v>0</v>
      </c>
      <c r="FF133" s="35">
        <f t="shared" si="123"/>
        <v>0</v>
      </c>
      <c r="FG133" s="15">
        <f t="shared" si="150"/>
        <v>0.46921110164242008</v>
      </c>
      <c r="FH133" s="28">
        <f t="shared" si="151"/>
        <v>206.48194205702856</v>
      </c>
      <c r="FI133" s="28">
        <f t="shared" si="152"/>
        <v>440.0619280623626</v>
      </c>
      <c r="FJ133" s="33"/>
      <c r="FN133" s="31"/>
      <c r="FT133" s="11">
        <v>4</v>
      </c>
      <c r="FU133" s="1">
        <v>6</v>
      </c>
      <c r="FV133" s="35">
        <f t="shared" si="105"/>
        <v>662</v>
      </c>
      <c r="FW133" s="35">
        <f t="shared" si="124"/>
        <v>231</v>
      </c>
      <c r="FX133" s="15">
        <f t="shared" si="153"/>
        <v>1.060556907606202</v>
      </c>
      <c r="FY133" s="28">
        <f t="shared" si="154"/>
        <v>538.65512863616129</v>
      </c>
      <c r="FZ133" s="28">
        <f t="shared" si="155"/>
        <v>507.89837374400526</v>
      </c>
      <c r="GA133" s="33">
        <v>8</v>
      </c>
      <c r="GB133" s="8">
        <v>17</v>
      </c>
      <c r="GC133" s="9">
        <v>14</v>
      </c>
      <c r="GD133" s="10">
        <v>23</v>
      </c>
      <c r="GE133" s="31">
        <v>11</v>
      </c>
      <c r="GK133" s="11">
        <v>4</v>
      </c>
      <c r="GL133" s="1">
        <v>8</v>
      </c>
      <c r="GM133" s="35">
        <f t="shared" si="106"/>
        <v>816</v>
      </c>
      <c r="GN133" s="35">
        <f t="shared" si="125"/>
        <v>223</v>
      </c>
      <c r="GO133" s="15">
        <f t="shared" si="156"/>
        <v>1.1145832646478555</v>
      </c>
      <c r="GP133" s="28">
        <f t="shared" si="157"/>
        <v>665.48897307155607</v>
      </c>
      <c r="GQ133" s="28">
        <f t="shared" si="158"/>
        <v>597.07425562487026</v>
      </c>
      <c r="GR133" s="33">
        <v>12</v>
      </c>
      <c r="GS133" s="8">
        <v>17</v>
      </c>
      <c r="GT133" s="9">
        <v>13</v>
      </c>
      <c r="GU133" s="10">
        <v>22</v>
      </c>
      <c r="GV133" s="31">
        <v>10</v>
      </c>
      <c r="HB133" s="11">
        <v>4</v>
      </c>
      <c r="HC133" s="1">
        <v>6</v>
      </c>
      <c r="HD133" s="35">
        <f t="shared" si="107"/>
        <v>662</v>
      </c>
      <c r="HE133" s="35">
        <f t="shared" si="126"/>
        <v>192</v>
      </c>
      <c r="HF133" s="15">
        <f t="shared" si="159"/>
        <v>1.5985721875854182</v>
      </c>
      <c r="HG133" s="28">
        <f t="shared" si="160"/>
        <v>428.36328489708745</v>
      </c>
      <c r="HH133" s="28">
        <f t="shared" si="161"/>
        <v>267.966181461041</v>
      </c>
      <c r="HI133" s="33">
        <v>15</v>
      </c>
      <c r="HJ133" s="8">
        <v>22</v>
      </c>
      <c r="HK133" s="9">
        <v>19</v>
      </c>
      <c r="HL133" s="10">
        <v>19</v>
      </c>
      <c r="HM133" s="31">
        <v>0</v>
      </c>
      <c r="HU133" s="35">
        <f t="shared" si="108"/>
        <v>0</v>
      </c>
      <c r="HV133" s="35">
        <f t="shared" si="127"/>
        <v>0</v>
      </c>
      <c r="HW133" s="15">
        <f t="shared" si="162"/>
        <v>4.9039724961025327E-3</v>
      </c>
      <c r="HX133" s="28">
        <f t="shared" si="163"/>
        <v>2.6798828648932228E-2</v>
      </c>
      <c r="HY133" s="28">
        <f t="shared" si="164"/>
        <v>5.4647183829499024</v>
      </c>
      <c r="HZ133" s="33"/>
      <c r="ID133" s="31"/>
      <c r="II133" s="12"/>
      <c r="IL133" s="35">
        <f t="shared" si="109"/>
        <v>0</v>
      </c>
      <c r="IM133" s="35">
        <f t="shared" si="110"/>
        <v>6005.5319807256546</v>
      </c>
      <c r="IN133" s="15">
        <f t="shared" si="165"/>
        <v>1.5673141757186713E-4</v>
      </c>
      <c r="IO133" s="28">
        <f t="shared" si="166"/>
        <v>1.1421477762302917E-3</v>
      </c>
      <c r="IP133" s="28">
        <f t="shared" si="167"/>
        <v>7.2872930898272186</v>
      </c>
      <c r="IQ133" s="33"/>
      <c r="IU133" s="31"/>
      <c r="JC133" s="35">
        <f t="shared" si="180"/>
        <v>0</v>
      </c>
      <c r="JD133" s="35">
        <f t="shared" si="112"/>
        <v>6620.3858601710544</v>
      </c>
      <c r="JE133" s="15" t="e">
        <f t="shared" si="168"/>
        <v>#DIV/0!</v>
      </c>
      <c r="JF133" s="28">
        <f t="shared" si="169"/>
        <v>0</v>
      </c>
      <c r="JG133" s="28">
        <f t="shared" si="170"/>
        <v>0</v>
      </c>
      <c r="JH133" s="33"/>
      <c r="JL133" s="31"/>
      <c r="JR133" s="99"/>
      <c r="JS133" s="99"/>
      <c r="JT133" s="99"/>
      <c r="JU133" s="99"/>
      <c r="JV133" s="99"/>
      <c r="JW133" s="99"/>
      <c r="JX133" s="99"/>
      <c r="JY133" s="99"/>
      <c r="JZ133" s="99"/>
      <c r="KA133" s="99"/>
      <c r="KB133" s="99"/>
      <c r="KC133" s="99"/>
      <c r="KD133" s="99"/>
      <c r="KE133" s="99"/>
      <c r="KF133" s="99"/>
      <c r="KG133" s="99"/>
      <c r="KH133" s="99"/>
      <c r="KI133" s="99"/>
      <c r="KJ133" s="99"/>
      <c r="KK133" s="99"/>
      <c r="KL133" s="99"/>
      <c r="KM133" s="99"/>
      <c r="KN133" s="99"/>
      <c r="KO133" s="99"/>
      <c r="KP133" s="99"/>
      <c r="KQ133" s="99"/>
      <c r="KR133" s="99"/>
      <c r="KS133" s="99"/>
      <c r="KT133" s="99"/>
      <c r="KU133" s="99"/>
      <c r="KV133" s="99"/>
      <c r="KW133" s="99"/>
      <c r="KX133" s="99"/>
      <c r="KY133" s="99"/>
      <c r="KZ133" s="99"/>
      <c r="LA133" s="99"/>
      <c r="LB133" s="99"/>
      <c r="LC133" s="99"/>
      <c r="LD133" s="99"/>
      <c r="LE133" s="99"/>
      <c r="LF133" s="99"/>
      <c r="LG133" s="99"/>
      <c r="LH133" s="99"/>
      <c r="LI133" s="99"/>
      <c r="LJ133" s="99"/>
      <c r="LK133" s="99"/>
      <c r="LL133" s="99"/>
      <c r="LM133" s="99"/>
      <c r="LN133" s="99"/>
      <c r="LO133" s="99"/>
      <c r="LP133" s="99"/>
      <c r="LQ133" s="99"/>
      <c r="LR133" s="99"/>
      <c r="LS133" s="99"/>
      <c r="LT133" s="99"/>
      <c r="LU133" s="99"/>
      <c r="LV133" s="99"/>
      <c r="LW133" s="99"/>
      <c r="LX133" s="99"/>
      <c r="LY133" s="99"/>
      <c r="LZ133" s="99"/>
      <c r="MA133" s="99"/>
      <c r="MB133" s="99"/>
      <c r="MC133" s="99"/>
      <c r="MD133" s="99"/>
      <c r="ME133" s="99"/>
      <c r="MF133" s="99"/>
    </row>
    <row r="134" spans="1:344" ht="17.25" customHeight="1" x14ac:dyDescent="0.25">
      <c r="A134" s="156"/>
      <c r="B134" s="81" t="s">
        <v>5</v>
      </c>
      <c r="C134" s="82">
        <v>45268</v>
      </c>
      <c r="D134" s="49">
        <v>9</v>
      </c>
      <c r="E134" s="39">
        <v>8</v>
      </c>
      <c r="F134" s="103">
        <v>83</v>
      </c>
      <c r="G134" s="89">
        <f t="shared" si="93"/>
        <v>6.166666666666667</v>
      </c>
      <c r="H134" s="35">
        <f t="shared" si="94"/>
        <v>511.83333333333337</v>
      </c>
      <c r="I134" s="39"/>
      <c r="L134" s="89">
        <f t="shared" si="95"/>
        <v>0</v>
      </c>
      <c r="M134" s="35">
        <f t="shared" si="113"/>
        <v>0</v>
      </c>
      <c r="N134" s="35">
        <f t="shared" si="114"/>
        <v>511.83333333333337</v>
      </c>
      <c r="O134" s="97">
        <f t="shared" ref="O134:O143" si="192">SUM($Z134,$BH134,$AQ134,$BY134,$CP134,$DG134,$DX134,$EO134,$FF134,$FW134,$GN134)/D134</f>
        <v>166.53333333333333</v>
      </c>
      <c r="P134" s="150"/>
      <c r="Q134" s="132">
        <f t="shared" si="187"/>
        <v>36.875</v>
      </c>
      <c r="R134" s="134">
        <f t="shared" si="188"/>
        <v>17.25</v>
      </c>
      <c r="S134" s="136">
        <f t="shared" si="189"/>
        <v>18.125</v>
      </c>
      <c r="T134" s="138">
        <f t="shared" si="190"/>
        <v>13.025</v>
      </c>
      <c r="U134" s="144">
        <f t="shared" si="191"/>
        <v>1.9</v>
      </c>
      <c r="W134" s="86">
        <v>0</v>
      </c>
      <c r="X134" s="87">
        <v>0</v>
      </c>
      <c r="Y134" s="35">
        <f t="shared" si="96"/>
        <v>0</v>
      </c>
      <c r="Z134" s="35">
        <f t="shared" si="115"/>
        <v>0</v>
      </c>
      <c r="AA134" s="15">
        <f t="shared" si="128"/>
        <v>0.54081737858492218</v>
      </c>
      <c r="AB134" s="43">
        <f t="shared" si="173"/>
        <v>217.62109539604569</v>
      </c>
      <c r="AC134" s="43">
        <f t="shared" si="174"/>
        <v>402.39294078430504</v>
      </c>
      <c r="AD134" s="33"/>
      <c r="AH134" s="31"/>
      <c r="AP134" s="35">
        <f t="shared" si="97"/>
        <v>0</v>
      </c>
      <c r="AQ134" s="35">
        <f t="shared" si="116"/>
        <v>0</v>
      </c>
      <c r="AR134" s="15">
        <f t="shared" si="129"/>
        <v>0.39413552755937953</v>
      </c>
      <c r="AS134" s="28">
        <f t="shared" si="130"/>
        <v>164.28734897889325</v>
      </c>
      <c r="AT134" s="28">
        <f t="shared" si="131"/>
        <v>416.82958650344483</v>
      </c>
      <c r="AU134" s="33"/>
      <c r="AY134" s="31"/>
      <c r="BE134" s="86"/>
      <c r="BF134" s="87"/>
      <c r="BG134" s="35">
        <f t="shared" si="98"/>
        <v>0</v>
      </c>
      <c r="BH134" s="35">
        <f t="shared" si="117"/>
        <v>0</v>
      </c>
      <c r="BI134" s="15">
        <f t="shared" si="132"/>
        <v>4.5681781551505492E-2</v>
      </c>
      <c r="BJ134" s="28">
        <f t="shared" si="133"/>
        <v>6.0428952567622787</v>
      </c>
      <c r="BK134" s="28">
        <f t="shared" si="134"/>
        <v>132.28239029927082</v>
      </c>
      <c r="BL134" s="33"/>
      <c r="BP134" s="31"/>
      <c r="BV134" s="11">
        <v>7</v>
      </c>
      <c r="BX134" s="35">
        <f t="shared" si="99"/>
        <v>581</v>
      </c>
      <c r="BY134" s="35">
        <f>(CC134*1+CD134*2+CE134*3+CF134*4+CG134*5)+(CH134*1+CI134*2+CJ134*3+CK134*4+CL134*5)</f>
        <v>202</v>
      </c>
      <c r="BZ134" s="15">
        <f t="shared" si="135"/>
        <v>1.1489287889681965</v>
      </c>
      <c r="CA134" s="28">
        <f t="shared" si="136"/>
        <v>582.89805664468872</v>
      </c>
      <c r="CB134" s="28">
        <f t="shared" si="137"/>
        <v>507.34045681644409</v>
      </c>
      <c r="CC134" s="33">
        <v>36</v>
      </c>
      <c r="CD134" s="8">
        <v>12</v>
      </c>
      <c r="CE134" s="9">
        <v>20</v>
      </c>
      <c r="CF134" s="10">
        <v>18</v>
      </c>
      <c r="CG134" s="31">
        <v>2</v>
      </c>
      <c r="CM134" s="11">
        <v>8.5</v>
      </c>
      <c r="CO134" s="35">
        <f t="shared" si="100"/>
        <v>705.5</v>
      </c>
      <c r="CP134" s="35">
        <f t="shared" si="119"/>
        <v>150</v>
      </c>
      <c r="CQ134" s="15">
        <f t="shared" si="138"/>
        <v>1.1279532770791121</v>
      </c>
      <c r="CR134" s="28">
        <f t="shared" si="139"/>
        <v>632.87264652199929</v>
      </c>
      <c r="CS134" s="28">
        <f t="shared" si="140"/>
        <v>561.08055128032674</v>
      </c>
      <c r="CT134" s="33">
        <v>50</v>
      </c>
      <c r="CU134" s="8">
        <v>17</v>
      </c>
      <c r="CV134" s="9">
        <v>15</v>
      </c>
      <c r="CW134" s="10">
        <v>5</v>
      </c>
      <c r="CX134" s="31">
        <v>0.2</v>
      </c>
      <c r="DD134" s="11">
        <v>5</v>
      </c>
      <c r="DF134" s="35">
        <f t="shared" si="101"/>
        <v>415</v>
      </c>
      <c r="DG134" s="35">
        <f t="shared" si="120"/>
        <v>174</v>
      </c>
      <c r="DH134" s="15">
        <f t="shared" si="141"/>
        <v>1.0684578855614328</v>
      </c>
      <c r="DI134" s="28">
        <f t="shared" si="142"/>
        <v>475.05301081729294</v>
      </c>
      <c r="DJ134" s="28">
        <f t="shared" si="143"/>
        <v>444.61556907099919</v>
      </c>
      <c r="DK134" s="33">
        <v>41</v>
      </c>
      <c r="DL134" s="8">
        <v>17</v>
      </c>
      <c r="DM134" s="9">
        <v>17</v>
      </c>
      <c r="DN134" s="10">
        <v>12</v>
      </c>
      <c r="DO134" s="31">
        <v>0</v>
      </c>
      <c r="DU134" s="11">
        <v>5</v>
      </c>
      <c r="DW134" s="35">
        <f t="shared" si="102"/>
        <v>415</v>
      </c>
      <c r="DX134" s="35">
        <f t="shared" si="121"/>
        <v>148.80000000000001</v>
      </c>
      <c r="DY134" s="15">
        <f t="shared" si="144"/>
        <v>1.0673168913501658</v>
      </c>
      <c r="DZ134" s="28">
        <f t="shared" si="145"/>
        <v>464.41165728742374</v>
      </c>
      <c r="EA134" s="28">
        <f t="shared" si="146"/>
        <v>435.12068538514245</v>
      </c>
      <c r="EB134" s="33">
        <v>45</v>
      </c>
      <c r="EC134" s="8">
        <v>22</v>
      </c>
      <c r="ED134" s="9">
        <v>17</v>
      </c>
      <c r="EE134" s="10">
        <v>2.2000000000000002</v>
      </c>
      <c r="EF134" s="31">
        <v>0</v>
      </c>
      <c r="EL134" s="11">
        <v>6.5</v>
      </c>
      <c r="EN134" s="35">
        <f t="shared" si="103"/>
        <v>539.5</v>
      </c>
      <c r="EO134" s="35">
        <f t="shared" si="122"/>
        <v>185</v>
      </c>
      <c r="EP134" s="15">
        <f t="shared" si="147"/>
        <v>1.0570156484620374</v>
      </c>
      <c r="EQ134" s="28">
        <f t="shared" si="148"/>
        <v>536.10568001385661</v>
      </c>
      <c r="ER134" s="28">
        <f t="shared" si="149"/>
        <v>507.18802582903368</v>
      </c>
      <c r="ES134" s="33">
        <v>32</v>
      </c>
      <c r="ET134" s="8">
        <v>23</v>
      </c>
      <c r="EU134" s="9">
        <v>21</v>
      </c>
      <c r="EV134" s="10">
        <v>11</v>
      </c>
      <c r="EW134" s="31">
        <v>0</v>
      </c>
      <c r="FC134" s="11">
        <v>7.5</v>
      </c>
      <c r="FE134" s="35">
        <f t="shared" si="104"/>
        <v>622.5</v>
      </c>
      <c r="FF134" s="35">
        <f t="shared" si="123"/>
        <v>159</v>
      </c>
      <c r="FG134" s="15">
        <f t="shared" si="150"/>
        <v>0.68593983304928785</v>
      </c>
      <c r="FH134" s="28">
        <f t="shared" si="151"/>
        <v>310.48645654277141</v>
      </c>
      <c r="FI134" s="28">
        <f t="shared" si="152"/>
        <v>452.64386405806169</v>
      </c>
      <c r="FJ134" s="33">
        <v>50</v>
      </c>
      <c r="FK134" s="8">
        <v>13</v>
      </c>
      <c r="FL134" s="9">
        <v>13</v>
      </c>
      <c r="FM134" s="10">
        <v>11</v>
      </c>
      <c r="FN134" s="31">
        <v>0</v>
      </c>
      <c r="FT134" s="11">
        <v>7</v>
      </c>
      <c r="FV134" s="35">
        <f t="shared" si="105"/>
        <v>581</v>
      </c>
      <c r="FW134" s="35">
        <f t="shared" si="124"/>
        <v>228</v>
      </c>
      <c r="FX134" s="15">
        <f t="shared" si="153"/>
        <v>1.0707714173323759</v>
      </c>
      <c r="FY134" s="28">
        <f t="shared" si="154"/>
        <v>549.24134647712094</v>
      </c>
      <c r="FZ134" s="28">
        <f t="shared" si="155"/>
        <v>512.93986520993587</v>
      </c>
      <c r="GA134" s="33">
        <v>25</v>
      </c>
      <c r="GB134" s="8">
        <v>19</v>
      </c>
      <c r="GC134" s="9">
        <v>18</v>
      </c>
      <c r="GD134" s="10">
        <v>19</v>
      </c>
      <c r="GE134" s="31">
        <v>7</v>
      </c>
      <c r="GK134" s="11">
        <v>9</v>
      </c>
      <c r="GM134" s="35">
        <f t="shared" si="106"/>
        <v>747</v>
      </c>
      <c r="GN134" s="35">
        <f t="shared" si="125"/>
        <v>252</v>
      </c>
      <c r="GO134" s="15">
        <f t="shared" si="156"/>
        <v>1.1291586505430451</v>
      </c>
      <c r="GP134" s="28">
        <f t="shared" si="157"/>
        <v>685.86672980366711</v>
      </c>
      <c r="GQ134" s="28">
        <f t="shared" si="158"/>
        <v>607.41396213349992</v>
      </c>
      <c r="GR134" s="33">
        <v>16</v>
      </c>
      <c r="GS134" s="8">
        <v>15</v>
      </c>
      <c r="GT134" s="9">
        <v>24</v>
      </c>
      <c r="GU134" s="10">
        <v>26</v>
      </c>
      <c r="GV134" s="31">
        <v>6</v>
      </c>
      <c r="HB134" s="11">
        <v>7</v>
      </c>
      <c r="HD134" s="35">
        <f t="shared" si="107"/>
        <v>581</v>
      </c>
      <c r="HE134" s="35">
        <f t="shared" si="126"/>
        <v>161</v>
      </c>
      <c r="HF134" s="15">
        <f t="shared" si="159"/>
        <v>1.6111720181674967</v>
      </c>
      <c r="HG134" s="28">
        <f t="shared" si="160"/>
        <v>466.5224636728156</v>
      </c>
      <c r="HH134" s="28">
        <f t="shared" si="161"/>
        <v>289.55472067062436</v>
      </c>
      <c r="HI134" s="33">
        <v>45</v>
      </c>
      <c r="HJ134" s="8">
        <v>18</v>
      </c>
      <c r="HK134" s="9">
        <v>14</v>
      </c>
      <c r="HL134" s="10">
        <v>9.5</v>
      </c>
      <c r="HM134" s="31">
        <v>0</v>
      </c>
      <c r="HU134" s="35">
        <f t="shared" si="108"/>
        <v>0</v>
      </c>
      <c r="HV134" s="35">
        <f t="shared" si="127"/>
        <v>0</v>
      </c>
      <c r="HW134" s="15">
        <f t="shared" si="162"/>
        <v>3.9504222885270402E-3</v>
      </c>
      <c r="HX134" s="28">
        <f t="shared" si="163"/>
        <v>2.0099121486699172E-2</v>
      </c>
      <c r="HY134" s="28">
        <f t="shared" si="164"/>
        <v>5.0878412530912884</v>
      </c>
      <c r="HZ134" s="33"/>
      <c r="ID134" s="31"/>
      <c r="II134" s="12"/>
      <c r="IL134" s="35">
        <f t="shared" si="109"/>
        <v>0</v>
      </c>
      <c r="IM134" s="35">
        <f t="shared" si="110"/>
        <v>6058.7412970278801</v>
      </c>
      <c r="IN134" s="15">
        <f t="shared" si="165"/>
        <v>1.262558641551152E-4</v>
      </c>
      <c r="IO134" s="28">
        <f t="shared" si="166"/>
        <v>8.5661083217271881E-4</v>
      </c>
      <c r="IP134" s="28">
        <f t="shared" si="167"/>
        <v>6.7847211525977551</v>
      </c>
      <c r="IQ134" s="33"/>
      <c r="IU134" s="31"/>
      <c r="JC134" s="35">
        <f t="shared" si="180"/>
        <v>0</v>
      </c>
      <c r="JD134" s="35">
        <f t="shared" si="112"/>
        <v>6495.7772023208681</v>
      </c>
      <c r="JE134" s="15" t="e">
        <f t="shared" si="168"/>
        <v>#DIV/0!</v>
      </c>
      <c r="JF134" s="28">
        <f t="shared" si="169"/>
        <v>0</v>
      </c>
      <c r="JG134" s="28">
        <f t="shared" si="170"/>
        <v>0</v>
      </c>
      <c r="JH134" s="33"/>
      <c r="JL134" s="31"/>
      <c r="JR134" s="99"/>
      <c r="JS134" s="99"/>
      <c r="JT134" s="99"/>
      <c r="JU134" s="99"/>
      <c r="JV134" s="99"/>
      <c r="JW134" s="99"/>
      <c r="JX134" s="99"/>
      <c r="JY134" s="99"/>
      <c r="JZ134" s="99"/>
      <c r="KA134" s="99"/>
      <c r="KB134" s="99"/>
      <c r="KC134" s="99"/>
      <c r="KD134" s="99"/>
      <c r="KE134" s="99"/>
      <c r="KF134" s="99"/>
      <c r="KG134" s="99"/>
      <c r="KH134" s="99"/>
      <c r="KI134" s="99"/>
      <c r="KJ134" s="99"/>
      <c r="KK134" s="99"/>
      <c r="KL134" s="99"/>
      <c r="KM134" s="99"/>
      <c r="KN134" s="99"/>
      <c r="KO134" s="99"/>
      <c r="KP134" s="99"/>
      <c r="KQ134" s="99"/>
      <c r="KR134" s="99"/>
      <c r="KS134" s="99"/>
      <c r="KT134" s="99"/>
      <c r="KU134" s="99"/>
      <c r="KV134" s="99"/>
      <c r="KW134" s="99"/>
      <c r="KX134" s="99"/>
      <c r="KY134" s="99"/>
      <c r="KZ134" s="99"/>
      <c r="LA134" s="99"/>
      <c r="LB134" s="99"/>
      <c r="LC134" s="99"/>
      <c r="LD134" s="99"/>
      <c r="LE134" s="99"/>
      <c r="LF134" s="99"/>
      <c r="LG134" s="99"/>
      <c r="LH134" s="99"/>
      <c r="LI134" s="99"/>
      <c r="LJ134" s="99"/>
      <c r="LK134" s="99"/>
      <c r="LL134" s="99"/>
      <c r="LM134" s="99"/>
      <c r="LN134" s="99"/>
      <c r="LO134" s="99"/>
      <c r="LP134" s="99"/>
      <c r="LQ134" s="99"/>
      <c r="LR134" s="99"/>
      <c r="LS134" s="99"/>
      <c r="LT134" s="99"/>
      <c r="LU134" s="99"/>
      <c r="LV134" s="99"/>
      <c r="LW134" s="99"/>
      <c r="LX134" s="99"/>
      <c r="LY134" s="99"/>
      <c r="LZ134" s="99"/>
      <c r="MA134" s="99"/>
      <c r="MB134" s="99"/>
      <c r="MC134" s="99"/>
      <c r="MD134" s="99"/>
      <c r="ME134" s="99"/>
      <c r="MF134" s="99"/>
    </row>
    <row r="135" spans="1:344" ht="17.25" customHeight="1" x14ac:dyDescent="0.25">
      <c r="A135" s="156"/>
      <c r="B135" s="81" t="s">
        <v>6</v>
      </c>
      <c r="C135" s="82">
        <v>45269</v>
      </c>
      <c r="D135" s="49">
        <v>10</v>
      </c>
      <c r="E135" s="39">
        <v>8</v>
      </c>
      <c r="F135" s="103">
        <v>83</v>
      </c>
      <c r="G135" s="89">
        <f t="shared" si="93"/>
        <v>6.3666666666666663</v>
      </c>
      <c r="H135" s="35">
        <f t="shared" si="94"/>
        <v>528.43333333333328</v>
      </c>
      <c r="I135" s="39"/>
      <c r="L135" s="89">
        <f t="shared" si="95"/>
        <v>0</v>
      </c>
      <c r="M135" s="35">
        <f t="shared" si="113"/>
        <v>0</v>
      </c>
      <c r="N135" s="35">
        <f t="shared" si="114"/>
        <v>528.43333333333328</v>
      </c>
      <c r="O135" s="97">
        <f t="shared" si="192"/>
        <v>165.99</v>
      </c>
      <c r="P135" s="150"/>
      <c r="Q135" s="132">
        <f t="shared" si="187"/>
        <v>25.75</v>
      </c>
      <c r="R135" s="134">
        <f t="shared" si="188"/>
        <v>20.75</v>
      </c>
      <c r="S135" s="136">
        <f t="shared" si="189"/>
        <v>24.5</v>
      </c>
      <c r="T135" s="138">
        <f t="shared" si="190"/>
        <v>14.137499999999999</v>
      </c>
      <c r="U135" s="144">
        <f t="shared" si="191"/>
        <v>2.0374999999999996</v>
      </c>
      <c r="W135" s="86">
        <v>0</v>
      </c>
      <c r="X135" s="87">
        <v>0</v>
      </c>
      <c r="Y135" s="35">
        <f t="shared" si="96"/>
        <v>0</v>
      </c>
      <c r="Z135" s="35">
        <f t="shared" si="115"/>
        <v>0</v>
      </c>
      <c r="AA135" s="15">
        <f t="shared" si="128"/>
        <v>0.43565844386007624</v>
      </c>
      <c r="AB135" s="43">
        <f t="shared" si="173"/>
        <v>163.21582154703427</v>
      </c>
      <c r="AC135" s="43">
        <f t="shared" si="174"/>
        <v>374.64170348883573</v>
      </c>
      <c r="AD135" s="33"/>
      <c r="AH135" s="31"/>
      <c r="AN135" s="11">
        <v>7.8</v>
      </c>
      <c r="AP135" s="35">
        <f t="shared" si="97"/>
        <v>647.4</v>
      </c>
      <c r="AQ135" s="35">
        <f t="shared" si="116"/>
        <v>245</v>
      </c>
      <c r="AR135" s="15">
        <f t="shared" si="129"/>
        <v>0.65875917248547433</v>
      </c>
      <c r="AS135" s="28">
        <f t="shared" si="130"/>
        <v>285.06551173416995</v>
      </c>
      <c r="AT135" s="28">
        <f t="shared" si="131"/>
        <v>432.73099433079341</v>
      </c>
      <c r="AU135" s="33">
        <v>19</v>
      </c>
      <c r="AV135" s="8">
        <v>20</v>
      </c>
      <c r="AW135" s="9">
        <v>20</v>
      </c>
      <c r="AX135" s="10">
        <v>19</v>
      </c>
      <c r="AY135" s="31">
        <v>10</v>
      </c>
      <c r="BE135" s="86"/>
      <c r="BF135" s="87"/>
      <c r="BG135" s="35">
        <f t="shared" si="98"/>
        <v>0</v>
      </c>
      <c r="BH135" s="35">
        <f t="shared" si="117"/>
        <v>0</v>
      </c>
      <c r="BI135" s="15">
        <f t="shared" si="132"/>
        <v>3.6799212916490534E-2</v>
      </c>
      <c r="BJ135" s="28">
        <f t="shared" si="133"/>
        <v>4.532171442571709</v>
      </c>
      <c r="BK135" s="28">
        <f t="shared" si="134"/>
        <v>123.15946683035558</v>
      </c>
      <c r="BL135" s="33"/>
      <c r="BP135" s="31"/>
      <c r="BV135" s="86"/>
      <c r="BW135" s="87"/>
      <c r="BX135" s="35">
        <f t="shared" si="99"/>
        <v>0</v>
      </c>
      <c r="BY135" s="35">
        <f t="shared" si="118"/>
        <v>0</v>
      </c>
      <c r="BZ135" s="15">
        <f t="shared" si="135"/>
        <v>0.92552596889104732</v>
      </c>
      <c r="CA135" s="28">
        <f t="shared" si="136"/>
        <v>437.17354248351654</v>
      </c>
      <c r="CB135" s="28">
        <f t="shared" si="137"/>
        <v>472.35145979462033</v>
      </c>
      <c r="CC135" s="33"/>
      <c r="CG135" s="31"/>
      <c r="CM135" s="11">
        <v>9</v>
      </c>
      <c r="CO135" s="35">
        <f t="shared" si="100"/>
        <v>747</v>
      </c>
      <c r="CP135" s="35">
        <f t="shared" si="119"/>
        <v>179.5</v>
      </c>
      <c r="CQ135" s="15">
        <f t="shared" si="138"/>
        <v>1.1524682156430037</v>
      </c>
      <c r="CR135" s="28">
        <f t="shared" si="139"/>
        <v>661.40448489149946</v>
      </c>
      <c r="CS135" s="28">
        <f t="shared" si="140"/>
        <v>573.90258222651107</v>
      </c>
      <c r="CT135" s="33">
        <v>36</v>
      </c>
      <c r="CU135" s="8">
        <v>19</v>
      </c>
      <c r="CV135" s="9">
        <v>23</v>
      </c>
      <c r="CW135" s="10">
        <v>9</v>
      </c>
      <c r="CX135" s="31">
        <v>0.1</v>
      </c>
      <c r="DD135" s="11">
        <v>5</v>
      </c>
      <c r="DF135" s="35">
        <f t="shared" si="101"/>
        <v>415</v>
      </c>
      <c r="DG135" s="35">
        <f t="shared" si="120"/>
        <v>234.5</v>
      </c>
      <c r="DH135" s="15">
        <f t="shared" si="141"/>
        <v>1.0394661163289047</v>
      </c>
      <c r="DI135" s="28">
        <f t="shared" si="142"/>
        <v>460.03975811296971</v>
      </c>
      <c r="DJ135" s="28">
        <f t="shared" si="143"/>
        <v>442.57311603161997</v>
      </c>
      <c r="DK135" s="33">
        <v>17</v>
      </c>
      <c r="DL135" s="8">
        <v>20</v>
      </c>
      <c r="DM135" s="9">
        <v>24</v>
      </c>
      <c r="DN135" s="10">
        <v>25</v>
      </c>
      <c r="DO135" s="31">
        <v>1.1000000000000001</v>
      </c>
      <c r="DU135" s="11">
        <v>4.5</v>
      </c>
      <c r="DW135" s="35">
        <f t="shared" si="102"/>
        <v>373.5</v>
      </c>
      <c r="DX135" s="35">
        <f t="shared" si="121"/>
        <v>178</v>
      </c>
      <c r="DY135" s="15">
        <f t="shared" si="144"/>
        <v>1.0250951223191691</v>
      </c>
      <c r="DZ135" s="28">
        <f t="shared" si="145"/>
        <v>441.68374296556783</v>
      </c>
      <c r="EA135" s="28">
        <f t="shared" si="146"/>
        <v>430.87098294478778</v>
      </c>
      <c r="EB135" s="33">
        <v>31</v>
      </c>
      <c r="EC135" s="8">
        <v>24</v>
      </c>
      <c r="ED135" s="9">
        <v>29</v>
      </c>
      <c r="EE135" s="10">
        <v>3</v>
      </c>
      <c r="EF135" s="31">
        <v>0</v>
      </c>
      <c r="EL135" s="11">
        <v>5</v>
      </c>
      <c r="EN135" s="35">
        <f t="shared" si="103"/>
        <v>415</v>
      </c>
      <c r="EO135" s="35">
        <f t="shared" si="122"/>
        <v>203</v>
      </c>
      <c r="EP135" s="15">
        <f t="shared" si="147"/>
        <v>1.0099814842580379</v>
      </c>
      <c r="EQ135" s="28">
        <f t="shared" si="148"/>
        <v>505.82926001039243</v>
      </c>
      <c r="ER135" s="28">
        <f t="shared" si="149"/>
        <v>500.83023094427267</v>
      </c>
      <c r="ES135" s="33">
        <v>25</v>
      </c>
      <c r="ET135" s="8">
        <v>20</v>
      </c>
      <c r="EU135" s="9">
        <v>30</v>
      </c>
      <c r="EV135" s="10">
        <v>12</v>
      </c>
      <c r="EW135" s="31">
        <v>0</v>
      </c>
      <c r="FC135" s="11">
        <v>8.5</v>
      </c>
      <c r="FE135" s="35">
        <f t="shared" si="104"/>
        <v>705.5</v>
      </c>
      <c r="FF135" s="35">
        <f t="shared" si="123"/>
        <v>194</v>
      </c>
      <c r="FG135" s="15">
        <f t="shared" si="150"/>
        <v>0.87057077785465109</v>
      </c>
      <c r="FH135" s="28">
        <f t="shared" si="151"/>
        <v>409.23984240707853</v>
      </c>
      <c r="FI135" s="28">
        <f t="shared" si="152"/>
        <v>470.08221826095394</v>
      </c>
      <c r="FJ135" s="33">
        <v>33</v>
      </c>
      <c r="FK135" s="8">
        <v>16</v>
      </c>
      <c r="FL135" s="9">
        <v>23</v>
      </c>
      <c r="FM135" s="10">
        <v>15</v>
      </c>
      <c r="FN135" s="31">
        <v>0</v>
      </c>
      <c r="FT135" s="11">
        <v>8</v>
      </c>
      <c r="FV135" s="35">
        <f t="shared" si="105"/>
        <v>664</v>
      </c>
      <c r="FW135" s="35">
        <f t="shared" si="124"/>
        <v>254.5</v>
      </c>
      <c r="FX135" s="15">
        <f t="shared" si="153"/>
        <v>1.1042751321177247</v>
      </c>
      <c r="FY135" s="28">
        <f t="shared" si="154"/>
        <v>577.93100985784076</v>
      </c>
      <c r="FZ135" s="28">
        <f t="shared" si="155"/>
        <v>523.35780554028509</v>
      </c>
      <c r="GA135" s="33">
        <v>12</v>
      </c>
      <c r="GB135" s="8">
        <v>23</v>
      </c>
      <c r="GC135" s="9">
        <v>17</v>
      </c>
      <c r="GD135" s="10">
        <v>30</v>
      </c>
      <c r="GE135" s="31">
        <v>5.0999999999999996</v>
      </c>
      <c r="GK135" s="11">
        <v>9.5</v>
      </c>
      <c r="GM135" s="35">
        <f t="shared" si="106"/>
        <v>788.5</v>
      </c>
      <c r="GN135" s="35">
        <f t="shared" si="125"/>
        <v>171.4</v>
      </c>
      <c r="GO135" s="15">
        <f t="shared" si="156"/>
        <v>1.1478012592819966</v>
      </c>
      <c r="GP135" s="28">
        <f t="shared" si="157"/>
        <v>711.52504735275033</v>
      </c>
      <c r="GQ135" s="28">
        <f t="shared" si="158"/>
        <v>619.90265440015503</v>
      </c>
      <c r="GR135" s="33">
        <v>33</v>
      </c>
      <c r="GS135" s="8">
        <v>24</v>
      </c>
      <c r="GT135" s="9">
        <v>30</v>
      </c>
      <c r="GU135" s="10">
        <v>0.1</v>
      </c>
      <c r="GV135" s="31">
        <v>0</v>
      </c>
      <c r="HD135" s="35">
        <f t="shared" si="107"/>
        <v>0</v>
      </c>
      <c r="HE135" s="35">
        <f t="shared" si="126"/>
        <v>0</v>
      </c>
      <c r="HF135" s="15">
        <f t="shared" si="159"/>
        <v>1.2978885701904834</v>
      </c>
      <c r="HG135" s="28">
        <f t="shared" si="160"/>
        <v>349.89184775461172</v>
      </c>
      <c r="HH135" s="28">
        <f t="shared" si="161"/>
        <v>269.58542958989165</v>
      </c>
      <c r="HI135" s="33"/>
      <c r="HM135" s="31"/>
      <c r="HU135" s="35">
        <f t="shared" si="108"/>
        <v>0</v>
      </c>
      <c r="HV135" s="35">
        <f t="shared" si="127"/>
        <v>0</v>
      </c>
      <c r="HW135" s="15">
        <f t="shared" si="162"/>
        <v>3.1822846213134491E-3</v>
      </c>
      <c r="HX135" s="28">
        <f t="shared" si="163"/>
        <v>1.5074341115024379E-2</v>
      </c>
      <c r="HY135" s="28">
        <f t="shared" si="164"/>
        <v>4.7369556494298202</v>
      </c>
      <c r="HZ135" s="33"/>
      <c r="ID135" s="31"/>
      <c r="II135" s="12"/>
      <c r="IL135" s="35">
        <f t="shared" si="109"/>
        <v>0</v>
      </c>
      <c r="IM135" s="35">
        <f t="shared" si="110"/>
        <v>4113.2280468138406</v>
      </c>
      <c r="IN135" s="15">
        <f t="shared" si="165"/>
        <v>1.0170611279162059E-4</v>
      </c>
      <c r="IO135" s="28">
        <f t="shared" si="166"/>
        <v>6.4245812412953916E-4</v>
      </c>
      <c r="IP135" s="28">
        <f t="shared" si="167"/>
        <v>6.3168093489703239</v>
      </c>
      <c r="IQ135" s="33"/>
      <c r="IU135" s="31"/>
      <c r="JC135" s="35">
        <f t="shared" si="180"/>
        <v>0</v>
      </c>
      <c r="JD135" s="35">
        <f t="shared" si="112"/>
        <v>6804.088255345483</v>
      </c>
      <c r="JE135" s="15" t="e">
        <f t="shared" si="168"/>
        <v>#DIV/0!</v>
      </c>
      <c r="JF135" s="28">
        <f t="shared" si="169"/>
        <v>0</v>
      </c>
      <c r="JG135" s="28">
        <f t="shared" si="170"/>
        <v>0</v>
      </c>
      <c r="JH135" s="33"/>
      <c r="JL135" s="31"/>
      <c r="JR135" s="99"/>
      <c r="JS135" s="99"/>
      <c r="JT135" s="99"/>
      <c r="JU135" s="99"/>
      <c r="JV135" s="99"/>
      <c r="JW135" s="99"/>
      <c r="JX135" s="99"/>
      <c r="JY135" s="99"/>
      <c r="JZ135" s="99"/>
      <c r="KA135" s="99"/>
      <c r="KB135" s="99"/>
      <c r="KC135" s="99"/>
      <c r="KD135" s="99"/>
      <c r="KE135" s="99"/>
      <c r="KF135" s="99"/>
      <c r="KG135" s="99"/>
      <c r="KH135" s="99"/>
      <c r="KI135" s="99"/>
      <c r="KJ135" s="99"/>
      <c r="KK135" s="99"/>
      <c r="KL135" s="99"/>
      <c r="KM135" s="99"/>
      <c r="KN135" s="99"/>
      <c r="KO135" s="99"/>
      <c r="KP135" s="99"/>
      <c r="KQ135" s="99"/>
      <c r="KR135" s="99"/>
      <c r="KS135" s="99"/>
      <c r="KT135" s="99"/>
      <c r="KU135" s="99"/>
      <c r="KV135" s="99"/>
      <c r="KW135" s="99"/>
      <c r="KX135" s="99"/>
      <c r="KY135" s="99"/>
      <c r="KZ135" s="99"/>
      <c r="LA135" s="99"/>
      <c r="LB135" s="99"/>
      <c r="LC135" s="99"/>
      <c r="LD135" s="99"/>
      <c r="LE135" s="99"/>
      <c r="LF135" s="99"/>
      <c r="LG135" s="99"/>
      <c r="LH135" s="99"/>
      <c r="LI135" s="99"/>
      <c r="LJ135" s="99"/>
      <c r="LK135" s="99"/>
      <c r="LL135" s="99"/>
      <c r="LM135" s="99"/>
      <c r="LN135" s="99"/>
      <c r="LO135" s="99"/>
      <c r="LP135" s="99"/>
      <c r="LQ135" s="99"/>
      <c r="LR135" s="99"/>
      <c r="LS135" s="99"/>
      <c r="LT135" s="99"/>
      <c r="LU135" s="99"/>
      <c r="LV135" s="99"/>
      <c r="LW135" s="99"/>
      <c r="LX135" s="99"/>
      <c r="LY135" s="99"/>
      <c r="LZ135" s="99"/>
      <c r="MA135" s="99"/>
      <c r="MB135" s="99"/>
      <c r="MC135" s="99"/>
      <c r="MD135" s="99"/>
      <c r="ME135" s="99"/>
      <c r="MF135" s="99"/>
    </row>
    <row r="136" spans="1:344" ht="17.25" customHeight="1" x14ac:dyDescent="0.25">
      <c r="A136" s="157"/>
      <c r="B136" s="83" t="s">
        <v>7</v>
      </c>
      <c r="C136" s="84">
        <v>45270</v>
      </c>
      <c r="D136" s="51" t="s">
        <v>95</v>
      </c>
      <c r="E136" s="48">
        <v>2</v>
      </c>
      <c r="F136" s="104">
        <v>75</v>
      </c>
      <c r="G136" s="37">
        <f t="shared" si="93"/>
        <v>5</v>
      </c>
      <c r="H136" s="26">
        <f t="shared" si="94"/>
        <v>375</v>
      </c>
      <c r="I136" s="48"/>
      <c r="J136" s="48"/>
      <c r="K136" s="104"/>
      <c r="L136" s="37">
        <f t="shared" si="95"/>
        <v>0</v>
      </c>
      <c r="M136" s="26">
        <f t="shared" si="113"/>
        <v>0</v>
      </c>
      <c r="N136" s="26">
        <f t="shared" si="114"/>
        <v>375</v>
      </c>
      <c r="O136" s="98" t="e">
        <f t="shared" si="192"/>
        <v>#VALUE!</v>
      </c>
      <c r="P136" s="151"/>
      <c r="Q136" s="132">
        <f t="shared" si="187"/>
        <v>0</v>
      </c>
      <c r="R136" s="134">
        <f t="shared" si="188"/>
        <v>0</v>
      </c>
      <c r="S136" s="136">
        <f t="shared" si="189"/>
        <v>0</v>
      </c>
      <c r="T136" s="138">
        <f t="shared" si="190"/>
        <v>0</v>
      </c>
      <c r="U136" s="144">
        <f t="shared" si="191"/>
        <v>0</v>
      </c>
      <c r="V136" s="23"/>
      <c r="W136" s="13">
        <v>5</v>
      </c>
      <c r="X136" s="2">
        <v>0</v>
      </c>
      <c r="Y136" s="26">
        <f t="shared" si="96"/>
        <v>375</v>
      </c>
      <c r="Z136" s="26">
        <f t="shared" si="115"/>
        <v>0</v>
      </c>
      <c r="AA136" s="16">
        <f t="shared" si="128"/>
        <v>0.5769448723393209</v>
      </c>
      <c r="AB136" s="44">
        <f t="shared" si="173"/>
        <v>216.16186616027571</v>
      </c>
      <c r="AC136" s="44">
        <f t="shared" si="174"/>
        <v>374.66641359305396</v>
      </c>
      <c r="AD136" s="34"/>
      <c r="AE136" s="4"/>
      <c r="AF136" s="5"/>
      <c r="AG136" s="6"/>
      <c r="AH136" s="32"/>
      <c r="AI136" s="3"/>
      <c r="AJ136" s="4"/>
      <c r="AK136" s="5"/>
      <c r="AL136" s="6"/>
      <c r="AM136" s="14"/>
      <c r="AN136" s="13">
        <v>5</v>
      </c>
      <c r="AO136" s="2"/>
      <c r="AP136" s="26">
        <f t="shared" si="97"/>
        <v>375</v>
      </c>
      <c r="AQ136" s="26">
        <f t="shared" si="116"/>
        <v>0</v>
      </c>
      <c r="AR136" s="16">
        <f t="shared" si="129"/>
        <v>0.71731652278126978</v>
      </c>
      <c r="AS136" s="29">
        <f t="shared" si="130"/>
        <v>307.54913380062749</v>
      </c>
      <c r="AT136" s="29">
        <f t="shared" si="131"/>
        <v>428.74954644591111</v>
      </c>
      <c r="AU136" s="34"/>
      <c r="AV136" s="4"/>
      <c r="AW136" s="5"/>
      <c r="AX136" s="6"/>
      <c r="AY136" s="32"/>
      <c r="AZ136" s="3"/>
      <c r="BA136" s="4"/>
      <c r="BB136" s="5"/>
      <c r="BC136" s="6"/>
      <c r="BD136" s="14"/>
      <c r="BE136" s="95"/>
      <c r="BF136" s="96"/>
      <c r="BG136" s="26">
        <f t="shared" si="98"/>
        <v>0</v>
      </c>
      <c r="BH136" s="26">
        <f t="shared" si="117"/>
        <v>0</v>
      </c>
      <c r="BI136" s="16">
        <f t="shared" si="132"/>
        <v>2.9643810404950711E-2</v>
      </c>
      <c r="BJ136" s="29">
        <f t="shared" si="133"/>
        <v>3.3991285819287818</v>
      </c>
      <c r="BK136" s="29">
        <f t="shared" si="134"/>
        <v>114.66571049722761</v>
      </c>
      <c r="BL136" s="34"/>
      <c r="BM136" s="4"/>
      <c r="BN136" s="5"/>
      <c r="BO136" s="6"/>
      <c r="BP136" s="32"/>
      <c r="BQ136" s="3"/>
      <c r="BR136" s="4"/>
      <c r="BS136" s="5"/>
      <c r="BT136" s="6"/>
      <c r="BU136" s="14"/>
      <c r="BV136" s="95"/>
      <c r="BW136" s="96"/>
      <c r="BX136" s="26">
        <f t="shared" si="99"/>
        <v>0</v>
      </c>
      <c r="BY136" s="26">
        <f t="shared" si="118"/>
        <v>0</v>
      </c>
      <c r="BZ136" s="16">
        <f t="shared" si="135"/>
        <v>0.74556258605112147</v>
      </c>
      <c r="CA136" s="29">
        <f t="shared" si="136"/>
        <v>327.88015686263742</v>
      </c>
      <c r="CB136" s="29">
        <f t="shared" si="137"/>
        <v>439.77549705016372</v>
      </c>
      <c r="CC136" s="34"/>
      <c r="CD136" s="4"/>
      <c r="CE136" s="5"/>
      <c r="CF136" s="6"/>
      <c r="CG136" s="32"/>
      <c r="CH136" s="3"/>
      <c r="CI136" s="4"/>
      <c r="CJ136" s="5"/>
      <c r="CK136" s="6"/>
      <c r="CL136" s="14"/>
      <c r="CM136" s="13"/>
      <c r="CN136" s="2"/>
      <c r="CO136" s="26">
        <f t="shared" si="100"/>
        <v>0</v>
      </c>
      <c r="CP136" s="26">
        <f t="shared" si="119"/>
        <v>0</v>
      </c>
      <c r="CQ136" s="16">
        <f t="shared" si="138"/>
        <v>0.92837717371241968</v>
      </c>
      <c r="CR136" s="29">
        <f t="shared" si="139"/>
        <v>496.05336366862457</v>
      </c>
      <c r="CS136" s="29">
        <f t="shared" si="140"/>
        <v>534.32309379709648</v>
      </c>
      <c r="CT136" s="34"/>
      <c r="CU136" s="4"/>
      <c r="CV136" s="5"/>
      <c r="CW136" s="6"/>
      <c r="CX136" s="32"/>
      <c r="CY136" s="3"/>
      <c r="CZ136" s="4"/>
      <c r="DA136" s="5"/>
      <c r="DB136" s="6"/>
      <c r="DC136" s="14"/>
      <c r="DD136" s="13"/>
      <c r="DE136" s="2"/>
      <c r="DF136" s="26">
        <f t="shared" si="101"/>
        <v>0</v>
      </c>
      <c r="DG136" s="26">
        <f t="shared" si="120"/>
        <v>0</v>
      </c>
      <c r="DH136" s="16">
        <f t="shared" si="141"/>
        <v>0.83734770482050669</v>
      </c>
      <c r="DI136" s="29">
        <f t="shared" si="142"/>
        <v>345.02981858472731</v>
      </c>
      <c r="DJ136" s="29">
        <f t="shared" si="143"/>
        <v>412.05083216737029</v>
      </c>
      <c r="DK136" s="34"/>
      <c r="DL136" s="4"/>
      <c r="DM136" s="5"/>
      <c r="DN136" s="6"/>
      <c r="DO136" s="32"/>
      <c r="DP136" s="3"/>
      <c r="DQ136" s="4"/>
      <c r="DR136" s="5"/>
      <c r="DS136" s="6"/>
      <c r="DT136" s="14"/>
      <c r="DU136" s="13"/>
      <c r="DV136" s="2"/>
      <c r="DW136" s="26">
        <f t="shared" si="102"/>
        <v>0</v>
      </c>
      <c r="DX136" s="26">
        <f t="shared" si="121"/>
        <v>0</v>
      </c>
      <c r="DY136" s="16">
        <f t="shared" si="144"/>
        <v>0.82577107075710832</v>
      </c>
      <c r="DZ136" s="29">
        <f t="shared" si="145"/>
        <v>331.26280722417584</v>
      </c>
      <c r="EA136" s="29">
        <f t="shared" si="146"/>
        <v>401.15574274169899</v>
      </c>
      <c r="EB136" s="34"/>
      <c r="EC136" s="4"/>
      <c r="ED136" s="5"/>
      <c r="EE136" s="6"/>
      <c r="EF136" s="32"/>
      <c r="EG136" s="3"/>
      <c r="EH136" s="4"/>
      <c r="EI136" s="5"/>
      <c r="EJ136" s="6"/>
      <c r="EK136" s="14"/>
      <c r="EL136" s="13"/>
      <c r="EM136" s="2"/>
      <c r="EN136" s="26">
        <f t="shared" si="103"/>
        <v>0</v>
      </c>
      <c r="EO136" s="26">
        <f t="shared" si="122"/>
        <v>0</v>
      </c>
      <c r="EP136" s="16">
        <f t="shared" si="147"/>
        <v>0.81359619565230845</v>
      </c>
      <c r="EQ136" s="29">
        <f t="shared" si="148"/>
        <v>379.37194500779435</v>
      </c>
      <c r="ER136" s="29">
        <f t="shared" si="149"/>
        <v>466.29021501708144</v>
      </c>
      <c r="ES136" s="34"/>
      <c r="ET136" s="4"/>
      <c r="EU136" s="5"/>
      <c r="EV136" s="6"/>
      <c r="EW136" s="32"/>
      <c r="EX136" s="3"/>
      <c r="EY136" s="4"/>
      <c r="EZ136" s="5"/>
      <c r="FA136" s="6"/>
      <c r="FB136" s="14"/>
      <c r="FC136" s="13"/>
      <c r="FD136" s="2"/>
      <c r="FE136" s="26">
        <f t="shared" si="104"/>
        <v>0</v>
      </c>
      <c r="FF136" s="26">
        <f t="shared" si="123"/>
        <v>0</v>
      </c>
      <c r="FG136" s="16">
        <f t="shared" si="150"/>
        <v>0.70129312660513565</v>
      </c>
      <c r="FH136" s="29">
        <f t="shared" si="151"/>
        <v>306.92988180530892</v>
      </c>
      <c r="FI136" s="29">
        <f t="shared" si="152"/>
        <v>437.6627549326123</v>
      </c>
      <c r="FJ136" s="34"/>
      <c r="FK136" s="4"/>
      <c r="FL136" s="5"/>
      <c r="FM136" s="6"/>
      <c r="FN136" s="32"/>
      <c r="FO136" s="3"/>
      <c r="FP136" s="4"/>
      <c r="FQ136" s="5"/>
      <c r="FR136" s="6"/>
      <c r="FS136" s="14"/>
      <c r="FT136" s="13"/>
      <c r="FU136" s="2"/>
      <c r="FV136" s="26">
        <f t="shared" si="105"/>
        <v>0</v>
      </c>
      <c r="FW136" s="26">
        <f t="shared" si="124"/>
        <v>0</v>
      </c>
      <c r="FX136" s="16">
        <f t="shared" si="153"/>
        <v>0.88955496753927821</v>
      </c>
      <c r="FY136" s="29">
        <f t="shared" si="154"/>
        <v>433.44825739338057</v>
      </c>
      <c r="FZ136" s="29">
        <f t="shared" si="155"/>
        <v>487.26416377888609</v>
      </c>
      <c r="GA136" s="34"/>
      <c r="GB136" s="4"/>
      <c r="GC136" s="5"/>
      <c r="GD136" s="6"/>
      <c r="GE136" s="32"/>
      <c r="GF136" s="3"/>
      <c r="GG136" s="4"/>
      <c r="GH136" s="5"/>
      <c r="GI136" s="6"/>
      <c r="GJ136" s="14"/>
      <c r="GK136" s="13"/>
      <c r="GL136" s="2"/>
      <c r="GM136" s="26">
        <f t="shared" si="106"/>
        <v>0</v>
      </c>
      <c r="GN136" s="26">
        <f t="shared" si="125"/>
        <v>0</v>
      </c>
      <c r="GO136" s="16">
        <f t="shared" si="156"/>
        <v>0.92461768108827513</v>
      </c>
      <c r="GP136" s="29">
        <f t="shared" si="157"/>
        <v>533.64378551456275</v>
      </c>
      <c r="GQ136" s="29">
        <f t="shared" si="158"/>
        <v>577.15074720014434</v>
      </c>
      <c r="GR136" s="34"/>
      <c r="GS136" s="4"/>
      <c r="GT136" s="5"/>
      <c r="GU136" s="6"/>
      <c r="GV136" s="32"/>
      <c r="GW136" s="3"/>
      <c r="GX136" s="4"/>
      <c r="GY136" s="5"/>
      <c r="GZ136" s="6"/>
      <c r="HA136" s="14"/>
      <c r="HB136" s="13"/>
      <c r="HC136" s="2"/>
      <c r="HD136" s="26">
        <f t="shared" si="107"/>
        <v>0</v>
      </c>
      <c r="HE136" s="26">
        <f t="shared" si="126"/>
        <v>0</v>
      </c>
      <c r="HF136" s="16">
        <f t="shared" si="159"/>
        <v>1.0455213482090007</v>
      </c>
      <c r="HG136" s="29">
        <f t="shared" si="160"/>
        <v>262.41888581595879</v>
      </c>
      <c r="HH136" s="29">
        <f t="shared" si="161"/>
        <v>250.99333099748532</v>
      </c>
      <c r="HI136" s="34"/>
      <c r="HJ136" s="4"/>
      <c r="HK136" s="5"/>
      <c r="HL136" s="6"/>
      <c r="HM136" s="32"/>
      <c r="HN136" s="3"/>
      <c r="HO136" s="4"/>
      <c r="HP136" s="5"/>
      <c r="HQ136" s="6"/>
      <c r="HR136" s="14"/>
      <c r="HS136" s="13"/>
      <c r="HT136" s="2"/>
      <c r="HU136" s="26">
        <f t="shared" si="108"/>
        <v>0</v>
      </c>
      <c r="HV136" s="26">
        <f t="shared" si="127"/>
        <v>0</v>
      </c>
      <c r="HW136" s="16">
        <f t="shared" si="162"/>
        <v>2.5635070560580567E-3</v>
      </c>
      <c r="HX136" s="29">
        <f t="shared" si="163"/>
        <v>1.1305755836268284E-2</v>
      </c>
      <c r="HY136" s="29">
        <f t="shared" si="164"/>
        <v>4.4102690529174184</v>
      </c>
      <c r="HZ136" s="34"/>
      <c r="IA136" s="4"/>
      <c r="IB136" s="5"/>
      <c r="IC136" s="6"/>
      <c r="ID136" s="32"/>
      <c r="IE136" s="3"/>
      <c r="IF136" s="4"/>
      <c r="IG136" s="5"/>
      <c r="IH136" s="6"/>
      <c r="II136" s="14"/>
      <c r="IJ136" s="13"/>
      <c r="IK136" s="2"/>
      <c r="IL136" s="26">
        <f t="shared" si="109"/>
        <v>0</v>
      </c>
      <c r="IM136" s="26">
        <f t="shared" si="110"/>
        <v>3512.6348004595216</v>
      </c>
      <c r="IN136" s="16">
        <f t="shared" si="165"/>
        <v>8.1929924193249918E-5</v>
      </c>
      <c r="IO136" s="29">
        <f t="shared" si="166"/>
        <v>4.8184359309715437E-4</v>
      </c>
      <c r="IP136" s="29">
        <f t="shared" si="167"/>
        <v>5.8811673249034051</v>
      </c>
      <c r="IQ136" s="34"/>
      <c r="IR136" s="4"/>
      <c r="IS136" s="5"/>
      <c r="IT136" s="6"/>
      <c r="IU136" s="32"/>
      <c r="IV136" s="3"/>
      <c r="IW136" s="4"/>
      <c r="IX136" s="5"/>
      <c r="IY136" s="6"/>
      <c r="IZ136" s="14"/>
      <c r="JA136" s="13"/>
      <c r="JB136" s="2"/>
      <c r="JC136" s="26">
        <f t="shared" si="180"/>
        <v>0</v>
      </c>
      <c r="JD136" s="26">
        <f t="shared" si="112"/>
        <v>4658.6140551811177</v>
      </c>
      <c r="JE136" s="16" t="e">
        <f t="shared" si="168"/>
        <v>#DIV/0!</v>
      </c>
      <c r="JF136" s="29">
        <f t="shared" si="169"/>
        <v>0</v>
      </c>
      <c r="JG136" s="29">
        <f t="shared" si="170"/>
        <v>0</v>
      </c>
      <c r="JH136" s="34"/>
      <c r="JI136" s="4"/>
      <c r="JJ136" s="5"/>
      <c r="JK136" s="6"/>
      <c r="JL136" s="32"/>
      <c r="JM136" s="3"/>
      <c r="JN136" s="4"/>
      <c r="JO136" s="5"/>
      <c r="JP136" s="6"/>
      <c r="JQ136" s="14"/>
      <c r="JR136" s="99"/>
      <c r="JS136" s="99"/>
      <c r="JT136" s="99"/>
      <c r="JU136" s="99"/>
      <c r="JV136" s="99"/>
      <c r="JW136" s="99"/>
      <c r="JX136" s="99"/>
      <c r="JY136" s="99"/>
      <c r="JZ136" s="99"/>
      <c r="KA136" s="99"/>
      <c r="KB136" s="99"/>
      <c r="KC136" s="99"/>
      <c r="KD136" s="99"/>
      <c r="KE136" s="99"/>
      <c r="KF136" s="99"/>
      <c r="KG136" s="99"/>
      <c r="KH136" s="99"/>
      <c r="KI136" s="99"/>
      <c r="KJ136" s="99"/>
      <c r="KK136" s="99"/>
      <c r="KL136" s="99"/>
      <c r="KM136" s="99"/>
      <c r="KN136" s="99"/>
      <c r="KO136" s="99"/>
      <c r="KP136" s="99"/>
      <c r="KQ136" s="99"/>
      <c r="KR136" s="99"/>
      <c r="KS136" s="99"/>
      <c r="KT136" s="99"/>
      <c r="KU136" s="99"/>
      <c r="KV136" s="99"/>
      <c r="KW136" s="99"/>
      <c r="KX136" s="99"/>
      <c r="KY136" s="99"/>
      <c r="KZ136" s="99"/>
      <c r="LA136" s="99"/>
      <c r="LB136" s="99"/>
      <c r="LC136" s="99"/>
      <c r="LD136" s="99"/>
      <c r="LE136" s="99"/>
      <c r="LF136" s="99"/>
      <c r="LG136" s="99"/>
      <c r="LH136" s="99"/>
      <c r="LI136" s="99"/>
      <c r="LJ136" s="99"/>
      <c r="LK136" s="99"/>
      <c r="LL136" s="99"/>
      <c r="LM136" s="99"/>
      <c r="LN136" s="99"/>
      <c r="LO136" s="99"/>
      <c r="LP136" s="99"/>
      <c r="LQ136" s="99"/>
      <c r="LR136" s="99"/>
      <c r="LS136" s="99"/>
      <c r="LT136" s="99"/>
      <c r="LU136" s="99"/>
      <c r="LV136" s="99"/>
      <c r="LW136" s="99"/>
      <c r="LX136" s="99"/>
      <c r="LY136" s="99"/>
      <c r="LZ136" s="99"/>
      <c r="MA136" s="99"/>
      <c r="MB136" s="99"/>
      <c r="MC136" s="99"/>
      <c r="MD136" s="99"/>
      <c r="ME136" s="99"/>
      <c r="MF136" s="99"/>
    </row>
    <row r="137" spans="1:344" ht="17.25" customHeight="1" x14ac:dyDescent="0.25">
      <c r="A137" s="155" t="s">
        <v>25</v>
      </c>
      <c r="B137" s="79" t="s">
        <v>1</v>
      </c>
      <c r="C137" s="80">
        <v>45271</v>
      </c>
      <c r="D137" s="50">
        <v>13</v>
      </c>
      <c r="E137" s="39">
        <v>10</v>
      </c>
      <c r="F137" s="103">
        <v>78</v>
      </c>
      <c r="G137" s="36">
        <f t="shared" si="93"/>
        <v>7.4588888888888887</v>
      </c>
      <c r="H137" s="27">
        <f t="shared" si="94"/>
        <v>581.79333333333329</v>
      </c>
      <c r="I137" s="47"/>
      <c r="K137" s="105"/>
      <c r="L137" s="89">
        <f t="shared" si="95"/>
        <v>0</v>
      </c>
      <c r="M137" s="27">
        <f t="shared" si="113"/>
        <v>0</v>
      </c>
      <c r="N137" s="35">
        <f t="shared" si="114"/>
        <v>581.79333333333329</v>
      </c>
      <c r="O137" s="97">
        <f t="shared" si="192"/>
        <v>165.98461538461541</v>
      </c>
      <c r="P137" s="149">
        <f t="shared" ref="P137" si="193">SUM(N137:N143)</f>
        <v>3307.971111111111</v>
      </c>
      <c r="Q137" s="131">
        <f>SUM(AD137+AI137+AU137+AZ137+BL137+BQ137+CC137+CH137+CT137+CY137+DK137+DP137+EB137+EG137+ES137+EX137+FJ137+FO137+GA137+GF137+GR137+GW137)/10</f>
        <v>14.330000000000002</v>
      </c>
      <c r="R137" s="133">
        <f>SUM(AE137+AJ137+AV137+BA137+BM137+BR137+CD137+CI137+CU137+CZ137+DL137+DQ137+EC137+EH137+ET137+EY137+FK137+FP137+GB137+GG137+GS137+GX137)/10</f>
        <v>18.709999999999997</v>
      </c>
      <c r="S137" s="135">
        <f>SUM(AF137+AK137+AW137+BB137+BN137+BS137+CE137+CJ137+CV137+DA137+DM137+DR137+ED137+EI137+EU137+EZ137+FL137+FQ137+GC137+GH137+GT137+GY137)/10</f>
        <v>20.27</v>
      </c>
      <c r="T137" s="137">
        <f>SUM(AG137+AL137+AX137+BC137+BO137+BT137+CF137+CK137+CW137+DB137+DN137+DS137+EE137+EJ137+EV137+FA137+FM137+FR137+GD137+GI137+GU137+GZ137)/10</f>
        <v>19.43</v>
      </c>
      <c r="U137" s="143">
        <f>SUM(AH137+AM137+AY137+BD137+BP137+BU137+CG137+CL137+CX137+DC137+DO137+DT137+EF137+EK137+EW137+FB137+FN137+FS137+GE137+GJ137+GV137+HA137)/10</f>
        <v>5.0999999999999996</v>
      </c>
      <c r="W137" s="11">
        <v>8.5</v>
      </c>
      <c r="X137" s="1">
        <v>0</v>
      </c>
      <c r="Y137" s="27">
        <f t="shared" si="96"/>
        <v>663</v>
      </c>
      <c r="Z137" s="27">
        <f t="shared" si="115"/>
        <v>296</v>
      </c>
      <c r="AA137" s="15">
        <f t="shared" si="128"/>
        <v>0.83099775102108697</v>
      </c>
      <c r="AB137" s="43">
        <f t="shared" si="173"/>
        <v>327.87139962020677</v>
      </c>
      <c r="AC137" s="43">
        <f t="shared" si="174"/>
        <v>394.55148851767092</v>
      </c>
      <c r="AD137" s="33">
        <v>4</v>
      </c>
      <c r="AE137" s="8">
        <v>19</v>
      </c>
      <c r="AF137" s="9">
        <v>20</v>
      </c>
      <c r="AG137" s="10">
        <v>26</v>
      </c>
      <c r="AH137" s="31">
        <v>18</v>
      </c>
      <c r="AN137" s="11">
        <v>9</v>
      </c>
      <c r="AP137" s="27">
        <f t="shared" si="97"/>
        <v>702</v>
      </c>
      <c r="AQ137" s="27">
        <f t="shared" si="116"/>
        <v>242</v>
      </c>
      <c r="AR137" s="15">
        <f t="shared" si="129"/>
        <v>0.90743281312377988</v>
      </c>
      <c r="AS137" s="28">
        <f t="shared" si="130"/>
        <v>406.16185035047062</v>
      </c>
      <c r="AT137" s="28">
        <f t="shared" si="131"/>
        <v>447.59440531171032</v>
      </c>
      <c r="AU137" s="33">
        <v>18</v>
      </c>
      <c r="AV137" s="8">
        <v>22</v>
      </c>
      <c r="AW137" s="9">
        <v>19</v>
      </c>
      <c r="AX137" s="10">
        <v>17</v>
      </c>
      <c r="AY137" s="31">
        <v>11</v>
      </c>
      <c r="BE137" s="86"/>
      <c r="BF137" s="87"/>
      <c r="BG137" s="27">
        <f t="shared" si="98"/>
        <v>0</v>
      </c>
      <c r="BH137" s="27">
        <f t="shared" si="117"/>
        <v>0</v>
      </c>
      <c r="BI137" s="15">
        <f t="shared" si="132"/>
        <v>2.387973615954363E-2</v>
      </c>
      <c r="BJ137" s="28">
        <f t="shared" si="133"/>
        <v>2.5493464364465863</v>
      </c>
      <c r="BK137" s="28">
        <f t="shared" si="134"/>
        <v>106.75773046293604</v>
      </c>
      <c r="BL137" s="33"/>
      <c r="BP137" s="31"/>
      <c r="BX137" s="27">
        <f t="shared" si="99"/>
        <v>0</v>
      </c>
      <c r="BY137" s="27">
        <f t="shared" si="118"/>
        <v>0</v>
      </c>
      <c r="BZ137" s="15">
        <f t="shared" si="135"/>
        <v>0.60059208320784785</v>
      </c>
      <c r="CA137" s="28">
        <f t="shared" si="136"/>
        <v>245.91011764697805</v>
      </c>
      <c r="CB137" s="28">
        <f t="shared" si="137"/>
        <v>409.44615242601446</v>
      </c>
      <c r="CC137" s="33"/>
      <c r="CG137" s="31"/>
      <c r="CM137" s="11">
        <v>7.5</v>
      </c>
      <c r="CO137" s="27">
        <f t="shared" si="100"/>
        <v>585</v>
      </c>
      <c r="CP137" s="27">
        <f t="shared" si="119"/>
        <v>178</v>
      </c>
      <c r="CQ137" s="15">
        <f t="shared" si="138"/>
        <v>0.96369026664169766</v>
      </c>
      <c r="CR137" s="28">
        <f t="shared" si="139"/>
        <v>518.29002275146843</v>
      </c>
      <c r="CS137" s="28">
        <f t="shared" si="140"/>
        <v>537.81805284557254</v>
      </c>
      <c r="CT137" s="33">
        <v>37</v>
      </c>
      <c r="CU137" s="8">
        <v>21</v>
      </c>
      <c r="CV137" s="9">
        <v>21</v>
      </c>
      <c r="CW137" s="10">
        <v>9</v>
      </c>
      <c r="CX137" s="31">
        <v>0</v>
      </c>
      <c r="DD137" s="11">
        <v>5</v>
      </c>
      <c r="DF137" s="27">
        <f t="shared" si="101"/>
        <v>390</v>
      </c>
      <c r="DG137" s="27">
        <f t="shared" si="120"/>
        <v>248.8</v>
      </c>
      <c r="DH137" s="15">
        <f t="shared" si="141"/>
        <v>0.86783496959361284</v>
      </c>
      <c r="DI137" s="28">
        <f t="shared" si="142"/>
        <v>356.27236393854548</v>
      </c>
      <c r="DJ137" s="28">
        <f t="shared" si="143"/>
        <v>410.53008512134471</v>
      </c>
      <c r="DK137" s="33">
        <v>11</v>
      </c>
      <c r="DL137" s="8">
        <v>20.100000000000001</v>
      </c>
      <c r="DM137" s="9">
        <v>24.2</v>
      </c>
      <c r="DN137" s="10">
        <v>30</v>
      </c>
      <c r="DO137" s="31">
        <v>1</v>
      </c>
      <c r="DU137" s="11">
        <v>5.7</v>
      </c>
      <c r="DW137" s="27">
        <f t="shared" si="102"/>
        <v>444.6</v>
      </c>
      <c r="DX137" s="27">
        <f t="shared" si="121"/>
        <v>238.3</v>
      </c>
      <c r="DY137" s="15">
        <f t="shared" si="144"/>
        <v>0.88975730864726188</v>
      </c>
      <c r="DZ137" s="28">
        <f t="shared" si="145"/>
        <v>359.59710541813189</v>
      </c>
      <c r="EA137" s="28">
        <f t="shared" si="146"/>
        <v>404.15189841468521</v>
      </c>
      <c r="EB137" s="33">
        <v>12.1</v>
      </c>
      <c r="EC137" s="8">
        <v>22.3</v>
      </c>
      <c r="ED137" s="9">
        <v>23.2</v>
      </c>
      <c r="EE137" s="10">
        <v>28</v>
      </c>
      <c r="EF137" s="31">
        <v>0</v>
      </c>
      <c r="EL137" s="11">
        <v>7</v>
      </c>
      <c r="EN137" s="27">
        <f t="shared" si="103"/>
        <v>546</v>
      </c>
      <c r="EO137" s="27">
        <f t="shared" si="122"/>
        <v>250</v>
      </c>
      <c r="EP137" s="15">
        <f t="shared" si="147"/>
        <v>0.89241239096334479</v>
      </c>
      <c r="EQ137" s="28">
        <f t="shared" si="148"/>
        <v>421.02895875584579</v>
      </c>
      <c r="ER137" s="28">
        <f t="shared" si="149"/>
        <v>471.78744156762752</v>
      </c>
      <c r="ES137" s="33">
        <v>9.1999999999999993</v>
      </c>
      <c r="ET137" s="8">
        <v>22.3</v>
      </c>
      <c r="EU137" s="9">
        <v>24</v>
      </c>
      <c r="EV137" s="10">
        <v>27.3</v>
      </c>
      <c r="EW137" s="31">
        <v>3</v>
      </c>
      <c r="FC137" s="11">
        <v>8.5</v>
      </c>
      <c r="FE137" s="27">
        <f t="shared" si="104"/>
        <v>663</v>
      </c>
      <c r="FF137" s="27">
        <f t="shared" si="123"/>
        <v>239.4</v>
      </c>
      <c r="FG137" s="15">
        <f t="shared" si="150"/>
        <v>0.87366409517526322</v>
      </c>
      <c r="FH137" s="28">
        <f t="shared" si="151"/>
        <v>395.94741135398169</v>
      </c>
      <c r="FI137" s="28">
        <f t="shared" si="152"/>
        <v>453.20325459243213</v>
      </c>
      <c r="FJ137" s="33">
        <v>19</v>
      </c>
      <c r="FK137" s="8">
        <v>17.2</v>
      </c>
      <c r="FL137" s="9">
        <v>17</v>
      </c>
      <c r="FM137" s="10">
        <v>30</v>
      </c>
      <c r="FN137" s="31">
        <v>3</v>
      </c>
      <c r="FT137" s="11">
        <v>7.5</v>
      </c>
      <c r="FV137" s="27">
        <f t="shared" si="105"/>
        <v>585</v>
      </c>
      <c r="FW137" s="27">
        <f t="shared" si="124"/>
        <v>267.39999999999998</v>
      </c>
      <c r="FX137" s="15">
        <f t="shared" si="153"/>
        <v>0.95411302894890104</v>
      </c>
      <c r="FY137" s="28">
        <f t="shared" si="154"/>
        <v>471.33619304503543</v>
      </c>
      <c r="FZ137" s="28">
        <f t="shared" si="155"/>
        <v>494.00456627689397</v>
      </c>
      <c r="GA137" s="33">
        <v>9</v>
      </c>
      <c r="GB137" s="8">
        <v>24.2</v>
      </c>
      <c r="GC137" s="9">
        <v>17</v>
      </c>
      <c r="GD137" s="10">
        <v>21</v>
      </c>
      <c r="GE137" s="31">
        <v>15</v>
      </c>
      <c r="GK137" s="11">
        <v>8.43</v>
      </c>
      <c r="GM137" s="27">
        <f t="shared" si="106"/>
        <v>657.54</v>
      </c>
      <c r="GN137" s="27">
        <f t="shared" si="125"/>
        <v>197.89999999999998</v>
      </c>
      <c r="GO137" s="15">
        <f t="shared" si="156"/>
        <v>0.96897690965865435</v>
      </c>
      <c r="GP137" s="28">
        <f t="shared" si="157"/>
        <v>564.61783913592205</v>
      </c>
      <c r="GQ137" s="28">
        <f t="shared" si="158"/>
        <v>582.69483360013442</v>
      </c>
      <c r="GR137" s="33">
        <v>24</v>
      </c>
      <c r="GS137" s="8">
        <v>19</v>
      </c>
      <c r="GT137" s="9">
        <v>37.299999999999997</v>
      </c>
      <c r="GU137" s="10">
        <v>6</v>
      </c>
      <c r="GV137" s="31">
        <v>0</v>
      </c>
      <c r="HB137" s="11">
        <v>6.5</v>
      </c>
      <c r="HD137" s="27">
        <f t="shared" si="107"/>
        <v>507</v>
      </c>
      <c r="HE137" s="27">
        <f t="shared" si="126"/>
        <v>157</v>
      </c>
      <c r="HF137" s="15">
        <f t="shared" si="159"/>
        <v>1.2044124806447671</v>
      </c>
      <c r="HG137" s="28">
        <f t="shared" si="160"/>
        <v>323.56416436196912</v>
      </c>
      <c r="HH137" s="28">
        <f t="shared" si="161"/>
        <v>268.64896334248635</v>
      </c>
      <c r="HI137" s="33">
        <v>47</v>
      </c>
      <c r="HJ137" s="8">
        <v>15.1</v>
      </c>
      <c r="HK137" s="9">
        <v>14.3</v>
      </c>
      <c r="HL137" s="10">
        <v>9.1</v>
      </c>
      <c r="HM137" s="31">
        <v>0.1</v>
      </c>
      <c r="HU137" s="27">
        <f t="shared" si="108"/>
        <v>0</v>
      </c>
      <c r="HV137" s="27">
        <f t="shared" si="127"/>
        <v>0</v>
      </c>
      <c r="HW137" s="15">
        <f t="shared" si="162"/>
        <v>2.0650473507134344E-3</v>
      </c>
      <c r="HX137" s="28">
        <f t="shared" si="163"/>
        <v>8.4793168772012133E-3</v>
      </c>
      <c r="HY137" s="28">
        <f t="shared" si="164"/>
        <v>4.1061125665093208</v>
      </c>
      <c r="HZ137" s="33"/>
      <c r="ID137" s="31"/>
      <c r="II137" s="12"/>
      <c r="IJ137" s="11">
        <v>8</v>
      </c>
      <c r="IL137" s="27">
        <f t="shared" si="109"/>
        <v>624</v>
      </c>
      <c r="IM137" s="27">
        <f t="shared" si="110"/>
        <v>3032.6730089676084</v>
      </c>
      <c r="IN137" s="15">
        <f t="shared" si="165"/>
        <v>3.2158357673792146</v>
      </c>
      <c r="IO137" s="28">
        <f t="shared" si="166"/>
        <v>156.00036138269482</v>
      </c>
      <c r="IP137" s="28">
        <f t="shared" si="167"/>
        <v>48.51005233697903</v>
      </c>
      <c r="IQ137" s="33">
        <v>40.299999999999997</v>
      </c>
      <c r="IR137" s="8">
        <v>14.4</v>
      </c>
      <c r="IS137" s="9">
        <v>11.5</v>
      </c>
      <c r="IT137" s="10">
        <v>15</v>
      </c>
      <c r="IU137" s="31">
        <v>4.0999999999999996</v>
      </c>
      <c r="JC137" s="27">
        <f t="shared" si="180"/>
        <v>0</v>
      </c>
      <c r="JD137" s="27">
        <f t="shared" si="112"/>
        <v>5884.1414260336614</v>
      </c>
      <c r="JE137" s="15" t="e">
        <f t="shared" si="168"/>
        <v>#DIV/0!</v>
      </c>
      <c r="JF137" s="28">
        <f t="shared" si="169"/>
        <v>0</v>
      </c>
      <c r="JG137" s="28">
        <f t="shared" si="170"/>
        <v>0</v>
      </c>
      <c r="JH137" s="33">
        <v>40.299999999999997</v>
      </c>
      <c r="JI137" s="8">
        <v>14.4</v>
      </c>
      <c r="JJ137" s="9">
        <v>11.5</v>
      </c>
      <c r="JK137" s="10">
        <v>15</v>
      </c>
      <c r="JL137" s="31">
        <v>4.0999999999999996</v>
      </c>
      <c r="JR137" s="99"/>
      <c r="JS137" s="99"/>
      <c r="JT137" s="99"/>
      <c r="JU137" s="99"/>
      <c r="JV137" s="99"/>
      <c r="JW137" s="99"/>
      <c r="JX137" s="99"/>
      <c r="JY137" s="99"/>
      <c r="JZ137" s="99"/>
      <c r="KA137" s="99"/>
      <c r="KB137" s="99"/>
      <c r="KC137" s="99"/>
      <c r="KD137" s="99"/>
      <c r="KE137" s="99"/>
      <c r="KF137" s="99"/>
      <c r="KG137" s="99"/>
      <c r="KH137" s="99"/>
      <c r="KI137" s="99"/>
      <c r="KJ137" s="99"/>
      <c r="KK137" s="99"/>
      <c r="KL137" s="99"/>
      <c r="KM137" s="99"/>
      <c r="KN137" s="99"/>
      <c r="KO137" s="99"/>
      <c r="KP137" s="99"/>
      <c r="KQ137" s="99"/>
      <c r="KR137" s="99"/>
      <c r="KS137" s="99"/>
      <c r="KT137" s="99"/>
      <c r="KU137" s="99"/>
      <c r="KV137" s="99"/>
      <c r="KW137" s="99"/>
      <c r="KX137" s="99"/>
      <c r="KY137" s="99"/>
      <c r="KZ137" s="99"/>
      <c r="LA137" s="99"/>
      <c r="LB137" s="99"/>
      <c r="LC137" s="99"/>
      <c r="LD137" s="99"/>
      <c r="LE137" s="99"/>
      <c r="LF137" s="99"/>
      <c r="LG137" s="99"/>
      <c r="LH137" s="99"/>
      <c r="LI137" s="99"/>
      <c r="LJ137" s="99"/>
      <c r="LK137" s="99"/>
      <c r="LL137" s="99"/>
      <c r="LM137" s="99"/>
      <c r="LN137" s="99"/>
      <c r="LO137" s="99"/>
      <c r="LP137" s="99"/>
      <c r="LQ137" s="99"/>
      <c r="LR137" s="99"/>
      <c r="LS137" s="99"/>
      <c r="LT137" s="99"/>
      <c r="LU137" s="99"/>
      <c r="LV137" s="99"/>
      <c r="LW137" s="99"/>
      <c r="LX137" s="99"/>
      <c r="LY137" s="99"/>
      <c r="LZ137" s="99"/>
      <c r="MA137" s="99"/>
      <c r="MB137" s="99"/>
      <c r="MC137" s="99"/>
      <c r="MD137" s="99"/>
      <c r="ME137" s="99"/>
      <c r="MF137" s="99"/>
    </row>
    <row r="138" spans="1:344" ht="17.25" customHeight="1" x14ac:dyDescent="0.25">
      <c r="A138" s="156"/>
      <c r="B138" s="81" t="s">
        <v>2</v>
      </c>
      <c r="C138" s="82">
        <v>45272</v>
      </c>
      <c r="D138" s="49">
        <v>11</v>
      </c>
      <c r="E138" s="39">
        <v>9</v>
      </c>
      <c r="F138" s="103">
        <v>60</v>
      </c>
      <c r="G138" s="89">
        <f t="shared" si="93"/>
        <v>6.597777777777778</v>
      </c>
      <c r="H138" s="35">
        <f t="shared" si="94"/>
        <v>395.86666666666667</v>
      </c>
      <c r="I138" s="39"/>
      <c r="L138" s="89">
        <f t="shared" si="95"/>
        <v>0</v>
      </c>
      <c r="M138" s="35">
        <f t="shared" si="113"/>
        <v>0</v>
      </c>
      <c r="N138" s="35">
        <f t="shared" si="114"/>
        <v>395.86666666666667</v>
      </c>
      <c r="O138" s="97">
        <f t="shared" si="192"/>
        <v>111.21818181818183</v>
      </c>
      <c r="P138" s="150"/>
      <c r="Q138" s="132">
        <f>SUM(AD138+AI138+AU138+AZ138+BL138+BQ138+CC138+CH138+CT138+CY138+DK138+DP138+EB138+EG138+ES138+EX138+FJ138+FO138+GA138+GF138+GR138+GW138)/9</f>
        <v>23.555555555555557</v>
      </c>
      <c r="R138" s="134">
        <f>SUM(AE138+AJ138+AV138+BA138+BM138+BR138+CD138+CI138+CU138+CZ138+DL138+DQ138+EC138+EH138+ET138+EY138+FK138+FP138+GB138+GG138+GS138+GX138)/9</f>
        <v>13.777777777777779</v>
      </c>
      <c r="S138" s="136">
        <f>SUM(AF138+AK138+AW138+BB138+BN138+BS138+CE138+CJ138+CV138+DA138+DM138+DR138+ED138+EI138+EU138+EZ138+FL138+FQ138+GC138+GH138+GT138+GY138)/9</f>
        <v>14.777777777777779</v>
      </c>
      <c r="T138" s="138">
        <f>SUM(AG138+AL138+AX138+BC138+BO138+BT138+CF138+CK138+CW138+DB138+DN138+DS138+EE138+EJ138+EV138+FA138+FM138+FR138+GD138+GI138+GU138+GZ138)/9</f>
        <v>8.4555555555555557</v>
      </c>
      <c r="U138" s="144">
        <f>SUM(AH138+AM138+AY138+BD138+BP138+BU138+CG138+CL138+CX138+DC138+DO138+DT138+EF138+EK138+EW138+FB138+FN138+FS138+GE138+GJ138+GV138+HA138)/9</f>
        <v>1.3333333333333333</v>
      </c>
      <c r="W138" s="11">
        <v>7</v>
      </c>
      <c r="X138" s="1">
        <v>0</v>
      </c>
      <c r="Y138" s="35">
        <f t="shared" si="96"/>
        <v>420</v>
      </c>
      <c r="Z138" s="35">
        <f t="shared" si="115"/>
        <v>234</v>
      </c>
      <c r="AA138" s="15">
        <f t="shared" si="128"/>
        <v>0.88543462728062139</v>
      </c>
      <c r="AB138" s="43">
        <f t="shared" si="173"/>
        <v>350.90354971515507</v>
      </c>
      <c r="AC138" s="43">
        <f t="shared" si="174"/>
        <v>396.30655827507292</v>
      </c>
      <c r="AD138" s="33">
        <v>4</v>
      </c>
      <c r="AE138" s="8">
        <v>15</v>
      </c>
      <c r="AF138" s="9">
        <v>14</v>
      </c>
      <c r="AG138" s="10">
        <v>27</v>
      </c>
      <c r="AH138" s="31">
        <v>10</v>
      </c>
      <c r="AN138" s="11">
        <v>8</v>
      </c>
      <c r="AP138" s="35">
        <f t="shared" si="97"/>
        <v>480</v>
      </c>
      <c r="AQ138" s="35">
        <f t="shared" si="116"/>
        <v>156</v>
      </c>
      <c r="AR138" s="15">
        <f t="shared" si="129"/>
        <v>0.94396121459840199</v>
      </c>
      <c r="AS138" s="28">
        <f t="shared" si="130"/>
        <v>424.62138776285298</v>
      </c>
      <c r="AT138" s="28">
        <f t="shared" si="131"/>
        <v>449.82927391090271</v>
      </c>
      <c r="AU138" s="33">
        <v>27</v>
      </c>
      <c r="AV138" s="8">
        <v>13</v>
      </c>
      <c r="AW138" s="9">
        <v>15</v>
      </c>
      <c r="AX138" s="10">
        <v>12</v>
      </c>
      <c r="AY138" s="31">
        <v>2</v>
      </c>
      <c r="BE138" s="86"/>
      <c r="BF138" s="87"/>
      <c r="BG138" s="35">
        <f t="shared" si="98"/>
        <v>0</v>
      </c>
      <c r="BH138" s="35">
        <f t="shared" si="117"/>
        <v>0</v>
      </c>
      <c r="BI138" s="15">
        <f t="shared" si="132"/>
        <v>1.923645412852126E-2</v>
      </c>
      <c r="BJ138" s="28">
        <f t="shared" si="133"/>
        <v>1.9120098273349397</v>
      </c>
      <c r="BK138" s="28">
        <f t="shared" si="134"/>
        <v>99.395128362043891</v>
      </c>
      <c r="BL138" s="33"/>
      <c r="BP138" s="31"/>
      <c r="BV138" s="86"/>
      <c r="BW138" s="87"/>
      <c r="BX138" s="35">
        <f t="shared" si="99"/>
        <v>0</v>
      </c>
      <c r="BY138" s="35">
        <f t="shared" si="118"/>
        <v>0</v>
      </c>
      <c r="BZ138" s="15">
        <f t="shared" si="135"/>
        <v>0.48381028925076636</v>
      </c>
      <c r="CA138" s="28">
        <f t="shared" si="136"/>
        <v>184.43258823523354</v>
      </c>
      <c r="CB138" s="28">
        <f t="shared" si="137"/>
        <v>381.20848674146174</v>
      </c>
      <c r="CC138" s="33"/>
      <c r="CG138" s="31"/>
      <c r="CM138" s="11">
        <v>7</v>
      </c>
      <c r="CO138" s="35">
        <f t="shared" si="100"/>
        <v>420</v>
      </c>
      <c r="CP138" s="35">
        <f t="shared" si="119"/>
        <v>116</v>
      </c>
      <c r="CQ138" s="15">
        <f t="shared" si="138"/>
        <v>0.93208297023531195</v>
      </c>
      <c r="CR138" s="28">
        <f t="shared" si="139"/>
        <v>493.71751706360135</v>
      </c>
      <c r="CS138" s="28">
        <f t="shared" si="140"/>
        <v>529.69266989070547</v>
      </c>
      <c r="CT138" s="33">
        <v>39</v>
      </c>
      <c r="CU138" s="8">
        <v>15</v>
      </c>
      <c r="CV138" s="9">
        <v>13</v>
      </c>
      <c r="CW138" s="10">
        <v>2</v>
      </c>
      <c r="CX138" s="31">
        <v>0</v>
      </c>
      <c r="DD138" s="11">
        <v>4.0999999999999996</v>
      </c>
      <c r="DF138" s="35">
        <f t="shared" si="101"/>
        <v>245.99999999999997</v>
      </c>
      <c r="DG138" s="35">
        <f t="shared" si="120"/>
        <v>163</v>
      </c>
      <c r="DH138" s="15">
        <f t="shared" si="141"/>
        <v>0.8234421869460733</v>
      </c>
      <c r="DI138" s="28">
        <f t="shared" si="142"/>
        <v>328.70427295390914</v>
      </c>
      <c r="DJ138" s="28">
        <f t="shared" si="143"/>
        <v>399.18318269918296</v>
      </c>
      <c r="DK138" s="33">
        <v>22</v>
      </c>
      <c r="DL138" s="8">
        <v>17</v>
      </c>
      <c r="DM138" s="9">
        <v>17</v>
      </c>
      <c r="DN138" s="10">
        <v>14</v>
      </c>
      <c r="DO138" s="31">
        <v>0</v>
      </c>
      <c r="DU138" s="11">
        <v>4</v>
      </c>
      <c r="DW138" s="35">
        <f t="shared" si="102"/>
        <v>240</v>
      </c>
      <c r="DX138" s="35">
        <f t="shared" si="121"/>
        <v>145</v>
      </c>
      <c r="DY138" s="15">
        <f t="shared" si="144"/>
        <v>0.83928652203687559</v>
      </c>
      <c r="DZ138" s="28">
        <f t="shared" si="145"/>
        <v>329.69782906359893</v>
      </c>
      <c r="EA138" s="28">
        <f t="shared" si="146"/>
        <v>392.83107783436208</v>
      </c>
      <c r="EB138" s="33">
        <v>27</v>
      </c>
      <c r="EC138" s="8">
        <v>19</v>
      </c>
      <c r="ED138" s="9">
        <v>20</v>
      </c>
      <c r="EE138" s="10">
        <v>5</v>
      </c>
      <c r="EF138" s="31">
        <v>0</v>
      </c>
      <c r="EL138" s="11">
        <v>6</v>
      </c>
      <c r="EN138" s="35">
        <f t="shared" si="103"/>
        <v>360</v>
      </c>
      <c r="EO138" s="35">
        <f t="shared" si="122"/>
        <v>170</v>
      </c>
      <c r="EP138" s="15">
        <f t="shared" si="147"/>
        <v>0.87436110214052321</v>
      </c>
      <c r="EQ138" s="28">
        <f t="shared" si="148"/>
        <v>405.77171906688432</v>
      </c>
      <c r="ER138" s="28">
        <f t="shared" si="149"/>
        <v>464.07796283882561</v>
      </c>
      <c r="ES138" s="33">
        <v>18</v>
      </c>
      <c r="ET138" s="8">
        <v>16</v>
      </c>
      <c r="EU138" s="9">
        <v>24</v>
      </c>
      <c r="EV138" s="10">
        <v>12</v>
      </c>
      <c r="EW138" s="31">
        <v>0</v>
      </c>
      <c r="FC138" s="11">
        <v>8</v>
      </c>
      <c r="FE138" s="35">
        <f t="shared" si="104"/>
        <v>480</v>
      </c>
      <c r="FF138" s="35">
        <f t="shared" si="123"/>
        <v>127</v>
      </c>
      <c r="FG138" s="15">
        <f t="shared" si="150"/>
        <v>0.91629351024348693</v>
      </c>
      <c r="FH138" s="28">
        <f t="shared" si="151"/>
        <v>416.96055851548624</v>
      </c>
      <c r="FI138" s="28">
        <f t="shared" si="152"/>
        <v>455.05130599985063</v>
      </c>
      <c r="FJ138" s="33">
        <v>37</v>
      </c>
      <c r="FK138" s="8">
        <v>10</v>
      </c>
      <c r="FL138" s="9">
        <v>18</v>
      </c>
      <c r="FM138" s="10">
        <v>4</v>
      </c>
      <c r="FN138" s="31">
        <v>0</v>
      </c>
      <c r="FT138" s="11">
        <v>7.5</v>
      </c>
      <c r="FV138" s="35">
        <f t="shared" si="105"/>
        <v>450</v>
      </c>
      <c r="FW138" s="35">
        <f t="shared" si="124"/>
        <v>0</v>
      </c>
      <c r="FX138" s="15">
        <f t="shared" si="153"/>
        <v>0.94914631120789672</v>
      </c>
      <c r="FY138" s="28">
        <f t="shared" si="154"/>
        <v>466.00214478377654</v>
      </c>
      <c r="FZ138" s="28">
        <f t="shared" si="155"/>
        <v>490.96976860262544</v>
      </c>
      <c r="GA138" s="33"/>
      <c r="GE138" s="31"/>
      <c r="GK138" s="11">
        <v>7.78</v>
      </c>
      <c r="GM138" s="35">
        <f t="shared" si="106"/>
        <v>466.8</v>
      </c>
      <c r="GN138" s="35">
        <f t="shared" si="125"/>
        <v>112.4</v>
      </c>
      <c r="GO138" s="15">
        <f t="shared" si="156"/>
        <v>0.93990154565752981</v>
      </c>
      <c r="GP138" s="28">
        <f t="shared" si="157"/>
        <v>540.16337935194156</v>
      </c>
      <c r="GQ138" s="28">
        <f t="shared" si="158"/>
        <v>574.7020864552976</v>
      </c>
      <c r="GR138" s="33">
        <v>38</v>
      </c>
      <c r="GS138" s="8">
        <v>19</v>
      </c>
      <c r="GT138" s="9">
        <v>12</v>
      </c>
      <c r="GU138" s="10">
        <v>0.1</v>
      </c>
      <c r="GV138" s="31">
        <v>0</v>
      </c>
      <c r="HB138" s="11">
        <v>5</v>
      </c>
      <c r="HD138" s="35">
        <f t="shared" si="107"/>
        <v>300</v>
      </c>
      <c r="HE138" s="35">
        <f t="shared" si="126"/>
        <v>109</v>
      </c>
      <c r="HF138" s="15">
        <f t="shared" si="159"/>
        <v>1.1730431980520968</v>
      </c>
      <c r="HG138" s="28">
        <f t="shared" si="160"/>
        <v>317.67312327147681</v>
      </c>
      <c r="HH138" s="28">
        <f t="shared" si="161"/>
        <v>270.81110380162522</v>
      </c>
      <c r="HI138" s="33">
        <v>45</v>
      </c>
      <c r="HJ138" s="8">
        <v>13</v>
      </c>
      <c r="HK138" s="9">
        <v>6</v>
      </c>
      <c r="HL138" s="10">
        <v>5</v>
      </c>
      <c r="HM138" s="31">
        <v>0</v>
      </c>
      <c r="HU138" s="35">
        <f t="shared" si="108"/>
        <v>0</v>
      </c>
      <c r="HV138" s="35">
        <f t="shared" si="127"/>
        <v>0</v>
      </c>
      <c r="HW138" s="15">
        <f t="shared" si="162"/>
        <v>1.6635103658524887E-3</v>
      </c>
      <c r="HX138" s="28">
        <f t="shared" si="163"/>
        <v>6.3594876579009096E-3</v>
      </c>
      <c r="HY138" s="28">
        <f t="shared" si="164"/>
        <v>3.822932389508678</v>
      </c>
      <c r="HZ138" s="33"/>
      <c r="ID138" s="31"/>
      <c r="II138" s="12"/>
      <c r="IL138" s="35">
        <f t="shared" si="109"/>
        <v>0</v>
      </c>
      <c r="IM138" s="35">
        <f t="shared" si="110"/>
        <v>2645.224217515995</v>
      </c>
      <c r="IN138" s="15">
        <f t="shared" si="165"/>
        <v>2.5905343681665896</v>
      </c>
      <c r="IO138" s="28">
        <f t="shared" si="166"/>
        <v>117.00027103702112</v>
      </c>
      <c r="IP138" s="28">
        <f t="shared" si="167"/>
        <v>45.164531486152889</v>
      </c>
      <c r="IQ138" s="33"/>
      <c r="IU138" s="31"/>
      <c r="JC138" s="35">
        <f t="shared" si="180"/>
        <v>0</v>
      </c>
      <c r="JD138" s="35">
        <f t="shared" si="112"/>
        <v>5394.129666618639</v>
      </c>
      <c r="JE138" s="15" t="e">
        <f t="shared" si="168"/>
        <v>#DIV/0!</v>
      </c>
      <c r="JF138" s="28">
        <f t="shared" si="169"/>
        <v>0</v>
      </c>
      <c r="JG138" s="28">
        <f t="shared" si="170"/>
        <v>0</v>
      </c>
      <c r="JH138" s="33"/>
      <c r="JL138" s="31"/>
      <c r="JR138" s="99"/>
      <c r="JS138" s="99"/>
      <c r="JT138" s="99"/>
      <c r="JU138" s="99"/>
      <c r="JV138" s="99"/>
      <c r="JW138" s="99"/>
      <c r="JX138" s="99"/>
      <c r="JY138" s="99"/>
      <c r="JZ138" s="99"/>
      <c r="KA138" s="99"/>
      <c r="KB138" s="99"/>
      <c r="KC138" s="99"/>
      <c r="KD138" s="99"/>
      <c r="KE138" s="99"/>
      <c r="KF138" s="99"/>
      <c r="KG138" s="99"/>
      <c r="KH138" s="99"/>
      <c r="KI138" s="99"/>
      <c r="KJ138" s="99"/>
      <c r="KK138" s="99"/>
      <c r="KL138" s="99"/>
      <c r="KM138" s="99"/>
      <c r="KN138" s="99"/>
      <c r="KO138" s="99"/>
      <c r="KP138" s="99"/>
      <c r="KQ138" s="99"/>
      <c r="KR138" s="99"/>
      <c r="KS138" s="99"/>
      <c r="KT138" s="99"/>
      <c r="KU138" s="99"/>
      <c r="KV138" s="99"/>
      <c r="KW138" s="99"/>
      <c r="KX138" s="99"/>
      <c r="KY138" s="99"/>
      <c r="KZ138" s="99"/>
      <c r="LA138" s="99"/>
      <c r="LB138" s="99"/>
      <c r="LC138" s="99"/>
      <c r="LD138" s="99"/>
      <c r="LE138" s="99"/>
      <c r="LF138" s="99"/>
      <c r="LG138" s="99"/>
      <c r="LH138" s="99"/>
      <c r="LI138" s="99"/>
      <c r="LJ138" s="99"/>
      <c r="LK138" s="99"/>
      <c r="LL138" s="99"/>
      <c r="LM138" s="99"/>
      <c r="LN138" s="99"/>
      <c r="LO138" s="99"/>
      <c r="LP138" s="99"/>
      <c r="LQ138" s="99"/>
      <c r="LR138" s="99"/>
      <c r="LS138" s="99"/>
      <c r="LT138" s="99"/>
      <c r="LU138" s="99"/>
      <c r="LV138" s="99"/>
      <c r="LW138" s="99"/>
      <c r="LX138" s="99"/>
      <c r="LY138" s="99"/>
      <c r="LZ138" s="99"/>
      <c r="MA138" s="99"/>
      <c r="MB138" s="99"/>
      <c r="MC138" s="99"/>
      <c r="MD138" s="99"/>
      <c r="ME138" s="99"/>
      <c r="MF138" s="99"/>
    </row>
    <row r="139" spans="1:344" ht="17.25" customHeight="1" x14ac:dyDescent="0.25">
      <c r="A139" s="156"/>
      <c r="B139" s="90" t="s">
        <v>3</v>
      </c>
      <c r="C139" s="91">
        <v>45273</v>
      </c>
      <c r="D139" s="49">
        <v>10</v>
      </c>
      <c r="E139" s="39">
        <v>9</v>
      </c>
      <c r="F139" s="103">
        <v>45</v>
      </c>
      <c r="G139" s="89">
        <f t="shared" ref="G139:G202" si="194">AVERAGE(W139,AN139,BE139,BV139,CM139,DD139,DU139,EL139,FC139,FT139,GK139,KI129)</f>
        <v>2</v>
      </c>
      <c r="H139" s="35">
        <f t="shared" ref="H139:H202" si="195">F139*G139</f>
        <v>90</v>
      </c>
      <c r="I139" s="39">
        <v>10</v>
      </c>
      <c r="J139" s="39">
        <v>9</v>
      </c>
      <c r="K139" s="103">
        <v>100</v>
      </c>
      <c r="L139" s="89">
        <f t="shared" ref="L139:L202" si="196">AVERAGE(X139,AO139,BF139,BW139,CN139,DE139,DV139,EM139,FD139,FU139,GL139)</f>
        <v>8.2777777777777786</v>
      </c>
      <c r="M139" s="35">
        <f t="shared" si="113"/>
        <v>827.77777777777783</v>
      </c>
      <c r="N139" s="35">
        <f t="shared" si="114"/>
        <v>917.77777777777783</v>
      </c>
      <c r="O139" s="97">
        <f t="shared" si="192"/>
        <v>0</v>
      </c>
      <c r="P139" s="150"/>
      <c r="Q139" s="132">
        <f t="shared" ref="Q139:Q141" si="197">SUM(AD139+AI139+AU139+AZ139+BL139+BQ139+CC139+CH139+CT139+CY139+DK139+DP139+EB139+EG139+ES139+EX139+FJ139+FO139+GA139+GF139+GR139+GW139)/11</f>
        <v>0</v>
      </c>
      <c r="R139" s="134"/>
      <c r="S139" s="136">
        <f t="shared" ref="S139:S141" si="198">SUM(AF139+AK139+AW139+BB139+BN139+BS139+CE139+CJ139+CV139+DA139+DM139+DR139+ED139+EI139+EU139+EZ139+FL139+FQ139+GC139+GH139+GT139+GY139)/11</f>
        <v>0</v>
      </c>
      <c r="T139" s="138">
        <f t="shared" ref="T139:T141" si="199">SUM(AG139+AL139+AX139+BC139+BO139+BT139+CF139+CK139+CW139+DB139+DN139+DS139+EE139+EJ139+EV139+FA139+FM139+FR139+GD139+GI139+GU139+GZ139)/11</f>
        <v>0</v>
      </c>
      <c r="U139" s="144">
        <f t="shared" ref="U139:U141" si="200">SUM(AH139+AM139+AY139+BD139+BP139+BU139+CG139+CL139+CX139+DC139+DO139+DT139+EF139+EK139+EW139+FB139+FN139+FS139+GE139+GJ139+GV139+HA139)/11</f>
        <v>0</v>
      </c>
      <c r="W139" s="11">
        <v>2</v>
      </c>
      <c r="X139" s="1">
        <v>8</v>
      </c>
      <c r="Y139" s="35">
        <f t="shared" ref="Y139:Y202" si="201">(W139*F139)+X139*K139</f>
        <v>890</v>
      </c>
      <c r="Z139" s="35">
        <f t="shared" si="115"/>
        <v>0</v>
      </c>
      <c r="AA139" s="15">
        <f t="shared" si="128"/>
        <v>1.1285528456971272</v>
      </c>
      <c r="AB139" s="43">
        <f t="shared" si="173"/>
        <v>485.67766228636629</v>
      </c>
      <c r="AC139" s="43">
        <f t="shared" si="174"/>
        <v>430.35438184230929</v>
      </c>
      <c r="AD139" s="33"/>
      <c r="AH139" s="31"/>
      <c r="AN139" s="11">
        <v>2</v>
      </c>
      <c r="AO139" s="1">
        <v>8.5</v>
      </c>
      <c r="AP139" s="35">
        <f t="shared" ref="AP139:AP202" si="202">(AN139*$F139)+AO139*$K139</f>
        <v>940</v>
      </c>
      <c r="AQ139" s="35">
        <f t="shared" si="116"/>
        <v>0</v>
      </c>
      <c r="AR139" s="15">
        <f t="shared" si="129"/>
        <v>1.1443899051026636</v>
      </c>
      <c r="AS139" s="28">
        <f t="shared" si="130"/>
        <v>553.4660408221398</v>
      </c>
      <c r="AT139" s="28">
        <f t="shared" si="131"/>
        <v>483.63415157221976</v>
      </c>
      <c r="AU139" s="33"/>
      <c r="AY139" s="31"/>
      <c r="BE139" s="86"/>
      <c r="BF139" s="87"/>
      <c r="BG139" s="35">
        <f t="shared" ref="BG139:BG202" si="203">(BE139*$F139)+BF139*$K139</f>
        <v>0</v>
      </c>
      <c r="BH139" s="35">
        <f t="shared" si="117"/>
        <v>0</v>
      </c>
      <c r="BI139" s="15">
        <f t="shared" si="132"/>
        <v>1.5496032492419905E-2</v>
      </c>
      <c r="BJ139" s="28">
        <f t="shared" si="133"/>
        <v>1.4340073705012049</v>
      </c>
      <c r="BK139" s="28">
        <f t="shared" si="134"/>
        <v>92.54029192328224</v>
      </c>
      <c r="BL139" s="33"/>
      <c r="BP139" s="31"/>
      <c r="BV139" s="86"/>
      <c r="BW139" s="87"/>
      <c r="BX139" s="35">
        <f t="shared" ref="BX139:BX202" si="204">(BV139*$F139)+BW139*$K139</f>
        <v>0</v>
      </c>
      <c r="BY139" s="35">
        <f t="shared" si="118"/>
        <v>0</v>
      </c>
      <c r="BZ139" s="15">
        <f t="shared" si="135"/>
        <v>0.38973606634089514</v>
      </c>
      <c r="CA139" s="28">
        <f t="shared" si="136"/>
        <v>138.32444117642515</v>
      </c>
      <c r="CB139" s="28">
        <f t="shared" si="137"/>
        <v>354.91824627653335</v>
      </c>
      <c r="CC139" s="33"/>
      <c r="CG139" s="31"/>
      <c r="CM139" s="11">
        <v>2</v>
      </c>
      <c r="CN139" s="1">
        <v>10</v>
      </c>
      <c r="CO139" s="35">
        <f t="shared" ref="CO139:CO202" si="205">(CM139*$F139)+CN139*$K139</f>
        <v>1090</v>
      </c>
      <c r="CP139" s="35">
        <f t="shared" si="119"/>
        <v>0</v>
      </c>
      <c r="CQ139" s="15">
        <f t="shared" si="138"/>
        <v>1.131003090438147</v>
      </c>
      <c r="CR139" s="28">
        <f t="shared" si="139"/>
        <v>642.78813779770098</v>
      </c>
      <c r="CS139" s="28">
        <f t="shared" si="140"/>
        <v>568.33455472582921</v>
      </c>
      <c r="CT139" s="33"/>
      <c r="CX139" s="31"/>
      <c r="DD139" s="11">
        <v>2</v>
      </c>
      <c r="DE139" s="1">
        <v>8</v>
      </c>
      <c r="DF139" s="35">
        <f t="shared" ref="DF139:DF202" si="206">(DD139*$F139)+DE139*$K139</f>
        <v>890</v>
      </c>
      <c r="DG139" s="35">
        <f t="shared" si="120"/>
        <v>0</v>
      </c>
      <c r="DH139" s="15">
        <f t="shared" si="141"/>
        <v>1.083124422532878</v>
      </c>
      <c r="DI139" s="28">
        <f t="shared" si="142"/>
        <v>469.02820471543185</v>
      </c>
      <c r="DJ139" s="28">
        <f t="shared" si="143"/>
        <v>433.03261837510138</v>
      </c>
      <c r="DK139" s="33"/>
      <c r="DO139" s="31"/>
      <c r="DU139" s="11">
        <v>2</v>
      </c>
      <c r="DV139" s="1">
        <v>7</v>
      </c>
      <c r="DW139" s="35">
        <f t="shared" ref="DW139:DW202" si="207">(DU139*$F139)+DV139*$K139</f>
        <v>790</v>
      </c>
      <c r="DX139" s="35">
        <f t="shared" si="121"/>
        <v>0</v>
      </c>
      <c r="DY139" s="15">
        <f t="shared" si="144"/>
        <v>1.0584246698049999</v>
      </c>
      <c r="DZ139" s="28">
        <f t="shared" si="145"/>
        <v>444.77337179769921</v>
      </c>
      <c r="EA139" s="28">
        <f t="shared" si="146"/>
        <v>420.2220379837164</v>
      </c>
      <c r="EB139" s="33"/>
      <c r="EF139" s="31"/>
      <c r="EL139" s="11">
        <v>2</v>
      </c>
      <c r="EM139" s="1">
        <v>8</v>
      </c>
      <c r="EN139" s="35">
        <f t="shared" ref="EN139:EN202" si="208">(EL139*$F139)+EM139*$K139</f>
        <v>890</v>
      </c>
      <c r="EO139" s="35">
        <f t="shared" si="122"/>
        <v>0</v>
      </c>
      <c r="EP139" s="15">
        <f t="shared" si="147"/>
        <v>1.0676396080450248</v>
      </c>
      <c r="EQ139" s="28">
        <f t="shared" si="148"/>
        <v>526.82878930016318</v>
      </c>
      <c r="ER139" s="28">
        <f t="shared" si="149"/>
        <v>493.45189643614799</v>
      </c>
      <c r="ES139" s="33"/>
      <c r="EW139" s="31"/>
      <c r="FC139" s="11">
        <v>2</v>
      </c>
      <c r="FD139" s="1">
        <v>9</v>
      </c>
      <c r="FE139" s="35">
        <f t="shared" ref="FE139:FE202" si="209">(FC139*$F139)+FD139*$K139</f>
        <v>990</v>
      </c>
      <c r="FF139" s="35">
        <f t="shared" si="123"/>
        <v>0</v>
      </c>
      <c r="FG139" s="15">
        <f t="shared" si="150"/>
        <v>1.1387882669193277</v>
      </c>
      <c r="FH139" s="28">
        <f t="shared" si="151"/>
        <v>560.22041888661465</v>
      </c>
      <c r="FI139" s="28">
        <f t="shared" si="152"/>
        <v>491.94431937917125</v>
      </c>
      <c r="FJ139" s="33"/>
      <c r="FN139" s="31"/>
      <c r="FT139" s="11">
        <v>2</v>
      </c>
      <c r="FU139" s="1">
        <v>8</v>
      </c>
      <c r="FV139" s="35">
        <f t="shared" ref="FV139:FV202" si="210">(FT139*$F139)+FU139*$K139</f>
        <v>890</v>
      </c>
      <c r="FW139" s="35">
        <f t="shared" si="124"/>
        <v>0</v>
      </c>
      <c r="FX139" s="15">
        <f t="shared" si="153"/>
        <v>1.1032085615834455</v>
      </c>
      <c r="FY139" s="28">
        <f t="shared" si="154"/>
        <v>572.00160858783238</v>
      </c>
      <c r="FZ139" s="28">
        <f t="shared" si="155"/>
        <v>518.48909490589267</v>
      </c>
      <c r="GA139" s="33"/>
      <c r="GE139" s="31"/>
      <c r="GK139" s="11">
        <v>2</v>
      </c>
      <c r="GL139" s="1">
        <v>8</v>
      </c>
      <c r="GM139" s="35">
        <f t="shared" ref="GM139:GM202" si="211">(GK139*$F139)+GL139*$K139</f>
        <v>890</v>
      </c>
      <c r="GN139" s="35">
        <f t="shared" si="125"/>
        <v>0</v>
      </c>
      <c r="GO139" s="15">
        <f t="shared" si="156"/>
        <v>1.0522691477701906</v>
      </c>
      <c r="GP139" s="28">
        <f t="shared" si="157"/>
        <v>627.62253451395623</v>
      </c>
      <c r="GQ139" s="28">
        <f t="shared" si="158"/>
        <v>596.44677014803563</v>
      </c>
      <c r="GR139" s="33"/>
      <c r="GV139" s="31"/>
      <c r="HB139" s="11">
        <v>2</v>
      </c>
      <c r="HD139" s="35">
        <f t="shared" ref="HD139:HD202" si="212">(HB139*$F139)+HC139*$K139</f>
        <v>90</v>
      </c>
      <c r="HE139" s="35">
        <f t="shared" si="126"/>
        <v>0</v>
      </c>
      <c r="HF139" s="15">
        <f t="shared" si="159"/>
        <v>1.0093421735947457</v>
      </c>
      <c r="HG139" s="28">
        <f t="shared" si="160"/>
        <v>260.75484245360758</v>
      </c>
      <c r="HH139" s="28">
        <f t="shared" si="161"/>
        <v>258.34137250496138</v>
      </c>
      <c r="HI139" s="33"/>
      <c r="HM139" s="31"/>
      <c r="HU139" s="35">
        <f t="shared" ref="HU139:HU202" si="213">(HS139*$F139)+HT139*$K139</f>
        <v>0</v>
      </c>
      <c r="HV139" s="35">
        <f t="shared" si="127"/>
        <v>0</v>
      </c>
      <c r="HW139" s="15">
        <f t="shared" si="162"/>
        <v>1.3400500169367269E-3</v>
      </c>
      <c r="HX139" s="28">
        <f t="shared" si="163"/>
        <v>4.7696157434256817E-3</v>
      </c>
      <c r="HY139" s="28">
        <f t="shared" si="164"/>
        <v>3.5592818798873895</v>
      </c>
      <c r="HZ139" s="33"/>
      <c r="ID139" s="31"/>
      <c r="II139" s="12"/>
      <c r="IL139" s="35">
        <f t="shared" ref="IL139:IL202" si="214">(IJ139*$F139)+IK139*$K139</f>
        <v>0</v>
      </c>
      <c r="IM139" s="35">
        <f t="shared" ref="IM139:IM202" si="215">(BX139*1+BY139*2+BZ139*3+CA139*4+CB139*5)+(CC139*1+CD139*2+CE139*3+CF139*4+CG139*5)</f>
        <v>2329.0582042873903</v>
      </c>
      <c r="IN139" s="15">
        <f t="shared" si="165"/>
        <v>2.0868193521341976</v>
      </c>
      <c r="IO139" s="28">
        <f t="shared" si="166"/>
        <v>87.750203277765848</v>
      </c>
      <c r="IP139" s="28">
        <f t="shared" si="167"/>
        <v>42.049736211245794</v>
      </c>
      <c r="IQ139" s="33"/>
      <c r="IU139" s="31"/>
      <c r="JC139" s="35">
        <f t="shared" si="180"/>
        <v>0</v>
      </c>
      <c r="JD139" s="35">
        <f t="shared" ref="JD139:JD202" si="216">(CO139*1+CP139*2+CQ139*3+CR139*4+CS139*5)+(CT139*1+CU139*2+CV139*3+CW139*4+CX139*5)</f>
        <v>6506.2183340912643</v>
      </c>
      <c r="JE139" s="15" t="e">
        <f t="shared" si="168"/>
        <v>#DIV/0!</v>
      </c>
      <c r="JF139" s="28">
        <f t="shared" si="169"/>
        <v>0</v>
      </c>
      <c r="JG139" s="28">
        <f t="shared" si="170"/>
        <v>0</v>
      </c>
      <c r="JH139" s="33"/>
      <c r="JL139" s="31"/>
      <c r="JR139" s="99"/>
      <c r="JS139" s="99"/>
      <c r="JT139" s="99"/>
      <c r="JU139" s="99"/>
      <c r="JV139" s="99"/>
      <c r="JW139" s="99"/>
      <c r="JX139" s="99"/>
      <c r="JY139" s="99"/>
      <c r="JZ139" s="99"/>
      <c r="KA139" s="99"/>
      <c r="KB139" s="99"/>
      <c r="KC139" s="99"/>
      <c r="KD139" s="99"/>
      <c r="KE139" s="99"/>
      <c r="KF139" s="99"/>
      <c r="KG139" s="99"/>
      <c r="KH139" s="99"/>
      <c r="KI139" s="99"/>
      <c r="KJ139" s="99"/>
      <c r="KK139" s="99"/>
      <c r="KL139" s="99"/>
      <c r="KM139" s="99"/>
      <c r="KN139" s="99"/>
      <c r="KO139" s="99"/>
      <c r="KP139" s="99"/>
      <c r="KQ139" s="99"/>
      <c r="KR139" s="99"/>
      <c r="KS139" s="99"/>
      <c r="KT139" s="99"/>
      <c r="KU139" s="99"/>
      <c r="KV139" s="99"/>
      <c r="KW139" s="99"/>
      <c r="KX139" s="99"/>
      <c r="KY139" s="99"/>
      <c r="KZ139" s="99"/>
      <c r="LA139" s="99"/>
      <c r="LB139" s="99"/>
      <c r="LC139" s="99"/>
      <c r="LD139" s="99"/>
      <c r="LE139" s="99"/>
      <c r="LF139" s="99"/>
      <c r="LG139" s="99"/>
      <c r="LH139" s="99"/>
      <c r="LI139" s="99"/>
      <c r="LJ139" s="99"/>
      <c r="LK139" s="99"/>
      <c r="LL139" s="99"/>
      <c r="LM139" s="99"/>
      <c r="LN139" s="99"/>
      <c r="LO139" s="99"/>
      <c r="LP139" s="99"/>
      <c r="LQ139" s="99"/>
      <c r="LR139" s="99"/>
      <c r="LS139" s="99"/>
      <c r="LT139" s="99"/>
      <c r="LU139" s="99"/>
      <c r="LV139" s="99"/>
      <c r="LW139" s="99"/>
      <c r="LX139" s="99"/>
      <c r="LY139" s="99"/>
      <c r="LZ139" s="99"/>
      <c r="MA139" s="99"/>
      <c r="MB139" s="99"/>
      <c r="MC139" s="99"/>
      <c r="MD139" s="99"/>
      <c r="ME139" s="99"/>
      <c r="MF139" s="99"/>
    </row>
    <row r="140" spans="1:344" ht="17.25" customHeight="1" x14ac:dyDescent="0.25">
      <c r="A140" s="156"/>
      <c r="B140" s="81" t="s">
        <v>4</v>
      </c>
      <c r="C140" s="82">
        <v>45274</v>
      </c>
      <c r="D140" s="49"/>
      <c r="G140" s="89">
        <f t="shared" si="194"/>
        <v>3.5</v>
      </c>
      <c r="H140" s="35">
        <f t="shared" si="195"/>
        <v>0</v>
      </c>
      <c r="I140" s="39">
        <v>10</v>
      </c>
      <c r="J140" s="39">
        <v>9</v>
      </c>
      <c r="K140" s="103">
        <v>45</v>
      </c>
      <c r="L140" s="89">
        <f t="shared" si="196"/>
        <v>1</v>
      </c>
      <c r="M140" s="35">
        <f t="shared" ref="M140:M203" si="217">K140*L140</f>
        <v>45</v>
      </c>
      <c r="N140" s="35">
        <f t="shared" ref="N140:N203" si="218">H140+M140</f>
        <v>45</v>
      </c>
      <c r="O140" s="97" t="e">
        <f t="shared" si="192"/>
        <v>#DIV/0!</v>
      </c>
      <c r="P140" s="150"/>
      <c r="Q140" s="132">
        <f t="shared" si="197"/>
        <v>0</v>
      </c>
      <c r="R140" s="134">
        <f t="shared" ref="R140:R141" si="219">SUM(AE140+AJ140+AV140+BA140+BM140+BR140+CD140+CI140+CU140+CZ140+DL140+DQ140+EC140+EH140+ET140+EY140+FK140+FP140+GB140+GG140+GS140+GX140)/11</f>
        <v>0</v>
      </c>
      <c r="S140" s="136">
        <f t="shared" si="198"/>
        <v>0</v>
      </c>
      <c r="T140" s="138">
        <f t="shared" si="199"/>
        <v>0</v>
      </c>
      <c r="U140" s="144">
        <f t="shared" si="200"/>
        <v>0</v>
      </c>
      <c r="W140" s="11">
        <v>0</v>
      </c>
      <c r="X140" s="1">
        <v>1</v>
      </c>
      <c r="Y140" s="35">
        <f t="shared" si="201"/>
        <v>45</v>
      </c>
      <c r="Z140" s="35">
        <f t="shared" ref="Z140:Z203" si="220">(AD140*1+AE140*2+AF140*3+AG140*4+AH140*5)+(AI140*1+AJ140*2+AK140*3+AL140*4+AM140*5)</f>
        <v>0</v>
      </c>
      <c r="AA140" s="15">
        <f t="shared" si="128"/>
        <v>0.92998638947844159</v>
      </c>
      <c r="AB140" s="43">
        <f t="shared" si="173"/>
        <v>375.50824671477471</v>
      </c>
      <c r="AC140" s="43">
        <f t="shared" si="174"/>
        <v>403.77821757732244</v>
      </c>
      <c r="AD140" s="33"/>
      <c r="AH140" s="31"/>
      <c r="AO140" s="1">
        <v>1</v>
      </c>
      <c r="AP140" s="35">
        <f t="shared" si="202"/>
        <v>45</v>
      </c>
      <c r="AQ140" s="35">
        <f t="shared" ref="AQ140:AQ203" si="221">(AU140*1+AV140*2+AW140*3+AX140*4+AY140*5)+(AZ140*1+BA140*2+BB140*3+BC140*4+BD140*5)</f>
        <v>0</v>
      </c>
      <c r="AR140" s="15">
        <f t="shared" si="129"/>
        <v>0.94037280008081281</v>
      </c>
      <c r="AS140" s="28">
        <f t="shared" si="130"/>
        <v>426.34953061660485</v>
      </c>
      <c r="AT140" s="28">
        <f t="shared" si="131"/>
        <v>453.38352042930808</v>
      </c>
      <c r="AU140" s="33"/>
      <c r="AY140" s="31"/>
      <c r="BE140" s="86"/>
      <c r="BF140" s="87"/>
      <c r="BG140" s="35">
        <f t="shared" si="203"/>
        <v>0</v>
      </c>
      <c r="BH140" s="35">
        <f t="shared" ref="BH140:BH203" si="222">(BL140*1+BM140*2+BN140*3+BO140*4+BP140*5)+(BQ140*1+BR140*2+BS140*3+BT140*4+BU140*5)</f>
        <v>0</v>
      </c>
      <c r="BI140" s="15">
        <f t="shared" si="132"/>
        <v>1.2482915063338255E-2</v>
      </c>
      <c r="BJ140" s="28">
        <f t="shared" si="133"/>
        <v>1.0755055278759036</v>
      </c>
      <c r="BK140" s="28">
        <f t="shared" si="134"/>
        <v>86.158202825124846</v>
      </c>
      <c r="BL140" s="33"/>
      <c r="BP140" s="31"/>
      <c r="BV140" s="86"/>
      <c r="BW140" s="87"/>
      <c r="BX140" s="35">
        <f t="shared" si="204"/>
        <v>0</v>
      </c>
      <c r="BY140" s="35">
        <f t="shared" ref="BY140:BY203" si="223">(CC140*1+CD140*2+CE140*3+CF140*4+CG140*5)+(CH140*1+CI140*2+CJ140*3+CK140*4+CL140*5)</f>
        <v>0</v>
      </c>
      <c r="BZ140" s="15">
        <f t="shared" si="135"/>
        <v>0.31395405344127664</v>
      </c>
      <c r="CA140" s="28">
        <f t="shared" si="136"/>
        <v>103.74333088231887</v>
      </c>
      <c r="CB140" s="28">
        <f t="shared" si="137"/>
        <v>330.441125843669</v>
      </c>
      <c r="CC140" s="33"/>
      <c r="CG140" s="31"/>
      <c r="CN140" s="1">
        <v>1</v>
      </c>
      <c r="CO140" s="35">
        <f t="shared" si="205"/>
        <v>45</v>
      </c>
      <c r="CP140" s="35">
        <f t="shared" ref="CP140:CP203" si="224">(CT140*1+CU140*2+CV140*3+CW140*4+CX140*5)+(CY140*1+CZ140*2+DA140*3+DB140*4+DC140*5)</f>
        <v>0</v>
      </c>
      <c r="CQ140" s="15">
        <f t="shared" si="138"/>
        <v>0.92691036150458561</v>
      </c>
      <c r="CR140" s="28">
        <f t="shared" si="139"/>
        <v>493.34110334827574</v>
      </c>
      <c r="CS140" s="28">
        <f t="shared" si="140"/>
        <v>532.24251646887546</v>
      </c>
      <c r="CT140" s="33"/>
      <c r="CX140" s="31"/>
      <c r="DE140" s="1">
        <v>1</v>
      </c>
      <c r="DF140" s="35">
        <f t="shared" si="206"/>
        <v>45</v>
      </c>
      <c r="DG140" s="35">
        <f t="shared" ref="DG140:DG203" si="225">(DK140*1+DL140*2+DM140*3+DN140*4+DO140*5)+(DP140*1+DQ140*2+DR140*3+DS140*4+DT140*5)</f>
        <v>0</v>
      </c>
      <c r="DH140" s="15">
        <f t="shared" si="141"/>
        <v>0.89354269696693456</v>
      </c>
      <c r="DI140" s="28">
        <f t="shared" si="142"/>
        <v>363.02115353657388</v>
      </c>
      <c r="DJ140" s="28">
        <f t="shared" si="143"/>
        <v>406.27174814233575</v>
      </c>
      <c r="DK140" s="33"/>
      <c r="DO140" s="31"/>
      <c r="DV140" s="1">
        <v>1</v>
      </c>
      <c r="DW140" s="35">
        <f t="shared" si="207"/>
        <v>45</v>
      </c>
      <c r="DX140" s="35">
        <f t="shared" ref="DX140:DX203" si="226">(EB140*1+EC140*2+ED140*3+EE140*4+EF140*5)+(EG140*1+EH140*2+EI140*3+EJ140*4+EK140*5)</f>
        <v>0</v>
      </c>
      <c r="DY140" s="15">
        <f t="shared" si="144"/>
        <v>0.87443819398740708</v>
      </c>
      <c r="DZ140" s="28">
        <f t="shared" si="145"/>
        <v>344.83002884827442</v>
      </c>
      <c r="EA140" s="28">
        <f t="shared" si="146"/>
        <v>394.34465605380495</v>
      </c>
      <c r="EB140" s="33"/>
      <c r="EF140" s="31"/>
      <c r="EM140" s="1">
        <v>1</v>
      </c>
      <c r="EN140" s="35">
        <f t="shared" si="208"/>
        <v>45</v>
      </c>
      <c r="EO140" s="35">
        <f t="shared" ref="EO140:EO203" si="227">(ES140*1+ET140*2+EU140*3+EV140*4+EW140*5)+(EX140*1+EY140*2+EZ140*3+FA140*4+FB140*5)</f>
        <v>0</v>
      </c>
      <c r="EP140" s="15">
        <f t="shared" si="147"/>
        <v>0.87859534709439657</v>
      </c>
      <c r="EQ140" s="28">
        <f t="shared" si="148"/>
        <v>406.37159197512239</v>
      </c>
      <c r="ER140" s="28">
        <f t="shared" si="149"/>
        <v>462.52417944055156</v>
      </c>
      <c r="ES140" s="33"/>
      <c r="EW140" s="31"/>
      <c r="FC140" s="86"/>
      <c r="FD140" s="87"/>
      <c r="FE140" s="35">
        <f t="shared" si="209"/>
        <v>0</v>
      </c>
      <c r="FF140" s="35">
        <f t="shared" ref="FF140:FF203" si="228">(FJ140*1+FK140*2+FL140*3+FM140*4+FN140*5)+(FO140*1+FP140*2+FQ140*3+FR140*4+FS140*5)</f>
        <v>0</v>
      </c>
      <c r="FG140" s="15">
        <f t="shared" si="150"/>
        <v>0.91735721501834733</v>
      </c>
      <c r="FH140" s="28">
        <f t="shared" si="151"/>
        <v>420.16531416496099</v>
      </c>
      <c r="FI140" s="28">
        <f t="shared" si="152"/>
        <v>458.01712493922838</v>
      </c>
      <c r="FJ140" s="33"/>
      <c r="FN140" s="31"/>
      <c r="FT140" s="11">
        <v>7</v>
      </c>
      <c r="FU140" s="1">
        <v>1</v>
      </c>
      <c r="FV140" s="35">
        <f t="shared" si="210"/>
        <v>45</v>
      </c>
      <c r="FW140" s="35">
        <f t="shared" ref="FW140:FW203" si="229">(GA140*1+GB140*2+GC140*3+GD140*4+GE140*5)+(GF140*1+GG140*2+GH140*3+GI140*4+GJ140*5)</f>
        <v>0</v>
      </c>
      <c r="FX140" s="15">
        <f t="shared" si="153"/>
        <v>0.90617493869235421</v>
      </c>
      <c r="FY140" s="28">
        <f t="shared" si="154"/>
        <v>440.25120644087428</v>
      </c>
      <c r="FZ140" s="28">
        <f t="shared" si="155"/>
        <v>485.83467456755528</v>
      </c>
      <c r="GA140" s="33"/>
      <c r="GE140" s="31"/>
      <c r="GK140" s="86"/>
      <c r="GL140" s="87"/>
      <c r="GM140" s="35">
        <f t="shared" si="211"/>
        <v>0</v>
      </c>
      <c r="GN140" s="35">
        <f t="shared" ref="GN140:GN203" si="230">(GR140*1+GS140*2+GT140*3+GU140*4+GV140*5)+(GW140*1+GX140*2+GY140*3+GZ140*4+HA140*5)</f>
        <v>0</v>
      </c>
      <c r="GO140" s="15">
        <f t="shared" si="156"/>
        <v>0.8476612579259869</v>
      </c>
      <c r="GP140" s="28">
        <f t="shared" si="157"/>
        <v>470.71690088546717</v>
      </c>
      <c r="GQ140" s="28">
        <f t="shared" si="158"/>
        <v>555.31251013782628</v>
      </c>
      <c r="GR140" s="33"/>
      <c r="GV140" s="31"/>
      <c r="HB140" s="11">
        <v>6.5</v>
      </c>
      <c r="HC140" s="1">
        <v>1</v>
      </c>
      <c r="HD140" s="35">
        <f t="shared" si="212"/>
        <v>45</v>
      </c>
      <c r="HE140" s="35">
        <f t="shared" ref="HE140:HE203" si="231">(HI140*1+HJ140*2+HK140*3+HL140*4+HM140*5)+(HN140*1+HO140*2+HP140*3+HQ140*4+HR140*5)</f>
        <v>0</v>
      </c>
      <c r="HF140" s="15">
        <f t="shared" si="159"/>
        <v>0.84890071662915056</v>
      </c>
      <c r="HG140" s="28">
        <f t="shared" si="160"/>
        <v>206.81613184020568</v>
      </c>
      <c r="HH140" s="28">
        <f t="shared" si="161"/>
        <v>243.62817440117092</v>
      </c>
      <c r="HI140" s="33"/>
      <c r="HM140" s="31"/>
      <c r="HU140" s="35">
        <f t="shared" si="213"/>
        <v>0</v>
      </c>
      <c r="HV140" s="35">
        <f t="shared" ref="HV140:HV203" si="232">(HZ140*1+IA140*2+IB140*3+IC140*4+ID140*5)+(IE140*1+IF140*2+IG140*3+IH140*4+II140*5)</f>
        <v>0</v>
      </c>
      <c r="HW140" s="15">
        <f t="shared" si="162"/>
        <v>1.0794847358656966E-3</v>
      </c>
      <c r="HX140" s="28">
        <f t="shared" si="163"/>
        <v>3.5772118075692613E-3</v>
      </c>
      <c r="HY140" s="28">
        <f t="shared" si="164"/>
        <v>3.3138141640330869</v>
      </c>
      <c r="HZ140" s="33"/>
      <c r="ID140" s="31"/>
      <c r="II140" s="12"/>
      <c r="IJ140" s="11">
        <v>7</v>
      </c>
      <c r="IL140" s="35">
        <f t="shared" si="214"/>
        <v>0</v>
      </c>
      <c r="IM140" s="35">
        <f t="shared" si="215"/>
        <v>2068.1208149079444</v>
      </c>
      <c r="IN140" s="15">
        <f t="shared" si="165"/>
        <v>1.6810489225525478</v>
      </c>
      <c r="IO140" s="28">
        <f t="shared" si="166"/>
        <v>65.812652458324379</v>
      </c>
      <c r="IP140" s="28">
        <f t="shared" si="167"/>
        <v>39.149754403573667</v>
      </c>
      <c r="IQ140" s="33"/>
      <c r="IU140" s="31"/>
      <c r="JA140" s="11">
        <v>5</v>
      </c>
      <c r="JC140" s="35">
        <f t="shared" si="180"/>
        <v>0</v>
      </c>
      <c r="JD140" s="35">
        <f t="shared" si="216"/>
        <v>4682.3577268219942</v>
      </c>
      <c r="JE140" s="15" t="e">
        <f t="shared" si="168"/>
        <v>#DIV/0!</v>
      </c>
      <c r="JF140" s="28">
        <f t="shared" si="169"/>
        <v>0</v>
      </c>
      <c r="JG140" s="28">
        <f t="shared" si="170"/>
        <v>0</v>
      </c>
      <c r="JH140" s="33"/>
      <c r="JL140" s="31"/>
      <c r="JR140" s="99"/>
      <c r="JS140" s="99"/>
      <c r="JT140" s="99"/>
      <c r="JU140" s="99"/>
      <c r="JV140" s="99"/>
      <c r="JW140" s="99"/>
      <c r="JX140" s="99"/>
      <c r="JY140" s="99"/>
      <c r="JZ140" s="99"/>
      <c r="KA140" s="99"/>
      <c r="KB140" s="99"/>
      <c r="KC140" s="99"/>
      <c r="KD140" s="99"/>
      <c r="KE140" s="99"/>
      <c r="KF140" s="99"/>
      <c r="KG140" s="99"/>
      <c r="KH140" s="99"/>
      <c r="KI140" s="99"/>
      <c r="KJ140" s="99"/>
      <c r="KK140" s="99"/>
      <c r="KL140" s="99"/>
      <c r="KM140" s="99"/>
      <c r="KN140" s="99"/>
      <c r="KO140" s="99"/>
      <c r="KP140" s="99"/>
      <c r="KQ140" s="99"/>
      <c r="KR140" s="99"/>
      <c r="KS140" s="99"/>
      <c r="KT140" s="99"/>
      <c r="KU140" s="99"/>
      <c r="KV140" s="99"/>
      <c r="KW140" s="99"/>
      <c r="KX140" s="99"/>
      <c r="KY140" s="99"/>
      <c r="KZ140" s="99"/>
      <c r="LA140" s="99"/>
      <c r="LB140" s="99"/>
      <c r="LC140" s="99"/>
      <c r="LD140" s="99"/>
      <c r="LE140" s="99"/>
      <c r="LF140" s="99"/>
      <c r="LG140" s="99"/>
      <c r="LH140" s="99"/>
      <c r="LI140" s="99"/>
      <c r="LJ140" s="99"/>
      <c r="LK140" s="99"/>
      <c r="LL140" s="99"/>
      <c r="LM140" s="99"/>
      <c r="LN140" s="99"/>
      <c r="LO140" s="99"/>
      <c r="LP140" s="99"/>
      <c r="LQ140" s="99"/>
      <c r="LR140" s="99"/>
      <c r="LS140" s="99"/>
      <c r="LT140" s="99"/>
      <c r="LU140" s="99"/>
      <c r="LV140" s="99"/>
      <c r="LW140" s="99"/>
      <c r="LX140" s="99"/>
      <c r="LY140" s="99"/>
      <c r="LZ140" s="99"/>
      <c r="MA140" s="99"/>
      <c r="MB140" s="99"/>
      <c r="MC140" s="99"/>
      <c r="MD140" s="99"/>
      <c r="ME140" s="99"/>
      <c r="MF140" s="99"/>
    </row>
    <row r="141" spans="1:344" ht="17.25" customHeight="1" x14ac:dyDescent="0.25">
      <c r="A141" s="156"/>
      <c r="B141" s="81" t="s">
        <v>5</v>
      </c>
      <c r="C141" s="82">
        <v>45275</v>
      </c>
      <c r="D141" s="49">
        <v>10</v>
      </c>
      <c r="E141" s="39">
        <v>7</v>
      </c>
      <c r="F141" s="103">
        <v>66</v>
      </c>
      <c r="G141" s="89">
        <f t="shared" si="194"/>
        <v>5.45</v>
      </c>
      <c r="H141" s="35">
        <f t="shared" si="195"/>
        <v>359.7</v>
      </c>
      <c r="I141" s="39"/>
      <c r="L141" s="89">
        <f t="shared" si="196"/>
        <v>0</v>
      </c>
      <c r="M141" s="35">
        <f t="shared" si="217"/>
        <v>0</v>
      </c>
      <c r="N141" s="35">
        <f t="shared" si="218"/>
        <v>359.7</v>
      </c>
      <c r="O141" s="97">
        <f t="shared" si="192"/>
        <v>0</v>
      </c>
      <c r="P141" s="150"/>
      <c r="Q141" s="132">
        <f t="shared" si="197"/>
        <v>0</v>
      </c>
      <c r="R141" s="134">
        <f t="shared" si="219"/>
        <v>0</v>
      </c>
      <c r="S141" s="136">
        <f t="shared" si="198"/>
        <v>0</v>
      </c>
      <c r="T141" s="138">
        <f t="shared" si="199"/>
        <v>0</v>
      </c>
      <c r="U141" s="144">
        <f t="shared" si="200"/>
        <v>0</v>
      </c>
      <c r="W141" s="11">
        <v>6</v>
      </c>
      <c r="X141" s="1">
        <v>0</v>
      </c>
      <c r="Y141" s="35">
        <f t="shared" si="201"/>
        <v>396</v>
      </c>
      <c r="Z141" s="35">
        <f t="shared" si="220"/>
        <v>0</v>
      </c>
      <c r="AA141" s="15">
        <f t="shared" ref="AA141:AA204" si="233">AB141/AC141</f>
        <v>0.94392792520022351</v>
      </c>
      <c r="AB141" s="43">
        <f t="shared" si="173"/>
        <v>380.63118503608104</v>
      </c>
      <c r="AC141" s="43">
        <f t="shared" si="174"/>
        <v>403.24178877888642</v>
      </c>
      <c r="AD141" s="33"/>
      <c r="AH141" s="31"/>
      <c r="AN141" s="11">
        <v>6</v>
      </c>
      <c r="AO141" s="1">
        <v>0</v>
      </c>
      <c r="AP141" s="35">
        <f t="shared" si="202"/>
        <v>396</v>
      </c>
      <c r="AQ141" s="35">
        <f t="shared" si="221"/>
        <v>0</v>
      </c>
      <c r="AR141" s="15">
        <f t="shared" ref="AR141:AR204" si="234">AS141/AT141</f>
        <v>0.93177100162159798</v>
      </c>
      <c r="AS141" s="28">
        <f t="shared" ref="AS141:AS204" si="235">AP141*(2/(7+1))+((1-(2/(7+1)))*AS140)</f>
        <v>418.76214796245364</v>
      </c>
      <c r="AT141" s="28">
        <f t="shared" ref="AT141:AT204" si="236">AP141*(2/(28+1))+((1-(2/(28+1)))*AT140)</f>
        <v>449.42603626176958</v>
      </c>
      <c r="AU141" s="33"/>
      <c r="AY141" s="31"/>
      <c r="BE141" s="86"/>
      <c r="BF141" s="87"/>
      <c r="BG141" s="35">
        <f t="shared" si="203"/>
        <v>0</v>
      </c>
      <c r="BH141" s="35">
        <f t="shared" si="222"/>
        <v>0</v>
      </c>
      <c r="BI141" s="15">
        <f t="shared" ref="BI141:BI204" si="237">BJ141/BK141</f>
        <v>1.0055681578800262E-2</v>
      </c>
      <c r="BJ141" s="28">
        <f t="shared" ref="BJ141:BJ204" si="238">BG141*(2/(7+1))+((1-(2/(7+1)))*BJ140)</f>
        <v>0.80662914590692769</v>
      </c>
      <c r="BK141" s="28">
        <f t="shared" ref="BK141:BK204" si="239">BG141*(2/(28+1))+((1-(2/(28+1)))*BK140)</f>
        <v>80.216257802702444</v>
      </c>
      <c r="BL141" s="33"/>
      <c r="BP141" s="31"/>
      <c r="BV141" s="86"/>
      <c r="BW141" s="87"/>
      <c r="BX141" s="35">
        <f t="shared" si="204"/>
        <v>0</v>
      </c>
      <c r="BY141" s="35">
        <f t="shared" si="223"/>
        <v>0</v>
      </c>
      <c r="BZ141" s="15">
        <f t="shared" ref="BZ141:BZ204" si="240">CA141/CB141</f>
        <v>0.25290743193880616</v>
      </c>
      <c r="CA141" s="28">
        <f t="shared" ref="CA141:CA204" si="241">BX141*(2/(7+1))+((1-(2/(7+1)))*CA140)</f>
        <v>77.807498161739147</v>
      </c>
      <c r="CB141" s="28">
        <f t="shared" ref="CB141:CB204" si="242">BX141*(2/(28+1))+((1-(2/(28+1)))*CB140)</f>
        <v>307.65208268203662</v>
      </c>
      <c r="CC141" s="33"/>
      <c r="CG141" s="31"/>
      <c r="CM141" s="11">
        <v>6</v>
      </c>
      <c r="CO141" s="35">
        <f t="shared" si="205"/>
        <v>396</v>
      </c>
      <c r="CP141" s="35">
        <f t="shared" si="224"/>
        <v>0</v>
      </c>
      <c r="CQ141" s="15">
        <f t="shared" ref="CQ141:CQ204" si="243">CR141/CS141</f>
        <v>0.89702397298044023</v>
      </c>
      <c r="CR141" s="28">
        <f t="shared" ref="CR141:CR204" si="244">CO141*(2/(7+1))+((1-(2/(7+1)))*CR140)</f>
        <v>469.0058275112068</v>
      </c>
      <c r="CS141" s="28">
        <f t="shared" ref="CS141:CS204" si="245">CO141*(2/(28+1))+((1-(2/(28+1)))*CS140)</f>
        <v>522.84648085033234</v>
      </c>
      <c r="CT141" s="33"/>
      <c r="CX141" s="31"/>
      <c r="DD141" s="11">
        <v>5</v>
      </c>
      <c r="DF141" s="35">
        <f t="shared" si="206"/>
        <v>330</v>
      </c>
      <c r="DG141" s="35">
        <f t="shared" si="225"/>
        <v>0</v>
      </c>
      <c r="DH141" s="15">
        <f t="shared" ref="DH141:DH204" si="246">DI141/DJ141</f>
        <v>0.88467725310771106</v>
      </c>
      <c r="DI141" s="28">
        <f t="shared" ref="DI141:DI204" si="247">DF141*(2/(7+1))+((1-(2/(7+1)))*DI140)</f>
        <v>354.76586515243042</v>
      </c>
      <c r="DJ141" s="28">
        <f t="shared" ref="DJ141:DJ204" si="248">DF141*(2/(28+1))+((1-(2/(28+1)))*DJ140)</f>
        <v>401.01162758079533</v>
      </c>
      <c r="DK141" s="33"/>
      <c r="DO141" s="31"/>
      <c r="DU141" s="11">
        <v>4.7</v>
      </c>
      <c r="DW141" s="35">
        <f t="shared" si="207"/>
        <v>310.2</v>
      </c>
      <c r="DX141" s="35">
        <f t="shared" si="226"/>
        <v>0</v>
      </c>
      <c r="DY141" s="15">
        <f t="shared" ref="DY141:DY204" si="249">DZ141/EA141</f>
        <v>0.86521634264998992</v>
      </c>
      <c r="DZ141" s="28">
        <f t="shared" ref="DZ141:DZ204" si="250">DW141*(2/(7+1))+((1-(2/(7+1)))*DZ140)</f>
        <v>336.17252163620583</v>
      </c>
      <c r="EA141" s="28">
        <f t="shared" ref="EA141:EA204" si="251">DW141*(2/(28+1))+((1-(2/(28+1)))*EA140)</f>
        <v>388.54157632595633</v>
      </c>
      <c r="EB141" s="33"/>
      <c r="EF141" s="31"/>
      <c r="EL141" s="11">
        <v>5</v>
      </c>
      <c r="EN141" s="35">
        <f t="shared" si="208"/>
        <v>330</v>
      </c>
      <c r="EO141" s="35">
        <f t="shared" si="227"/>
        <v>0</v>
      </c>
      <c r="EP141" s="15">
        <f t="shared" ref="EP141:EP204" si="252">EQ141/ER141</f>
        <v>0.85419467342286548</v>
      </c>
      <c r="EQ141" s="28">
        <f t="shared" ref="EQ141:EQ204" si="253">EN141*(2/(7+1))+((1-(2/(7+1)))*EQ140)</f>
        <v>387.2786939813418</v>
      </c>
      <c r="ER141" s="28">
        <f t="shared" ref="ER141:ER204" si="254">EN141*(2/(28+1))+((1-(2/(28+1)))*ER140)</f>
        <v>453.38458085844456</v>
      </c>
      <c r="ES141" s="33"/>
      <c r="EW141" s="31"/>
      <c r="FC141" s="86"/>
      <c r="FD141" s="87"/>
      <c r="FE141" s="35">
        <f t="shared" si="209"/>
        <v>0</v>
      </c>
      <c r="FF141" s="35">
        <f t="shared" si="228"/>
        <v>0</v>
      </c>
      <c r="FG141" s="15">
        <f t="shared" ref="FG141:FG204" si="255">FH141/FI141</f>
        <v>0.73898220098700196</v>
      </c>
      <c r="FH141" s="28">
        <f t="shared" ref="FH141:FH204" si="256">FE141*(2/(7+1))+((1-(2/(7+1)))*FH140)</f>
        <v>315.12398562372073</v>
      </c>
      <c r="FI141" s="28">
        <f t="shared" ref="FI141:FI204" si="257">FE141*(2/(28+1))+((1-(2/(28+1)))*FI140)</f>
        <v>426.42973701238503</v>
      </c>
      <c r="FJ141" s="33"/>
      <c r="FN141" s="31"/>
      <c r="FV141" s="35">
        <f t="shared" si="210"/>
        <v>0</v>
      </c>
      <c r="FW141" s="35">
        <f t="shared" si="229"/>
        <v>0</v>
      </c>
      <c r="FX141" s="15">
        <f t="shared" ref="FX141:FX204" si="258">FY141/FZ141</f>
        <v>0.72997425616884093</v>
      </c>
      <c r="FY141" s="28">
        <f t="shared" ref="FY141:FY204" si="259">FV141*(2/(7+1))+((1-(2/(7+1)))*FY140)</f>
        <v>330.18840483065571</v>
      </c>
      <c r="FZ141" s="28">
        <f t="shared" ref="FZ141:FZ204" si="260">FV141*(2/(28+1))+((1-(2/(28+1)))*FZ140)</f>
        <v>452.32883494220664</v>
      </c>
      <c r="GA141" s="33"/>
      <c r="GE141" s="31"/>
      <c r="GK141" s="86"/>
      <c r="GL141" s="87"/>
      <c r="GM141" s="35">
        <f t="shared" si="211"/>
        <v>0</v>
      </c>
      <c r="GN141" s="35">
        <f t="shared" si="230"/>
        <v>0</v>
      </c>
      <c r="GO141" s="15">
        <f t="shared" ref="GO141:GO204" si="261">GP141/GQ141</f>
        <v>0.68283823555148948</v>
      </c>
      <c r="GP141" s="28">
        <f t="shared" ref="GP141:GP204" si="262">GM141*(2/(7+1))+((1-(2/(7+1)))*GP140)</f>
        <v>353.03767566410039</v>
      </c>
      <c r="GQ141" s="28">
        <f t="shared" ref="GQ141:GQ204" si="263">GM141*(2/(28+1))+((1-(2/(28+1)))*GQ140)</f>
        <v>517.01509564556238</v>
      </c>
      <c r="GR141" s="33"/>
      <c r="GV141" s="31"/>
      <c r="HD141" s="35">
        <f t="shared" si="212"/>
        <v>0</v>
      </c>
      <c r="HE141" s="35">
        <f t="shared" si="231"/>
        <v>0</v>
      </c>
      <c r="HF141" s="15">
        <f t="shared" ref="HF141:HF204" si="264">HG141/HH141</f>
        <v>0.68383668839570466</v>
      </c>
      <c r="HG141" s="28">
        <f t="shared" ref="HG141:HG204" si="265">HD141*(2/(7+1))+((1-(2/(7+1)))*HG140)</f>
        <v>155.11209888015426</v>
      </c>
      <c r="HH141" s="28">
        <f t="shared" ref="HH141:HH204" si="266">HD141*(2/(28+1))+((1-(2/(28+1)))*HH140)</f>
        <v>226.82623133902121</v>
      </c>
      <c r="HI141" s="33"/>
      <c r="HM141" s="31"/>
      <c r="HU141" s="35">
        <f t="shared" si="213"/>
        <v>0</v>
      </c>
      <c r="HV141" s="35">
        <f t="shared" si="232"/>
        <v>0</v>
      </c>
      <c r="HW141" s="15">
        <f t="shared" ref="HW141:HW204" si="267">HX141/HY141</f>
        <v>8.695849261140334E-4</v>
      </c>
      <c r="HX141" s="28">
        <f t="shared" ref="HX141:HX204" si="268">HU141*(2/(7+1))+((1-(2/(7+1)))*HX140)</f>
        <v>2.6829088556769459E-3</v>
      </c>
      <c r="HY141" s="28">
        <f t="shared" ref="HY141:HY204" si="269">HU141*(2/(28+1))+((1-(2/(28+1)))*HY140)</f>
        <v>3.0852752561687362</v>
      </c>
      <c r="HZ141" s="33"/>
      <c r="ID141" s="31"/>
      <c r="II141" s="12"/>
      <c r="IL141" s="35">
        <f t="shared" si="214"/>
        <v>0</v>
      </c>
      <c r="IM141" s="35">
        <f t="shared" si="215"/>
        <v>1850.2491283529559</v>
      </c>
      <c r="IN141" s="15">
        <f t="shared" ref="IN141:IN204" si="270">IO141/IP141</f>
        <v>1.3541782987228859</v>
      </c>
      <c r="IO141" s="28">
        <f t="shared" ref="IO141:IO204" si="271">IL141*(2/(7+1))+((1-(2/(7+1)))*IO140)</f>
        <v>49.359489343743284</v>
      </c>
      <c r="IP141" s="28">
        <f t="shared" ref="IP141:IP204" si="272">IL141*(2/(28+1))+((1-(2/(28+1)))*IP140)</f>
        <v>36.449771341258241</v>
      </c>
      <c r="IQ141" s="33"/>
      <c r="IU141" s="31"/>
      <c r="JC141" s="35">
        <f t="shared" si="180"/>
        <v>0</v>
      </c>
      <c r="JD141" s="35">
        <f t="shared" si="216"/>
        <v>4888.9467862154306</v>
      </c>
      <c r="JE141" s="15" t="e">
        <f t="shared" ref="JE141:JE204" si="273">JF141/JG141</f>
        <v>#DIV/0!</v>
      </c>
      <c r="JF141" s="28">
        <f t="shared" ref="JF141:JF204" si="274">JC141*(2/(7+1))+((1-(2/(7+1)))*JF140)</f>
        <v>0</v>
      </c>
      <c r="JG141" s="28">
        <f t="shared" ref="JG141:JG204" si="275">JC141*(2/(28+1))+((1-(2/(28+1)))*JG140)</f>
        <v>0</v>
      </c>
      <c r="JH141" s="33">
        <v>9</v>
      </c>
      <c r="JI141" s="8">
        <v>27</v>
      </c>
      <c r="JJ141" s="9">
        <v>23</v>
      </c>
      <c r="JK141" s="10">
        <v>8</v>
      </c>
      <c r="JL141" s="31">
        <v>2</v>
      </c>
      <c r="JR141" s="99"/>
      <c r="JS141" s="99"/>
      <c r="JT141" s="99"/>
      <c r="JU141" s="99"/>
      <c r="JV141" s="99"/>
      <c r="JW141" s="99"/>
      <c r="JX141" s="99"/>
      <c r="JY141" s="99"/>
      <c r="JZ141" s="99"/>
      <c r="KA141" s="99"/>
      <c r="KB141" s="99"/>
      <c r="KC141" s="99"/>
      <c r="KD141" s="99"/>
      <c r="KE141" s="99"/>
      <c r="KF141" s="99"/>
      <c r="KG141" s="99"/>
      <c r="KH141" s="99"/>
      <c r="KI141" s="99"/>
      <c r="KJ141" s="99"/>
      <c r="KK141" s="99"/>
      <c r="KL141" s="99"/>
      <c r="KM141" s="99"/>
      <c r="KN141" s="99"/>
      <c r="KO141" s="99"/>
      <c r="KP141" s="99"/>
      <c r="KQ141" s="99"/>
      <c r="KR141" s="99"/>
      <c r="KS141" s="99"/>
      <c r="KT141" s="99"/>
      <c r="KU141" s="99"/>
      <c r="KV141" s="99"/>
      <c r="KW141" s="99"/>
      <c r="KX141" s="99"/>
      <c r="KY141" s="99"/>
      <c r="KZ141" s="99"/>
      <c r="LA141" s="99"/>
      <c r="LB141" s="99"/>
      <c r="LC141" s="99"/>
      <c r="LD141" s="99"/>
      <c r="LE141" s="99"/>
      <c r="LF141" s="99"/>
      <c r="LG141" s="99"/>
      <c r="LH141" s="99"/>
      <c r="LI141" s="99"/>
      <c r="LJ141" s="99"/>
      <c r="LK141" s="99"/>
      <c r="LL141" s="99"/>
      <c r="LM141" s="99"/>
      <c r="LN141" s="99"/>
      <c r="LO141" s="99"/>
      <c r="LP141" s="99"/>
      <c r="LQ141" s="99"/>
      <c r="LR141" s="99"/>
      <c r="LS141" s="99"/>
      <c r="LT141" s="99"/>
      <c r="LU141" s="99"/>
      <c r="LV141" s="99"/>
      <c r="LW141" s="99"/>
      <c r="LX141" s="99"/>
      <c r="LY141" s="99"/>
      <c r="LZ141" s="99"/>
      <c r="MA141" s="99"/>
      <c r="MB141" s="99"/>
      <c r="MC141" s="99"/>
      <c r="MD141" s="99"/>
      <c r="ME141" s="99"/>
      <c r="MF141" s="99"/>
    </row>
    <row r="142" spans="1:344" ht="17.25" customHeight="1" x14ac:dyDescent="0.25">
      <c r="A142" s="156"/>
      <c r="B142" s="81" t="s">
        <v>6</v>
      </c>
      <c r="C142" s="82">
        <v>45276</v>
      </c>
      <c r="D142" s="49">
        <v>13</v>
      </c>
      <c r="E142" s="39">
        <v>9</v>
      </c>
      <c r="F142" s="103">
        <v>47</v>
      </c>
      <c r="G142" s="89">
        <f t="shared" si="194"/>
        <v>5.166666666666667</v>
      </c>
      <c r="H142" s="35">
        <f t="shared" si="195"/>
        <v>242.83333333333334</v>
      </c>
      <c r="I142" s="39"/>
      <c r="L142" s="89">
        <f t="shared" si="196"/>
        <v>0</v>
      </c>
      <c r="M142" s="35">
        <f t="shared" si="217"/>
        <v>0</v>
      </c>
      <c r="N142" s="35">
        <f t="shared" si="218"/>
        <v>242.83333333333334</v>
      </c>
      <c r="O142" s="97">
        <f t="shared" si="192"/>
        <v>0</v>
      </c>
      <c r="P142" s="150"/>
      <c r="Q142" s="132">
        <f t="shared" ref="Q142:Q143" si="276">SUM(AD142+AI142+AU142+AZ142+BL142+BQ142+CC142+CH142+CT142+CY142+DK142+DP142+EB142+EG142+ES142+EX142+FJ142+FO142+GA142+GF142+GR142+GW142)/10</f>
        <v>0</v>
      </c>
      <c r="R142" s="134">
        <f t="shared" ref="R142:R143" si="277">SUM(AE142+AJ142+AV142+BA142+BM142+BR142+CD142+CI142+CU142+CZ142+DL142+DQ142+EC142+EH142+ET142+EY142+FK142+FP142+GB142+GG142+GS142+GX142)/10</f>
        <v>0</v>
      </c>
      <c r="S142" s="136">
        <f t="shared" ref="S142:S143" si="278">SUM(AF142+AK142+AW142+BB142+BN142+BS142+CE142+CJ142+CV142+DA142+DM142+DR142+ED142+EI142+EU142+EZ142+FL142+FQ142+GC142+GH142+GT142+GY142)/10</f>
        <v>0</v>
      </c>
      <c r="T142" s="138">
        <f t="shared" ref="T142:T143" si="279">SUM(AG142+AL142+AX142+BC142+BO142+BT142+CF142+CK142+CW142+DB142+DN142+DS142+EE142+EJ142+EV142+FA142+FM142+FR142+GD142+GI142+GU142+GZ142)/10</f>
        <v>0</v>
      </c>
      <c r="U142" s="144">
        <f t="shared" ref="U142:U143" si="280">SUM(AH142+AM142+AY142+BD142+BP142+BU142+CG142+CL142+CX142+DC142+DO142+DT142+EF142+EK142+EW142+FB142+FN142+FS142+GE142+GJ142+GV142+HA142)/10</f>
        <v>0</v>
      </c>
      <c r="W142" s="11">
        <v>5</v>
      </c>
      <c r="X142" s="1">
        <v>0</v>
      </c>
      <c r="Y142" s="35">
        <f t="shared" si="201"/>
        <v>235</v>
      </c>
      <c r="Z142" s="35">
        <f t="shared" si="220"/>
        <v>0</v>
      </c>
      <c r="AA142" s="15">
        <f t="shared" si="233"/>
        <v>0.87893052198207999</v>
      </c>
      <c r="AB142" s="43">
        <f t="shared" si="173"/>
        <v>344.22338877706079</v>
      </c>
      <c r="AC142" s="43">
        <f t="shared" si="174"/>
        <v>391.63890679413561</v>
      </c>
      <c r="AD142" s="33"/>
      <c r="AH142" s="31"/>
      <c r="AN142" s="11">
        <v>5.5</v>
      </c>
      <c r="AP142" s="35">
        <f t="shared" si="202"/>
        <v>258.5</v>
      </c>
      <c r="AQ142" s="35">
        <f t="shared" si="221"/>
        <v>0</v>
      </c>
      <c r="AR142" s="15">
        <f t="shared" si="234"/>
        <v>0.8680551027299831</v>
      </c>
      <c r="AS142" s="28">
        <f t="shared" si="235"/>
        <v>378.69661097184024</v>
      </c>
      <c r="AT142" s="28">
        <f t="shared" si="236"/>
        <v>436.25872341613029</v>
      </c>
      <c r="AU142" s="33"/>
      <c r="AY142" s="31"/>
      <c r="BE142" s="86"/>
      <c r="BF142" s="87"/>
      <c r="BG142" s="35">
        <f t="shared" si="203"/>
        <v>0</v>
      </c>
      <c r="BH142" s="35">
        <f t="shared" si="222"/>
        <v>0</v>
      </c>
      <c r="BI142" s="15">
        <f t="shared" si="237"/>
        <v>8.1004101607002107E-3</v>
      </c>
      <c r="BJ142" s="28">
        <f t="shared" si="238"/>
        <v>0.60497185943019582</v>
      </c>
      <c r="BK142" s="28">
        <f t="shared" si="239"/>
        <v>74.684102092171244</v>
      </c>
      <c r="BL142" s="33"/>
      <c r="BP142" s="31"/>
      <c r="BV142" s="11">
        <v>5</v>
      </c>
      <c r="BX142" s="35">
        <f t="shared" si="204"/>
        <v>235</v>
      </c>
      <c r="BY142" s="35">
        <f t="shared" si="223"/>
        <v>0</v>
      </c>
      <c r="BZ142" s="15">
        <f t="shared" si="240"/>
        <v>0.38694490730084391</v>
      </c>
      <c r="CA142" s="28">
        <f t="shared" si="241"/>
        <v>117.10562362130436</v>
      </c>
      <c r="CB142" s="28">
        <f t="shared" si="242"/>
        <v>302.6415942212065</v>
      </c>
      <c r="CC142" s="33"/>
      <c r="CG142" s="31"/>
      <c r="CM142" s="11">
        <v>6</v>
      </c>
      <c r="CO142" s="35">
        <f t="shared" si="205"/>
        <v>282</v>
      </c>
      <c r="CP142" s="35">
        <f t="shared" si="224"/>
        <v>0</v>
      </c>
      <c r="CQ142" s="15">
        <f t="shared" si="243"/>
        <v>0.83410515004628516</v>
      </c>
      <c r="CR142" s="28">
        <f t="shared" si="244"/>
        <v>422.25437063340507</v>
      </c>
      <c r="CS142" s="28">
        <f t="shared" si="245"/>
        <v>506.2363787227232</v>
      </c>
      <c r="CT142" s="33"/>
      <c r="CX142" s="31"/>
      <c r="DD142" s="11">
        <v>4</v>
      </c>
      <c r="DF142" s="35">
        <f t="shared" si="206"/>
        <v>188</v>
      </c>
      <c r="DG142" s="35">
        <f t="shared" si="225"/>
        <v>0</v>
      </c>
      <c r="DH142" s="15">
        <f t="shared" si="246"/>
        <v>0.81039928113194504</v>
      </c>
      <c r="DI142" s="28">
        <f t="shared" si="247"/>
        <v>313.0743988643228</v>
      </c>
      <c r="DJ142" s="28">
        <f t="shared" si="248"/>
        <v>386.32117050625772</v>
      </c>
      <c r="DK142" s="33"/>
      <c r="DO142" s="31"/>
      <c r="DU142" s="11">
        <v>4</v>
      </c>
      <c r="DW142" s="35">
        <f t="shared" si="207"/>
        <v>188</v>
      </c>
      <c r="DX142" s="35">
        <f t="shared" si="226"/>
        <v>0</v>
      </c>
      <c r="DY142" s="15">
        <f t="shared" si="249"/>
        <v>0.79829333328277363</v>
      </c>
      <c r="DZ142" s="28">
        <f t="shared" si="250"/>
        <v>299.12939122715437</v>
      </c>
      <c r="EA142" s="28">
        <f t="shared" si="251"/>
        <v>374.71112278623519</v>
      </c>
      <c r="EB142" s="33"/>
      <c r="EF142" s="31"/>
      <c r="EL142" s="11">
        <v>4</v>
      </c>
      <c r="EN142" s="35">
        <f t="shared" si="208"/>
        <v>188</v>
      </c>
      <c r="EO142" s="35">
        <f t="shared" si="227"/>
        <v>0</v>
      </c>
      <c r="EP142" s="15">
        <f t="shared" si="252"/>
        <v>0.77562130468788737</v>
      </c>
      <c r="EQ142" s="28">
        <f t="shared" si="253"/>
        <v>337.45902048600635</v>
      </c>
      <c r="ER142" s="28">
        <f t="shared" si="254"/>
        <v>435.08219597165527</v>
      </c>
      <c r="ES142" s="33"/>
      <c r="EW142" s="31"/>
      <c r="FC142" s="86"/>
      <c r="FD142" s="87"/>
      <c r="FE142" s="35">
        <f t="shared" si="209"/>
        <v>0</v>
      </c>
      <c r="FF142" s="35">
        <f t="shared" si="228"/>
        <v>0</v>
      </c>
      <c r="FG142" s="15">
        <f t="shared" si="255"/>
        <v>0.59529121746175162</v>
      </c>
      <c r="FH142" s="28">
        <f t="shared" si="256"/>
        <v>236.34298921779055</v>
      </c>
      <c r="FI142" s="28">
        <f t="shared" si="257"/>
        <v>397.02078963222056</v>
      </c>
      <c r="FJ142" s="33"/>
      <c r="FN142" s="31"/>
      <c r="FT142" s="11">
        <v>6</v>
      </c>
      <c r="FV142" s="35">
        <f t="shared" si="210"/>
        <v>282</v>
      </c>
      <c r="FW142" s="35">
        <f t="shared" si="229"/>
        <v>0</v>
      </c>
      <c r="FX142" s="15">
        <f t="shared" si="258"/>
        <v>0.72209325413083769</v>
      </c>
      <c r="FY142" s="28">
        <f t="shared" si="259"/>
        <v>318.14130362299181</v>
      </c>
      <c r="FZ142" s="28">
        <f t="shared" si="260"/>
        <v>440.58201873929579</v>
      </c>
      <c r="GA142" s="33"/>
      <c r="GE142" s="31"/>
      <c r="GK142" s="11">
        <v>7</v>
      </c>
      <c r="GM142" s="35">
        <f t="shared" si="211"/>
        <v>329</v>
      </c>
      <c r="GN142" s="35">
        <f t="shared" si="230"/>
        <v>0</v>
      </c>
      <c r="GO142" s="15">
        <f t="shared" si="261"/>
        <v>0.68848182476560915</v>
      </c>
      <c r="GP142" s="28">
        <f t="shared" si="262"/>
        <v>347.02825674807531</v>
      </c>
      <c r="GQ142" s="28">
        <f t="shared" si="263"/>
        <v>504.04853732517876</v>
      </c>
      <c r="GR142" s="33"/>
      <c r="GV142" s="31"/>
      <c r="HB142" s="11">
        <v>7</v>
      </c>
      <c r="HD142" s="35">
        <f t="shared" si="212"/>
        <v>329</v>
      </c>
      <c r="HE142" s="35">
        <f t="shared" si="231"/>
        <v>0</v>
      </c>
      <c r="HF142" s="15">
        <f t="shared" si="264"/>
        <v>0.84911182765976512</v>
      </c>
      <c r="HG142" s="28">
        <f t="shared" si="265"/>
        <v>198.5840741601157</v>
      </c>
      <c r="HH142" s="28">
        <f t="shared" si="266"/>
        <v>233.87269814322661</v>
      </c>
      <c r="HI142" s="33"/>
      <c r="HM142" s="31"/>
      <c r="HU142" s="35">
        <f t="shared" si="213"/>
        <v>0</v>
      </c>
      <c r="HV142" s="35">
        <f t="shared" si="232"/>
        <v>0</v>
      </c>
      <c r="HW142" s="15">
        <f t="shared" si="267"/>
        <v>7.0049896825852699E-4</v>
      </c>
      <c r="HX142" s="28">
        <f t="shared" si="268"/>
        <v>2.0121816417577095E-3</v>
      </c>
      <c r="HY142" s="28">
        <f t="shared" si="269"/>
        <v>2.8724976522950301</v>
      </c>
      <c r="HZ142" s="33"/>
      <c r="ID142" s="31"/>
      <c r="II142" s="12"/>
      <c r="IJ142" s="11">
        <v>4</v>
      </c>
      <c r="IL142" s="35">
        <f t="shared" si="214"/>
        <v>188</v>
      </c>
      <c r="IM142" s="35">
        <f t="shared" si="215"/>
        <v>2217.7913003131525</v>
      </c>
      <c r="IN142" s="15">
        <f t="shared" si="270"/>
        <v>1.79140532513295</v>
      </c>
      <c r="IO142" s="28">
        <f t="shared" si="271"/>
        <v>84.019617007807454</v>
      </c>
      <c r="IP142" s="28">
        <f t="shared" si="272"/>
        <v>46.901511248757672</v>
      </c>
      <c r="IQ142" s="33"/>
      <c r="IU142" s="31"/>
      <c r="JC142" s="35">
        <f t="shared" si="180"/>
        <v>0</v>
      </c>
      <c r="JD142" s="35">
        <f t="shared" si="216"/>
        <v>4504.7016915973754</v>
      </c>
      <c r="JE142" s="15" t="e">
        <f t="shared" si="273"/>
        <v>#DIV/0!</v>
      </c>
      <c r="JF142" s="28">
        <f t="shared" si="274"/>
        <v>0</v>
      </c>
      <c r="JG142" s="28">
        <f t="shared" si="275"/>
        <v>0</v>
      </c>
      <c r="JH142" s="33"/>
      <c r="JL142" s="31"/>
      <c r="JR142" s="99"/>
      <c r="JS142" s="99"/>
      <c r="JT142" s="99"/>
      <c r="JU142" s="99"/>
      <c r="JV142" s="99"/>
      <c r="JW142" s="99"/>
      <c r="JX142" s="99"/>
      <c r="JY142" s="99"/>
      <c r="JZ142" s="99"/>
      <c r="KA142" s="99"/>
      <c r="KB142" s="99"/>
      <c r="KC142" s="99"/>
      <c r="KD142" s="99"/>
      <c r="KE142" s="99"/>
      <c r="KF142" s="99"/>
      <c r="KG142" s="99"/>
      <c r="KH142" s="99"/>
      <c r="KI142" s="99"/>
      <c r="KJ142" s="99"/>
      <c r="KK142" s="99"/>
      <c r="KL142" s="99"/>
      <c r="KM142" s="99"/>
      <c r="KN142" s="99"/>
      <c r="KO142" s="99"/>
      <c r="KP142" s="99"/>
      <c r="KQ142" s="99"/>
      <c r="KR142" s="99"/>
      <c r="KS142" s="99"/>
      <c r="KT142" s="99"/>
      <c r="KU142" s="99"/>
      <c r="KV142" s="99"/>
      <c r="KW142" s="99"/>
      <c r="KX142" s="99"/>
      <c r="KY142" s="99"/>
      <c r="KZ142" s="99"/>
      <c r="LA142" s="99"/>
      <c r="LB142" s="99"/>
      <c r="LC142" s="99"/>
      <c r="LD142" s="99"/>
      <c r="LE142" s="99"/>
      <c r="LF142" s="99"/>
      <c r="LG142" s="99"/>
      <c r="LH142" s="99"/>
      <c r="LI142" s="99"/>
      <c r="LJ142" s="99"/>
      <c r="LK142" s="99"/>
      <c r="LL142" s="99"/>
      <c r="LM142" s="99"/>
      <c r="LN142" s="99"/>
      <c r="LO142" s="99"/>
      <c r="LP142" s="99"/>
      <c r="LQ142" s="99"/>
      <c r="LR142" s="99"/>
      <c r="LS142" s="99"/>
      <c r="LT142" s="99"/>
      <c r="LU142" s="99"/>
      <c r="LV142" s="99"/>
      <c r="LW142" s="99"/>
      <c r="LX142" s="99"/>
      <c r="LY142" s="99"/>
      <c r="LZ142" s="99"/>
      <c r="MA142" s="99"/>
      <c r="MB142" s="99"/>
      <c r="MC142" s="99"/>
      <c r="MD142" s="99"/>
      <c r="ME142" s="99"/>
      <c r="MF142" s="99"/>
    </row>
    <row r="143" spans="1:344" ht="17.25" customHeight="1" x14ac:dyDescent="0.25">
      <c r="A143" s="157"/>
      <c r="B143" s="92" t="s">
        <v>7</v>
      </c>
      <c r="C143" s="93">
        <v>45277</v>
      </c>
      <c r="D143" s="51">
        <v>10</v>
      </c>
      <c r="E143" s="48">
        <v>9</v>
      </c>
      <c r="F143" s="104">
        <v>100</v>
      </c>
      <c r="G143" s="37">
        <f t="shared" si="194"/>
        <v>7.65</v>
      </c>
      <c r="H143" s="26">
        <f t="shared" si="195"/>
        <v>765</v>
      </c>
      <c r="I143" s="48"/>
      <c r="J143" s="48"/>
      <c r="K143" s="104"/>
      <c r="L143" s="37">
        <f t="shared" si="196"/>
        <v>0</v>
      </c>
      <c r="M143" s="26">
        <f t="shared" si="217"/>
        <v>0</v>
      </c>
      <c r="N143" s="26">
        <f t="shared" si="218"/>
        <v>765</v>
      </c>
      <c r="O143" s="98">
        <f t="shared" si="192"/>
        <v>0</v>
      </c>
      <c r="P143" s="151"/>
      <c r="Q143" s="139">
        <f t="shared" si="276"/>
        <v>0</v>
      </c>
      <c r="R143" s="140">
        <f t="shared" si="277"/>
        <v>0</v>
      </c>
      <c r="S143" s="141">
        <f t="shared" si="278"/>
        <v>0</v>
      </c>
      <c r="T143" s="142">
        <f t="shared" si="279"/>
        <v>0</v>
      </c>
      <c r="U143" s="145">
        <f t="shared" si="280"/>
        <v>0</v>
      </c>
      <c r="V143" s="23"/>
      <c r="W143" s="13">
        <v>9</v>
      </c>
      <c r="X143" s="2">
        <v>0</v>
      </c>
      <c r="Y143" s="26">
        <f t="shared" si="201"/>
        <v>900</v>
      </c>
      <c r="Z143" s="26">
        <f t="shared" si="220"/>
        <v>0</v>
      </c>
      <c r="AA143" s="16">
        <f t="shared" si="233"/>
        <v>1.1323399930081213</v>
      </c>
      <c r="AB143" s="44">
        <f t="shared" si="173"/>
        <v>483.16754158279559</v>
      </c>
      <c r="AC143" s="44">
        <f t="shared" si="174"/>
        <v>426.6982925324711</v>
      </c>
      <c r="AD143" s="34"/>
      <c r="AE143" s="4"/>
      <c r="AF143" s="5"/>
      <c r="AG143" s="6"/>
      <c r="AH143" s="32"/>
      <c r="AI143" s="3"/>
      <c r="AJ143" s="4"/>
      <c r="AK143" s="5"/>
      <c r="AL143" s="6"/>
      <c r="AM143" s="14"/>
      <c r="AN143" s="13">
        <v>8</v>
      </c>
      <c r="AO143" s="2"/>
      <c r="AP143" s="26">
        <f t="shared" si="202"/>
        <v>800</v>
      </c>
      <c r="AQ143" s="26">
        <f t="shared" si="221"/>
        <v>0</v>
      </c>
      <c r="AR143" s="16">
        <f t="shared" si="234"/>
        <v>1.0491566236331908</v>
      </c>
      <c r="AS143" s="29">
        <f t="shared" si="235"/>
        <v>484.02245822888017</v>
      </c>
      <c r="AT143" s="29">
        <f t="shared" si="236"/>
        <v>461.34432869777646</v>
      </c>
      <c r="AU143" s="34"/>
      <c r="AV143" s="4"/>
      <c r="AW143" s="5"/>
      <c r="AX143" s="6"/>
      <c r="AY143" s="32"/>
      <c r="AZ143" s="3"/>
      <c r="BA143" s="4"/>
      <c r="BB143" s="5"/>
      <c r="BC143" s="6"/>
      <c r="BD143" s="14"/>
      <c r="BE143" s="95"/>
      <c r="BF143" s="96"/>
      <c r="BG143" s="26">
        <f t="shared" si="203"/>
        <v>0</v>
      </c>
      <c r="BH143" s="26">
        <f t="shared" si="222"/>
        <v>0</v>
      </c>
      <c r="BI143" s="16">
        <f t="shared" si="237"/>
        <v>6.5253304072307259E-3</v>
      </c>
      <c r="BJ143" s="29">
        <f t="shared" si="238"/>
        <v>0.45372889457264687</v>
      </c>
      <c r="BK143" s="29">
        <f t="shared" si="239"/>
        <v>69.533474361676667</v>
      </c>
      <c r="BL143" s="34"/>
      <c r="BM143" s="4"/>
      <c r="BN143" s="5"/>
      <c r="BO143" s="6"/>
      <c r="BP143" s="32"/>
      <c r="BQ143" s="3"/>
      <c r="BR143" s="4"/>
      <c r="BS143" s="5"/>
      <c r="BT143" s="6"/>
      <c r="BU143" s="14"/>
      <c r="BV143" s="13">
        <v>3</v>
      </c>
      <c r="BW143" s="2"/>
      <c r="BX143" s="26">
        <f t="shared" si="204"/>
        <v>300</v>
      </c>
      <c r="BY143" s="26">
        <f t="shared" si="223"/>
        <v>0</v>
      </c>
      <c r="BZ143" s="16">
        <f t="shared" si="240"/>
        <v>0.5383506330904364</v>
      </c>
      <c r="CA143" s="29">
        <f t="shared" si="241"/>
        <v>162.82921771597827</v>
      </c>
      <c r="CB143" s="29">
        <f t="shared" si="242"/>
        <v>302.45941530939916</v>
      </c>
      <c r="CC143" s="34"/>
      <c r="CD143" s="4"/>
      <c r="CE143" s="5"/>
      <c r="CF143" s="6"/>
      <c r="CG143" s="32"/>
      <c r="CH143" s="3"/>
      <c r="CI143" s="4"/>
      <c r="CJ143" s="5"/>
      <c r="CK143" s="6"/>
      <c r="CL143" s="14"/>
      <c r="CM143" s="13">
        <v>8.5</v>
      </c>
      <c r="CN143" s="2"/>
      <c r="CO143" s="26">
        <f t="shared" si="205"/>
        <v>850</v>
      </c>
      <c r="CP143" s="26">
        <f t="shared" si="224"/>
        <v>0</v>
      </c>
      <c r="CQ143" s="16">
        <f t="shared" si="243"/>
        <v>0.9985782716803665</v>
      </c>
      <c r="CR143" s="29">
        <f t="shared" si="244"/>
        <v>529.19077797505383</v>
      </c>
      <c r="CS143" s="29">
        <f t="shared" si="245"/>
        <v>529.94421467288021</v>
      </c>
      <c r="CT143" s="34"/>
      <c r="CU143" s="4"/>
      <c r="CV143" s="5"/>
      <c r="CW143" s="6"/>
      <c r="CX143" s="32"/>
      <c r="CY143" s="3"/>
      <c r="CZ143" s="4"/>
      <c r="DA143" s="5"/>
      <c r="DB143" s="6"/>
      <c r="DC143" s="14"/>
      <c r="DD143" s="13">
        <v>6.5</v>
      </c>
      <c r="DE143" s="2"/>
      <c r="DF143" s="26">
        <f t="shared" si="206"/>
        <v>650</v>
      </c>
      <c r="DG143" s="26">
        <f t="shared" si="225"/>
        <v>0</v>
      </c>
      <c r="DH143" s="16">
        <f t="shared" si="246"/>
        <v>0.98220021534788937</v>
      </c>
      <c r="DI143" s="29">
        <f t="shared" si="247"/>
        <v>397.3057991482421</v>
      </c>
      <c r="DJ143" s="29">
        <f t="shared" si="248"/>
        <v>404.50591736789511</v>
      </c>
      <c r="DK143" s="34"/>
      <c r="DL143" s="4"/>
      <c r="DM143" s="5"/>
      <c r="DN143" s="6"/>
      <c r="DO143" s="32"/>
      <c r="DP143" s="3"/>
      <c r="DQ143" s="4"/>
      <c r="DR143" s="5"/>
      <c r="DS143" s="6"/>
      <c r="DT143" s="14"/>
      <c r="DU143" s="13">
        <v>8.5</v>
      </c>
      <c r="DV143" s="2"/>
      <c r="DW143" s="26">
        <f t="shared" si="207"/>
        <v>850</v>
      </c>
      <c r="DX143" s="26">
        <f t="shared" si="226"/>
        <v>0</v>
      </c>
      <c r="DY143" s="16">
        <f t="shared" si="249"/>
        <v>1.072044470877348</v>
      </c>
      <c r="DZ143" s="29">
        <f t="shared" si="250"/>
        <v>436.84704342036576</v>
      </c>
      <c r="EA143" s="29">
        <f t="shared" si="251"/>
        <v>407.48966604235693</v>
      </c>
      <c r="EB143" s="34"/>
      <c r="EC143" s="4"/>
      <c r="ED143" s="5"/>
      <c r="EE143" s="6"/>
      <c r="EF143" s="32"/>
      <c r="EG143" s="3"/>
      <c r="EH143" s="4"/>
      <c r="EI143" s="5"/>
      <c r="EJ143" s="6"/>
      <c r="EK143" s="14"/>
      <c r="EL143" s="13">
        <v>10</v>
      </c>
      <c r="EM143" s="2"/>
      <c r="EN143" s="26">
        <f t="shared" si="208"/>
        <v>1000</v>
      </c>
      <c r="EO143" s="26">
        <f t="shared" si="227"/>
        <v>0</v>
      </c>
      <c r="EP143" s="16">
        <f t="shared" si="252"/>
        <v>1.0612861689689592</v>
      </c>
      <c r="EQ143" s="29">
        <f t="shared" si="253"/>
        <v>503.09426536450474</v>
      </c>
      <c r="ER143" s="29">
        <f t="shared" si="254"/>
        <v>474.04204452533418</v>
      </c>
      <c r="ES143" s="34"/>
      <c r="ET143" s="4"/>
      <c r="EU143" s="5"/>
      <c r="EV143" s="6"/>
      <c r="EW143" s="32"/>
      <c r="EX143" s="3"/>
      <c r="EY143" s="4"/>
      <c r="EZ143" s="5"/>
      <c r="FA143" s="6"/>
      <c r="FB143" s="14"/>
      <c r="FC143" s="13">
        <v>8</v>
      </c>
      <c r="FD143" s="2"/>
      <c r="FE143" s="26">
        <f t="shared" si="209"/>
        <v>800</v>
      </c>
      <c r="FF143" s="26">
        <f t="shared" si="228"/>
        <v>0</v>
      </c>
      <c r="FG143" s="16">
        <f t="shared" si="255"/>
        <v>0.88805597303726247</v>
      </c>
      <c r="FH143" s="29">
        <f t="shared" si="256"/>
        <v>377.25724191334291</v>
      </c>
      <c r="FI143" s="29">
        <f t="shared" si="257"/>
        <v>424.81245931275703</v>
      </c>
      <c r="FJ143" s="34"/>
      <c r="FK143" s="4"/>
      <c r="FL143" s="5"/>
      <c r="FM143" s="6"/>
      <c r="FN143" s="32"/>
      <c r="FO143" s="3"/>
      <c r="FP143" s="4"/>
      <c r="FQ143" s="5"/>
      <c r="FR143" s="6"/>
      <c r="FS143" s="14"/>
      <c r="FT143" s="13">
        <v>8</v>
      </c>
      <c r="FU143" s="2"/>
      <c r="FV143" s="26">
        <f t="shared" si="210"/>
        <v>800</v>
      </c>
      <c r="FW143" s="26">
        <f t="shared" si="229"/>
        <v>0</v>
      </c>
      <c r="FX143" s="16">
        <f t="shared" si="258"/>
        <v>0.94248980653687531</v>
      </c>
      <c r="FY143" s="29">
        <f t="shared" si="259"/>
        <v>438.60597771724383</v>
      </c>
      <c r="FZ143" s="29">
        <f t="shared" si="260"/>
        <v>465.3694657227926</v>
      </c>
      <c r="GA143" s="34"/>
      <c r="GB143" s="4"/>
      <c r="GC143" s="5"/>
      <c r="GD143" s="6"/>
      <c r="GE143" s="32"/>
      <c r="GF143" s="3"/>
      <c r="GG143" s="4"/>
      <c r="GH143" s="5"/>
      <c r="GI143" s="6"/>
      <c r="GJ143" s="14"/>
      <c r="GK143" s="13">
        <v>7</v>
      </c>
      <c r="GL143" s="2"/>
      <c r="GM143" s="26">
        <f t="shared" si="211"/>
        <v>700</v>
      </c>
      <c r="GN143" s="26">
        <f t="shared" si="230"/>
        <v>0</v>
      </c>
      <c r="GO143" s="16">
        <f t="shared" si="261"/>
        <v>0.8410022950573105</v>
      </c>
      <c r="GP143" s="29">
        <f t="shared" si="262"/>
        <v>435.27119256105647</v>
      </c>
      <c r="GQ143" s="29">
        <f t="shared" si="263"/>
        <v>517.56243130275254</v>
      </c>
      <c r="GR143" s="34"/>
      <c r="GS143" s="4"/>
      <c r="GT143" s="5"/>
      <c r="GU143" s="6"/>
      <c r="GV143" s="32"/>
      <c r="GW143" s="3"/>
      <c r="GX143" s="4"/>
      <c r="GY143" s="5"/>
      <c r="GZ143" s="6"/>
      <c r="HA143" s="14"/>
      <c r="HB143" s="13"/>
      <c r="HC143" s="2"/>
      <c r="HD143" s="26">
        <f t="shared" si="212"/>
        <v>0</v>
      </c>
      <c r="HE143" s="26">
        <f t="shared" si="231"/>
        <v>0</v>
      </c>
      <c r="HF143" s="16">
        <f t="shared" si="264"/>
        <v>0.68400675005925515</v>
      </c>
      <c r="HG143" s="29">
        <f t="shared" si="265"/>
        <v>148.93805562008677</v>
      </c>
      <c r="HH143" s="29">
        <f t="shared" si="266"/>
        <v>217.74354654714202</v>
      </c>
      <c r="HI143" s="34"/>
      <c r="HJ143" s="4"/>
      <c r="HK143" s="5"/>
      <c r="HL143" s="6"/>
      <c r="HM143" s="32"/>
      <c r="HN143" s="3"/>
      <c r="HO143" s="4"/>
      <c r="HP143" s="5"/>
      <c r="HQ143" s="6"/>
      <c r="HR143" s="14"/>
      <c r="HS143" s="13"/>
      <c r="HT143" s="2"/>
      <c r="HU143" s="26">
        <f t="shared" si="213"/>
        <v>0</v>
      </c>
      <c r="HV143" s="26">
        <f t="shared" si="232"/>
        <v>0</v>
      </c>
      <c r="HW143" s="16">
        <f t="shared" si="267"/>
        <v>5.6429083554159116E-4</v>
      </c>
      <c r="HX143" s="29">
        <f t="shared" si="268"/>
        <v>1.5091362313182821E-3</v>
      </c>
      <c r="HY143" s="29">
        <f t="shared" si="269"/>
        <v>2.6743943659298557</v>
      </c>
      <c r="HZ143" s="34"/>
      <c r="IA143" s="4"/>
      <c r="IB143" s="5"/>
      <c r="IC143" s="6"/>
      <c r="ID143" s="32"/>
      <c r="IE143" s="3"/>
      <c r="IF143" s="4"/>
      <c r="IG143" s="5"/>
      <c r="IH143" s="6"/>
      <c r="II143" s="14"/>
      <c r="IJ143" s="13"/>
      <c r="IK143" s="2"/>
      <c r="IL143" s="26">
        <f t="shared" si="214"/>
        <v>0</v>
      </c>
      <c r="IM143" s="26">
        <f t="shared" si="215"/>
        <v>2465.2289993101804</v>
      </c>
      <c r="IN143" s="16">
        <f t="shared" si="270"/>
        <v>1.4430765119126543</v>
      </c>
      <c r="IO143" s="29">
        <f t="shared" si="271"/>
        <v>63.014712755855591</v>
      </c>
      <c r="IP143" s="29">
        <f t="shared" si="272"/>
        <v>43.666924266084727</v>
      </c>
      <c r="IQ143" s="34"/>
      <c r="IR143" s="4"/>
      <c r="IS143" s="5"/>
      <c r="IT143" s="6"/>
      <c r="IU143" s="32"/>
      <c r="IV143" s="3"/>
      <c r="IW143" s="4"/>
      <c r="IX143" s="5"/>
      <c r="IY143" s="6"/>
      <c r="IZ143" s="14"/>
      <c r="JA143" s="13"/>
      <c r="JB143" s="2"/>
      <c r="JC143" s="26">
        <f t="shared" si="180"/>
        <v>0</v>
      </c>
      <c r="JD143" s="26">
        <f t="shared" si="216"/>
        <v>5619.4799200796569</v>
      </c>
      <c r="JE143" s="16" t="e">
        <f t="shared" si="273"/>
        <v>#DIV/0!</v>
      </c>
      <c r="JF143" s="29">
        <f t="shared" si="274"/>
        <v>0</v>
      </c>
      <c r="JG143" s="29">
        <f t="shared" si="275"/>
        <v>0</v>
      </c>
      <c r="JH143" s="34"/>
      <c r="JI143" s="4"/>
      <c r="JJ143" s="5"/>
      <c r="JK143" s="6"/>
      <c r="JL143" s="32"/>
      <c r="JM143" s="3"/>
      <c r="JN143" s="4"/>
      <c r="JO143" s="5"/>
      <c r="JP143" s="6"/>
      <c r="JQ143" s="14"/>
      <c r="JR143" s="99"/>
      <c r="JS143" s="99"/>
      <c r="JT143" s="99"/>
      <c r="JU143" s="99"/>
      <c r="JV143" s="99"/>
      <c r="JW143" s="99"/>
      <c r="JX143" s="99"/>
      <c r="JY143" s="99"/>
      <c r="JZ143" s="99"/>
      <c r="KA143" s="99"/>
      <c r="KB143" s="99"/>
      <c r="KC143" s="99"/>
      <c r="KD143" s="99"/>
      <c r="KE143" s="99"/>
      <c r="KF143" s="99"/>
      <c r="KG143" s="99"/>
      <c r="KH143" s="99"/>
      <c r="KI143" s="99"/>
      <c r="KJ143" s="99"/>
      <c r="KK143" s="99"/>
      <c r="KL143" s="99"/>
      <c r="KM143" s="99"/>
      <c r="KN143" s="99"/>
      <c r="KO143" s="99"/>
      <c r="KP143" s="99"/>
      <c r="KQ143" s="99"/>
      <c r="KR143" s="99"/>
      <c r="KS143" s="99"/>
      <c r="KT143" s="99"/>
      <c r="KU143" s="99"/>
      <c r="KV143" s="99"/>
      <c r="KW143" s="99"/>
      <c r="KX143" s="99"/>
      <c r="KY143" s="99"/>
      <c r="KZ143" s="99"/>
      <c r="LA143" s="99"/>
      <c r="LB143" s="99"/>
      <c r="LC143" s="99"/>
      <c r="LD143" s="99"/>
      <c r="LE143" s="99"/>
      <c r="LF143" s="99"/>
      <c r="LG143" s="99"/>
      <c r="LH143" s="99"/>
      <c r="LI143" s="99"/>
      <c r="LJ143" s="99"/>
      <c r="LK143" s="99"/>
      <c r="LL143" s="99"/>
      <c r="LM143" s="99"/>
      <c r="LN143" s="99"/>
      <c r="LO143" s="99"/>
      <c r="LP143" s="99"/>
      <c r="LQ143" s="99"/>
      <c r="LR143" s="99"/>
      <c r="LS143" s="99"/>
      <c r="LT143" s="99"/>
      <c r="LU143" s="99"/>
      <c r="LV143" s="99"/>
      <c r="LW143" s="99"/>
      <c r="LX143" s="99"/>
      <c r="LY143" s="99"/>
      <c r="LZ143" s="99"/>
      <c r="MA143" s="99"/>
      <c r="MB143" s="99"/>
      <c r="MC143" s="99"/>
      <c r="MD143" s="99"/>
      <c r="ME143" s="99"/>
      <c r="MF143" s="99"/>
    </row>
    <row r="144" spans="1:344" ht="17.25" customHeight="1" x14ac:dyDescent="0.25">
      <c r="A144" s="155" t="s">
        <v>26</v>
      </c>
      <c r="B144" s="79" t="s">
        <v>1</v>
      </c>
      <c r="C144" s="80">
        <v>45278</v>
      </c>
      <c r="D144" s="50"/>
      <c r="G144" s="36">
        <f t="shared" si="194"/>
        <v>0</v>
      </c>
      <c r="H144" s="27">
        <f t="shared" si="195"/>
        <v>0</v>
      </c>
      <c r="I144" s="47"/>
      <c r="K144" s="105"/>
      <c r="L144" s="89">
        <f t="shared" si="196"/>
        <v>0</v>
      </c>
      <c r="M144" s="27">
        <f t="shared" si="217"/>
        <v>0</v>
      </c>
      <c r="N144" s="35">
        <f t="shared" si="218"/>
        <v>0</v>
      </c>
      <c r="O144" s="97" t="e">
        <f>SUM($Z144,$BH144,$AQ144,$BY144,$CP144,$DG144,$DX144,$EO144,$FF144,$FW144,$GN144)/I144</f>
        <v>#DIV/0!</v>
      </c>
      <c r="P144" s="149">
        <f t="shared" ref="P144" si="281">SUM(N144:N150)</f>
        <v>3460.9761111111115</v>
      </c>
      <c r="Q144" s="131">
        <f t="shared" ref="Q144:Q148" si="282">SUM(AD144+AI144+AU144+AZ144+BL144+BQ144+CC144+CH144+CT144+CY144+DK144+DP144+EB144+EG144+ES144+EX144+FJ144+FO144+GA144+GF144+GR144+GW144)/11</f>
        <v>0</v>
      </c>
      <c r="R144" s="133">
        <f t="shared" ref="R144:R148" si="283">SUM(AE144+AJ144+AV144+BA144+BM144+BR144+CD144+CI144+CU144+CZ144+DL144+DQ144+EC144+EH144+ET144+EY144+FK144+FP144+GB144+GG144+GS144+GX144)/11</f>
        <v>0</v>
      </c>
      <c r="S144" s="135">
        <f t="shared" ref="S144:S148" si="284">SUM(AF144+AK144+AW144+BB144+BN144+BS144+CE144+CJ144+CV144+DA144+DM144+DR144+ED144+EI144+EU144+EZ144+FL144+FQ144+GC144+GH144+GT144+GY144)/11</f>
        <v>0</v>
      </c>
      <c r="T144" s="137">
        <f t="shared" ref="T144:T148" si="285">SUM(AG144+AL144+AX144+BC144+BO144+BT144+CF144+CK144+CW144+DB144+DN144+DS144+EE144+EJ144+EV144+FA144+FM144+FR144+GD144+GI144+GU144+GZ144)/11</f>
        <v>0</v>
      </c>
      <c r="U144" s="143">
        <f t="shared" ref="U144:U148" si="286">SUM(AH144+AM144+AY144+BD144+BP144+BU144+CG144+CL144+CX144+DC144+DO144+DT144+EF144+EK144+EW144+FB144+FN144+FS144+GE144+GJ144+GV144+HA144)/11</f>
        <v>0</v>
      </c>
      <c r="W144" s="11">
        <v>0</v>
      </c>
      <c r="X144" s="1">
        <v>0</v>
      </c>
      <c r="Y144" s="27">
        <f t="shared" si="201"/>
        <v>0</v>
      </c>
      <c r="Z144" s="27">
        <f t="shared" si="220"/>
        <v>0</v>
      </c>
      <c r="AA144" s="15">
        <f t="shared" si="233"/>
        <v>0.91216277214543107</v>
      </c>
      <c r="AB144" s="43">
        <f t="shared" si="173"/>
        <v>362.37565618709669</v>
      </c>
      <c r="AC144" s="43">
        <f t="shared" si="174"/>
        <v>397.27082408195582</v>
      </c>
      <c r="AD144" s="33"/>
      <c r="AH144" s="31"/>
      <c r="AP144" s="27">
        <f t="shared" si="202"/>
        <v>0</v>
      </c>
      <c r="AQ144" s="27">
        <f t="shared" si="221"/>
        <v>0</v>
      </c>
      <c r="AR144" s="15">
        <f t="shared" si="234"/>
        <v>0.84515394681562594</v>
      </c>
      <c r="AS144" s="28">
        <f t="shared" si="235"/>
        <v>363.01684367166013</v>
      </c>
      <c r="AT144" s="28">
        <f t="shared" si="236"/>
        <v>429.5274784427574</v>
      </c>
      <c r="AU144" s="33"/>
      <c r="AY144" s="31"/>
      <c r="BE144" s="86"/>
      <c r="BF144" s="87"/>
      <c r="BG144" s="27">
        <f t="shared" si="203"/>
        <v>0</v>
      </c>
      <c r="BH144" s="27">
        <f t="shared" si="222"/>
        <v>0</v>
      </c>
      <c r="BI144" s="15">
        <f t="shared" si="237"/>
        <v>5.2565161613803068E-3</v>
      </c>
      <c r="BJ144" s="28">
        <f t="shared" si="238"/>
        <v>0.34029667092948512</v>
      </c>
      <c r="BK144" s="28">
        <f t="shared" si="239"/>
        <v>64.738062336733449</v>
      </c>
      <c r="BL144" s="33"/>
      <c r="BP144" s="31"/>
      <c r="BX144" s="27">
        <f t="shared" si="204"/>
        <v>0</v>
      </c>
      <c r="BY144" s="27">
        <f t="shared" si="223"/>
        <v>0</v>
      </c>
      <c r="BZ144" s="15">
        <f t="shared" si="240"/>
        <v>0.43367134332285151</v>
      </c>
      <c r="CA144" s="28">
        <f t="shared" si="241"/>
        <v>122.1219132869837</v>
      </c>
      <c r="CB144" s="28">
        <f t="shared" si="242"/>
        <v>281.6001452880613</v>
      </c>
      <c r="CC144" s="33"/>
      <c r="CG144" s="31"/>
      <c r="CM144" s="86"/>
      <c r="CN144" s="87"/>
      <c r="CO144" s="27">
        <f t="shared" si="205"/>
        <v>0</v>
      </c>
      <c r="CP144" s="27">
        <f t="shared" si="224"/>
        <v>0</v>
      </c>
      <c r="CQ144" s="15">
        <f t="shared" si="243"/>
        <v>0.80441027440918411</v>
      </c>
      <c r="CR144" s="28">
        <f t="shared" si="244"/>
        <v>396.89308348129038</v>
      </c>
      <c r="CS144" s="28">
        <f t="shared" si="245"/>
        <v>493.39633779888845</v>
      </c>
      <c r="CT144" s="33"/>
      <c r="CX144" s="31"/>
      <c r="DF144" s="27">
        <f t="shared" si="206"/>
        <v>0</v>
      </c>
      <c r="DG144" s="27">
        <f t="shared" si="225"/>
        <v>0</v>
      </c>
      <c r="DH144" s="15">
        <f t="shared" si="246"/>
        <v>0.79121684014135529</v>
      </c>
      <c r="DI144" s="28">
        <f t="shared" si="247"/>
        <v>297.97934936118156</v>
      </c>
      <c r="DJ144" s="28">
        <f t="shared" si="248"/>
        <v>376.60895754941959</v>
      </c>
      <c r="DK144" s="33"/>
      <c r="DO144" s="31"/>
      <c r="DW144" s="27">
        <f t="shared" si="207"/>
        <v>0</v>
      </c>
      <c r="DX144" s="27">
        <f t="shared" si="226"/>
        <v>0</v>
      </c>
      <c r="DY144" s="15">
        <f t="shared" si="249"/>
        <v>0.86359137931786378</v>
      </c>
      <c r="DZ144" s="28">
        <f t="shared" si="250"/>
        <v>327.63528256527434</v>
      </c>
      <c r="EA144" s="28">
        <f t="shared" si="251"/>
        <v>379.38693045322884</v>
      </c>
      <c r="EB144" s="33"/>
      <c r="EF144" s="31"/>
      <c r="EN144" s="27">
        <f t="shared" si="208"/>
        <v>0</v>
      </c>
      <c r="EO144" s="27">
        <f t="shared" si="227"/>
        <v>0</v>
      </c>
      <c r="EP144" s="15">
        <f t="shared" si="252"/>
        <v>0.8549249694472173</v>
      </c>
      <c r="EQ144" s="28">
        <f t="shared" si="253"/>
        <v>377.32069902337855</v>
      </c>
      <c r="ER144" s="28">
        <f t="shared" si="254"/>
        <v>441.34948973048353</v>
      </c>
      <c r="ES144" s="33"/>
      <c r="EW144" s="31"/>
      <c r="FC144" s="86"/>
      <c r="FD144" s="87"/>
      <c r="FE144" s="27">
        <f t="shared" si="209"/>
        <v>0</v>
      </c>
      <c r="FF144" s="27">
        <f t="shared" si="228"/>
        <v>0</v>
      </c>
      <c r="FG144" s="15">
        <f t="shared" si="255"/>
        <v>0.71537842272446139</v>
      </c>
      <c r="FH144" s="28">
        <f t="shared" si="256"/>
        <v>282.94293143500715</v>
      </c>
      <c r="FI144" s="28">
        <f t="shared" si="257"/>
        <v>395.51504832567031</v>
      </c>
      <c r="FJ144" s="33"/>
      <c r="FN144" s="31"/>
      <c r="FV144" s="27">
        <f t="shared" si="210"/>
        <v>0</v>
      </c>
      <c r="FW144" s="27">
        <f t="shared" si="229"/>
        <v>0</v>
      </c>
      <c r="FX144" s="15">
        <f t="shared" si="258"/>
        <v>0.75922789971026072</v>
      </c>
      <c r="FY144" s="28">
        <f t="shared" si="259"/>
        <v>328.95448328793287</v>
      </c>
      <c r="FZ144" s="28">
        <f t="shared" si="260"/>
        <v>433.27501981087585</v>
      </c>
      <c r="GA144" s="33"/>
      <c r="GE144" s="31"/>
      <c r="GM144" s="27">
        <f t="shared" si="211"/>
        <v>0</v>
      </c>
      <c r="GN144" s="27">
        <f t="shared" si="230"/>
        <v>0</v>
      </c>
      <c r="GO144" s="15">
        <f t="shared" si="261"/>
        <v>0.67747407101838897</v>
      </c>
      <c r="GP144" s="28">
        <f t="shared" si="262"/>
        <v>326.45339442079234</v>
      </c>
      <c r="GQ144" s="28">
        <f t="shared" si="263"/>
        <v>481.86847052325237</v>
      </c>
      <c r="GR144" s="33"/>
      <c r="GV144" s="31"/>
      <c r="HD144" s="27">
        <f t="shared" si="212"/>
        <v>0</v>
      </c>
      <c r="HE144" s="27">
        <f t="shared" si="231"/>
        <v>0</v>
      </c>
      <c r="HF144" s="15">
        <f t="shared" si="264"/>
        <v>0.55100543754773346</v>
      </c>
      <c r="HG144" s="28">
        <f t="shared" si="265"/>
        <v>111.70354171506509</v>
      </c>
      <c r="HH144" s="28">
        <f t="shared" si="266"/>
        <v>202.726750233546</v>
      </c>
      <c r="HI144" s="33"/>
      <c r="HM144" s="31"/>
      <c r="HU144" s="27">
        <f t="shared" si="213"/>
        <v>0</v>
      </c>
      <c r="HV144" s="27">
        <f t="shared" si="232"/>
        <v>0</v>
      </c>
      <c r="HW144" s="15">
        <f t="shared" si="267"/>
        <v>4.5456761751961515E-4</v>
      </c>
      <c r="HX144" s="28">
        <f t="shared" si="268"/>
        <v>1.1318521734887117E-3</v>
      </c>
      <c r="HY144" s="28">
        <f t="shared" si="269"/>
        <v>2.4899533751760723</v>
      </c>
      <c r="HZ144" s="33"/>
      <c r="ID144" s="31"/>
      <c r="II144" s="12"/>
      <c r="IL144" s="27">
        <f t="shared" si="214"/>
        <v>0</v>
      </c>
      <c r="IM144" s="27">
        <f t="shared" si="215"/>
        <v>1897.7893936182099</v>
      </c>
      <c r="IN144" s="15">
        <f t="shared" si="270"/>
        <v>1.1624783012629716</v>
      </c>
      <c r="IO144" s="28">
        <f t="shared" si="271"/>
        <v>47.261034566891695</v>
      </c>
      <c r="IP144" s="28">
        <f t="shared" si="272"/>
        <v>40.655412247734056</v>
      </c>
      <c r="IQ144" s="33"/>
      <c r="IU144" s="31"/>
      <c r="JC144" s="27">
        <f t="shared" si="180"/>
        <v>0</v>
      </c>
      <c r="JD144" s="27">
        <f t="shared" si="216"/>
        <v>4056.9672537428314</v>
      </c>
      <c r="JE144" s="15" t="e">
        <f t="shared" si="273"/>
        <v>#DIV/0!</v>
      </c>
      <c r="JF144" s="28">
        <f t="shared" si="274"/>
        <v>0</v>
      </c>
      <c r="JG144" s="28">
        <f t="shared" si="275"/>
        <v>0</v>
      </c>
      <c r="JH144" s="33"/>
      <c r="JL144" s="31"/>
      <c r="JR144" s="99"/>
      <c r="JS144" s="99"/>
      <c r="JT144" s="99"/>
      <c r="JU144" s="99"/>
      <c r="JV144" s="99"/>
      <c r="JW144" s="99"/>
      <c r="JX144" s="99"/>
      <c r="JY144" s="99"/>
      <c r="JZ144" s="99"/>
      <c r="KA144" s="99"/>
      <c r="KB144" s="99"/>
      <c r="KC144" s="99"/>
      <c r="KD144" s="99"/>
      <c r="KE144" s="99"/>
      <c r="KF144" s="99"/>
      <c r="KG144" s="99"/>
      <c r="KH144" s="99"/>
      <c r="KI144" s="99"/>
      <c r="KJ144" s="99"/>
      <c r="KK144" s="99"/>
      <c r="KL144" s="99"/>
      <c r="KM144" s="99"/>
      <c r="KN144" s="99"/>
      <c r="KO144" s="99"/>
      <c r="KP144" s="99"/>
      <c r="KQ144" s="99"/>
      <c r="KR144" s="99"/>
      <c r="KS144" s="99"/>
      <c r="KT144" s="99"/>
      <c r="KU144" s="99"/>
      <c r="KV144" s="99"/>
      <c r="KW144" s="99"/>
      <c r="KX144" s="99"/>
      <c r="KY144" s="99"/>
      <c r="KZ144" s="99"/>
      <c r="LA144" s="99"/>
      <c r="LB144" s="99"/>
      <c r="LC144" s="99"/>
      <c r="LD144" s="99"/>
      <c r="LE144" s="99"/>
      <c r="LF144" s="99"/>
      <c r="LG144" s="99"/>
      <c r="LH144" s="99"/>
      <c r="LI144" s="99"/>
      <c r="LJ144" s="99"/>
      <c r="LK144" s="99"/>
      <c r="LL144" s="99"/>
      <c r="LM144" s="99"/>
      <c r="LN144" s="99"/>
      <c r="LO144" s="99"/>
      <c r="LP144" s="99"/>
      <c r="LQ144" s="99"/>
      <c r="LR144" s="99"/>
      <c r="LS144" s="99"/>
      <c r="LT144" s="99"/>
      <c r="LU144" s="99"/>
      <c r="LV144" s="99"/>
      <c r="LW144" s="99"/>
      <c r="LX144" s="99"/>
      <c r="LY144" s="99"/>
      <c r="LZ144" s="99"/>
      <c r="MA144" s="99"/>
      <c r="MB144" s="99"/>
      <c r="MC144" s="99"/>
      <c r="MD144" s="99"/>
      <c r="ME144" s="99"/>
      <c r="MF144" s="99"/>
    </row>
    <row r="145" spans="1:344" ht="17.25" customHeight="1" x14ac:dyDescent="0.25">
      <c r="A145" s="156"/>
      <c r="B145" s="81" t="s">
        <v>2</v>
      </c>
      <c r="C145" s="82">
        <v>45279</v>
      </c>
      <c r="D145" s="49">
        <v>12</v>
      </c>
      <c r="E145" s="39">
        <v>8</v>
      </c>
      <c r="F145" s="103">
        <v>68</v>
      </c>
      <c r="G145" s="89">
        <f t="shared" si="194"/>
        <v>6.7787500000000005</v>
      </c>
      <c r="H145" s="35">
        <f t="shared" si="195"/>
        <v>460.95500000000004</v>
      </c>
      <c r="I145" s="39"/>
      <c r="L145" s="89">
        <f t="shared" si="196"/>
        <v>0</v>
      </c>
      <c r="M145" s="35">
        <f t="shared" si="217"/>
        <v>0</v>
      </c>
      <c r="N145" s="35">
        <f t="shared" si="218"/>
        <v>460.95500000000004</v>
      </c>
      <c r="O145" s="97" t="e">
        <f>SUM($Z145,$BH145,$AQ145,$BY145,$CP145,$DG145,$DX145,$EO145,$FF145,$FW145,$GN145)/I145</f>
        <v>#DIV/0!</v>
      </c>
      <c r="P145" s="150"/>
      <c r="Q145" s="132">
        <f t="shared" si="282"/>
        <v>0</v>
      </c>
      <c r="R145" s="134">
        <f t="shared" si="283"/>
        <v>0</v>
      </c>
      <c r="S145" s="136">
        <f t="shared" si="284"/>
        <v>0</v>
      </c>
      <c r="T145" s="138">
        <f t="shared" si="285"/>
        <v>0</v>
      </c>
      <c r="U145" s="144">
        <f t="shared" si="286"/>
        <v>0</v>
      </c>
      <c r="W145" s="11">
        <v>9</v>
      </c>
      <c r="X145" s="1">
        <v>0</v>
      </c>
      <c r="Y145" s="35">
        <f t="shared" si="201"/>
        <v>612</v>
      </c>
      <c r="Z145" s="35">
        <f t="shared" si="220"/>
        <v>0</v>
      </c>
      <c r="AA145" s="15">
        <f t="shared" si="233"/>
        <v>1.0308241545613159</v>
      </c>
      <c r="AB145" s="43">
        <f t="shared" si="173"/>
        <v>424.78174214032254</v>
      </c>
      <c r="AC145" s="43">
        <f t="shared" si="174"/>
        <v>412.07973276595885</v>
      </c>
      <c r="AD145" s="33"/>
      <c r="AH145" s="31"/>
      <c r="AN145" s="11">
        <v>9.8000000000000007</v>
      </c>
      <c r="AP145" s="35">
        <f t="shared" si="202"/>
        <v>666.40000000000009</v>
      </c>
      <c r="AQ145" s="35">
        <f t="shared" si="221"/>
        <v>0</v>
      </c>
      <c r="AR145" s="15">
        <f t="shared" si="234"/>
        <v>0.98429815081930061</v>
      </c>
      <c r="AS145" s="28">
        <f t="shared" si="235"/>
        <v>438.86263275374512</v>
      </c>
      <c r="AT145" s="28">
        <f t="shared" si="236"/>
        <v>445.8635144122224</v>
      </c>
      <c r="AU145" s="33"/>
      <c r="AY145" s="31"/>
      <c r="BE145" s="86"/>
      <c r="BF145" s="87"/>
      <c r="BG145" s="35">
        <f t="shared" si="203"/>
        <v>0</v>
      </c>
      <c r="BH145" s="35">
        <f t="shared" si="222"/>
        <v>0</v>
      </c>
      <c r="BI145" s="15">
        <f t="shared" si="237"/>
        <v>4.234415796667469E-3</v>
      </c>
      <c r="BJ145" s="28">
        <f t="shared" si="238"/>
        <v>0.25522250319711381</v>
      </c>
      <c r="BK145" s="28">
        <f t="shared" si="239"/>
        <v>60.273368382475965</v>
      </c>
      <c r="BL145" s="33"/>
      <c r="BP145" s="31"/>
      <c r="BV145" s="11">
        <v>3</v>
      </c>
      <c r="BX145" s="35">
        <f t="shared" si="204"/>
        <v>204</v>
      </c>
      <c r="BY145" s="35">
        <f t="shared" si="223"/>
        <v>0</v>
      </c>
      <c r="BZ145" s="15">
        <f t="shared" si="240"/>
        <v>0.51617105916312134</v>
      </c>
      <c r="CA145" s="28">
        <f t="shared" si="241"/>
        <v>142.59143496523777</v>
      </c>
      <c r="CB145" s="28">
        <f t="shared" si="242"/>
        <v>276.248411130264</v>
      </c>
      <c r="CC145" s="33"/>
      <c r="CG145" s="31"/>
      <c r="CM145" s="86"/>
      <c r="CN145" s="87"/>
      <c r="CO145" s="35">
        <f t="shared" si="205"/>
        <v>0</v>
      </c>
      <c r="CP145" s="35">
        <f t="shared" si="224"/>
        <v>0</v>
      </c>
      <c r="CQ145" s="15">
        <f t="shared" si="243"/>
        <v>0.64799716549628728</v>
      </c>
      <c r="CR145" s="28">
        <f t="shared" si="244"/>
        <v>297.66981261096777</v>
      </c>
      <c r="CS145" s="28">
        <f t="shared" si="245"/>
        <v>459.36900415758578</v>
      </c>
      <c r="CT145" s="33"/>
      <c r="CX145" s="31"/>
      <c r="DD145" s="11">
        <v>5</v>
      </c>
      <c r="DF145" s="35">
        <f t="shared" si="206"/>
        <v>340</v>
      </c>
      <c r="DG145" s="35">
        <f t="shared" si="225"/>
        <v>0</v>
      </c>
      <c r="DH145" s="15">
        <f t="shared" si="246"/>
        <v>0.82463924028350333</v>
      </c>
      <c r="DI145" s="28">
        <f t="shared" si="247"/>
        <v>308.4845120208862</v>
      </c>
      <c r="DJ145" s="28">
        <f t="shared" si="248"/>
        <v>374.08420185635612</v>
      </c>
      <c r="DK145" s="33"/>
      <c r="DO145" s="31"/>
      <c r="DU145" s="11">
        <v>4.8</v>
      </c>
      <c r="DW145" s="35">
        <f t="shared" si="207"/>
        <v>326.39999999999998</v>
      </c>
      <c r="DX145" s="35">
        <f t="shared" si="226"/>
        <v>0</v>
      </c>
      <c r="DY145" s="15">
        <f t="shared" si="249"/>
        <v>0.87116851236077308</v>
      </c>
      <c r="DZ145" s="28">
        <f t="shared" si="250"/>
        <v>327.32646192395578</v>
      </c>
      <c r="EA145" s="28">
        <f t="shared" si="251"/>
        <v>375.73265938748892</v>
      </c>
      <c r="EB145" s="33"/>
      <c r="EF145" s="31"/>
      <c r="EL145" s="11">
        <v>7</v>
      </c>
      <c r="EN145" s="35">
        <f t="shared" si="208"/>
        <v>476</v>
      </c>
      <c r="EO145" s="35">
        <f t="shared" si="227"/>
        <v>0</v>
      </c>
      <c r="EP145" s="15">
        <f t="shared" si="252"/>
        <v>0.90591622804745298</v>
      </c>
      <c r="EQ145" s="28">
        <f t="shared" si="253"/>
        <v>401.99052426753394</v>
      </c>
      <c r="ER145" s="28">
        <f t="shared" si="254"/>
        <v>443.73918009389848</v>
      </c>
      <c r="ES145" s="33"/>
      <c r="EW145" s="31"/>
      <c r="FC145" s="86"/>
      <c r="FD145" s="87"/>
      <c r="FE145" s="35">
        <f t="shared" si="209"/>
        <v>0</v>
      </c>
      <c r="FF145" s="35">
        <f t="shared" si="228"/>
        <v>0</v>
      </c>
      <c r="FG145" s="15">
        <f t="shared" si="255"/>
        <v>0.57627706275026058</v>
      </c>
      <c r="FH145" s="28">
        <f t="shared" si="256"/>
        <v>212.20719857625537</v>
      </c>
      <c r="FI145" s="28">
        <f t="shared" si="257"/>
        <v>368.23814844114133</v>
      </c>
      <c r="FJ145" s="33"/>
      <c r="FN145" s="31"/>
      <c r="FT145" s="11">
        <v>8</v>
      </c>
      <c r="FV145" s="35">
        <f t="shared" si="210"/>
        <v>544</v>
      </c>
      <c r="FW145" s="35">
        <f t="shared" si="229"/>
        <v>0</v>
      </c>
      <c r="FX145" s="15">
        <f t="shared" si="258"/>
        <v>0.86801115614559088</v>
      </c>
      <c r="FY145" s="28">
        <f t="shared" si="259"/>
        <v>382.71586246594967</v>
      </c>
      <c r="FZ145" s="28">
        <f t="shared" si="260"/>
        <v>440.91122534116028</v>
      </c>
      <c r="GA145" s="33"/>
      <c r="GE145" s="31"/>
      <c r="GK145" s="11">
        <v>7.63</v>
      </c>
      <c r="GM145" s="35">
        <f t="shared" si="211"/>
        <v>518.84</v>
      </c>
      <c r="GN145" s="35">
        <f t="shared" si="230"/>
        <v>0</v>
      </c>
      <c r="GO145" s="15">
        <f t="shared" si="261"/>
        <v>0.7731956018783217</v>
      </c>
      <c r="GP145" s="28">
        <f t="shared" si="262"/>
        <v>374.55004581559422</v>
      </c>
      <c r="GQ145" s="28">
        <f t="shared" si="263"/>
        <v>484.41823117682117</v>
      </c>
      <c r="GR145" s="33"/>
      <c r="GV145" s="31"/>
      <c r="HB145" s="11">
        <v>7.5</v>
      </c>
      <c r="HD145" s="35">
        <f t="shared" si="212"/>
        <v>510</v>
      </c>
      <c r="HE145" s="35">
        <f t="shared" si="231"/>
        <v>0</v>
      </c>
      <c r="HF145" s="15">
        <f t="shared" si="264"/>
        <v>0.94354919187867581</v>
      </c>
      <c r="HG145" s="28">
        <f t="shared" si="265"/>
        <v>211.27765628629882</v>
      </c>
      <c r="HH145" s="28">
        <f t="shared" si="266"/>
        <v>223.91800883812903</v>
      </c>
      <c r="HI145" s="33"/>
      <c r="HM145" s="31"/>
      <c r="HU145" s="35">
        <f t="shared" si="213"/>
        <v>0</v>
      </c>
      <c r="HV145" s="35">
        <f t="shared" si="232"/>
        <v>0</v>
      </c>
      <c r="HW145" s="15">
        <f t="shared" si="267"/>
        <v>3.6617946966857894E-4</v>
      </c>
      <c r="HX145" s="28">
        <f t="shared" si="268"/>
        <v>8.4888913011653378E-4</v>
      </c>
      <c r="HY145" s="28">
        <f t="shared" si="269"/>
        <v>2.3182324527501361</v>
      </c>
      <c r="HZ145" s="33"/>
      <c r="ID145" s="31"/>
      <c r="II145" s="12"/>
      <c r="IJ145" s="11">
        <v>7</v>
      </c>
      <c r="IL145" s="35">
        <f t="shared" si="214"/>
        <v>476</v>
      </c>
      <c r="IM145" s="35">
        <f t="shared" si="215"/>
        <v>2157.1563086897604</v>
      </c>
      <c r="IN145" s="15">
        <f t="shared" si="270"/>
        <v>2.1851665887297695</v>
      </c>
      <c r="IO145" s="28">
        <f t="shared" si="271"/>
        <v>154.44577592516879</v>
      </c>
      <c r="IP145" s="28">
        <f t="shared" si="272"/>
        <v>70.679176920304116</v>
      </c>
      <c r="IQ145" s="33"/>
      <c r="IU145" s="31"/>
      <c r="JC145" s="35">
        <f t="shared" si="180"/>
        <v>0</v>
      </c>
      <c r="JD145" s="35">
        <f t="shared" si="216"/>
        <v>3489.4682627282887</v>
      </c>
      <c r="JE145" s="15" t="e">
        <f t="shared" si="273"/>
        <v>#DIV/0!</v>
      </c>
      <c r="JF145" s="28">
        <f t="shared" si="274"/>
        <v>0</v>
      </c>
      <c r="JG145" s="28">
        <f t="shared" si="275"/>
        <v>0</v>
      </c>
      <c r="JH145" s="33"/>
      <c r="JL145" s="31"/>
      <c r="JR145" s="99"/>
      <c r="JS145" s="99"/>
      <c r="JT145" s="99"/>
      <c r="JU145" s="99"/>
      <c r="JV145" s="99"/>
      <c r="JW145" s="99"/>
      <c r="JX145" s="99"/>
      <c r="JY145" s="99"/>
      <c r="JZ145" s="99"/>
      <c r="KA145" s="99"/>
      <c r="KB145" s="99"/>
      <c r="KC145" s="99"/>
      <c r="KD145" s="99"/>
      <c r="KE145" s="99"/>
      <c r="KF145" s="99"/>
      <c r="KG145" s="99"/>
      <c r="KH145" s="99"/>
      <c r="KI145" s="99"/>
      <c r="KJ145" s="99"/>
      <c r="KK145" s="99"/>
      <c r="KL145" s="99"/>
      <c r="KM145" s="99"/>
      <c r="KN145" s="99"/>
      <c r="KO145" s="99"/>
      <c r="KP145" s="99"/>
      <c r="KQ145" s="99"/>
      <c r="KR145" s="99"/>
      <c r="KS145" s="99"/>
      <c r="KT145" s="99"/>
      <c r="KU145" s="99"/>
      <c r="KV145" s="99"/>
      <c r="KW145" s="99"/>
      <c r="KX145" s="99"/>
      <c r="KY145" s="99"/>
      <c r="KZ145" s="99"/>
      <c r="LA145" s="99"/>
      <c r="LB145" s="99"/>
      <c r="LC145" s="99"/>
      <c r="LD145" s="99"/>
      <c r="LE145" s="99"/>
      <c r="LF145" s="99"/>
      <c r="LG145" s="99"/>
      <c r="LH145" s="99"/>
      <c r="LI145" s="99"/>
      <c r="LJ145" s="99"/>
      <c r="LK145" s="99"/>
      <c r="LL145" s="99"/>
      <c r="LM145" s="99"/>
      <c r="LN145" s="99"/>
      <c r="LO145" s="99"/>
      <c r="LP145" s="99"/>
      <c r="LQ145" s="99"/>
      <c r="LR145" s="99"/>
      <c r="LS145" s="99"/>
      <c r="LT145" s="99"/>
      <c r="LU145" s="99"/>
      <c r="LV145" s="99"/>
      <c r="LW145" s="99"/>
      <c r="LX145" s="99"/>
      <c r="LY145" s="99"/>
      <c r="LZ145" s="99"/>
      <c r="MA145" s="99"/>
      <c r="MB145" s="99"/>
      <c r="MC145" s="99"/>
      <c r="MD145" s="99"/>
      <c r="ME145" s="99"/>
      <c r="MF145" s="99"/>
    </row>
    <row r="146" spans="1:344" ht="17.25" customHeight="1" x14ac:dyDescent="0.25">
      <c r="A146" s="156"/>
      <c r="B146" s="81" t="s">
        <v>3</v>
      </c>
      <c r="C146" s="82">
        <v>45280</v>
      </c>
      <c r="D146" s="49">
        <v>10</v>
      </c>
      <c r="E146" s="39">
        <v>9</v>
      </c>
      <c r="F146" s="103">
        <v>95</v>
      </c>
      <c r="G146" s="89">
        <f t="shared" si="194"/>
        <v>5.7444444444444445</v>
      </c>
      <c r="H146" s="35">
        <f t="shared" si="195"/>
        <v>545.72222222222217</v>
      </c>
      <c r="I146" s="39">
        <v>11</v>
      </c>
      <c r="J146" s="39">
        <v>9</v>
      </c>
      <c r="K146" s="103">
        <v>91</v>
      </c>
      <c r="L146" s="89">
        <f t="shared" si="196"/>
        <v>7.6055555555555561</v>
      </c>
      <c r="M146" s="35">
        <f t="shared" si="217"/>
        <v>692.10555555555561</v>
      </c>
      <c r="N146" s="35">
        <f t="shared" si="218"/>
        <v>1237.8277777777778</v>
      </c>
      <c r="O146" s="97">
        <f>SUM($Z146,$BH146,$AQ146,$BY146,$CP146,$DG146,$DX146,$EO146,$FF146,$FW146,$GN146)/D146</f>
        <v>0</v>
      </c>
      <c r="P146" s="150"/>
      <c r="Q146" s="132">
        <f t="shared" si="282"/>
        <v>0</v>
      </c>
      <c r="R146" s="134">
        <f t="shared" si="283"/>
        <v>0</v>
      </c>
      <c r="S146" s="136">
        <f t="shared" si="284"/>
        <v>0</v>
      </c>
      <c r="T146" s="138">
        <f t="shared" si="285"/>
        <v>0</v>
      </c>
      <c r="U146" s="144">
        <f t="shared" si="286"/>
        <v>0</v>
      </c>
      <c r="W146" s="11">
        <v>8.5</v>
      </c>
      <c r="X146" s="1">
        <v>8.5</v>
      </c>
      <c r="Y146" s="35">
        <f t="shared" si="201"/>
        <v>1581</v>
      </c>
      <c r="Z146" s="35">
        <f t="shared" si="220"/>
        <v>0</v>
      </c>
      <c r="AA146" s="15">
        <f t="shared" si="233"/>
        <v>1.4488403927026146</v>
      </c>
      <c r="AB146" s="43">
        <f t="shared" si="173"/>
        <v>713.83630660524193</v>
      </c>
      <c r="AC146" s="43">
        <f t="shared" si="174"/>
        <v>492.69492360968582</v>
      </c>
      <c r="AD146" s="33"/>
      <c r="AH146" s="31"/>
      <c r="AN146" s="11">
        <v>9.1999999999999993</v>
      </c>
      <c r="AO146" s="1">
        <v>8</v>
      </c>
      <c r="AP146" s="35">
        <f t="shared" si="202"/>
        <v>1602</v>
      </c>
      <c r="AQ146" s="35">
        <f t="shared" si="221"/>
        <v>0</v>
      </c>
      <c r="AR146" s="15">
        <f t="shared" si="234"/>
        <v>1.3882249787060859</v>
      </c>
      <c r="AS146" s="28">
        <f t="shared" si="235"/>
        <v>729.64697456530882</v>
      </c>
      <c r="AT146" s="28">
        <f t="shared" si="236"/>
        <v>525.59706514241395</v>
      </c>
      <c r="AU146" s="33"/>
      <c r="AY146" s="31"/>
      <c r="BE146" s="86"/>
      <c r="BF146" s="87"/>
      <c r="BG146" s="35">
        <f t="shared" si="203"/>
        <v>0</v>
      </c>
      <c r="BH146" s="35">
        <f t="shared" si="222"/>
        <v>0</v>
      </c>
      <c r="BI146" s="15">
        <f t="shared" si="237"/>
        <v>3.4110571695376837E-3</v>
      </c>
      <c r="BJ146" s="28">
        <f t="shared" si="238"/>
        <v>0.19141687739783536</v>
      </c>
      <c r="BK146" s="28">
        <f t="shared" si="239"/>
        <v>56.116584356098308</v>
      </c>
      <c r="BL146" s="33"/>
      <c r="BP146" s="31"/>
      <c r="BV146" s="11">
        <v>4</v>
      </c>
      <c r="BW146" s="1">
        <v>6</v>
      </c>
      <c r="BX146" s="35">
        <f t="shared" si="204"/>
        <v>926</v>
      </c>
      <c r="BY146" s="35">
        <f t="shared" si="223"/>
        <v>0</v>
      </c>
      <c r="BZ146" s="15">
        <f t="shared" si="240"/>
        <v>1.054148047461271</v>
      </c>
      <c r="CA146" s="28">
        <f t="shared" si="241"/>
        <v>338.44357622392829</v>
      </c>
      <c r="CB146" s="28">
        <f t="shared" si="242"/>
        <v>321.05886553507332</v>
      </c>
      <c r="CC146" s="33"/>
      <c r="CG146" s="31"/>
      <c r="CM146" s="86"/>
      <c r="CN146" s="87"/>
      <c r="CO146" s="35">
        <f t="shared" si="205"/>
        <v>0</v>
      </c>
      <c r="CP146" s="35">
        <f t="shared" si="224"/>
        <v>0</v>
      </c>
      <c r="CQ146" s="15">
        <f t="shared" si="243"/>
        <v>0.521997716649787</v>
      </c>
      <c r="CR146" s="28">
        <f t="shared" si="244"/>
        <v>223.25235945822584</v>
      </c>
      <c r="CS146" s="28">
        <f t="shared" si="245"/>
        <v>427.68838318120055</v>
      </c>
      <c r="CT146" s="33"/>
      <c r="CX146" s="31"/>
      <c r="DD146" s="11">
        <v>5</v>
      </c>
      <c r="DE146" s="1">
        <v>7</v>
      </c>
      <c r="DF146" s="35">
        <f t="shared" si="206"/>
        <v>1112</v>
      </c>
      <c r="DG146" s="35">
        <f t="shared" si="225"/>
        <v>0</v>
      </c>
      <c r="DH146" s="15">
        <f t="shared" si="246"/>
        <v>1.198572735036848</v>
      </c>
      <c r="DI146" s="28">
        <f t="shared" si="247"/>
        <v>509.36338401566468</v>
      </c>
      <c r="DJ146" s="28">
        <f t="shared" si="248"/>
        <v>424.97494655591777</v>
      </c>
      <c r="DK146" s="33"/>
      <c r="DO146" s="31"/>
      <c r="DU146" s="11">
        <v>4.5</v>
      </c>
      <c r="DV146" s="1">
        <v>7</v>
      </c>
      <c r="DW146" s="35">
        <f t="shared" si="207"/>
        <v>1064.5</v>
      </c>
      <c r="DX146" s="35">
        <f t="shared" si="226"/>
        <v>0</v>
      </c>
      <c r="DY146" s="15">
        <f t="shared" si="249"/>
        <v>1.2088348794550681</v>
      </c>
      <c r="DZ146" s="28">
        <f t="shared" si="250"/>
        <v>511.61984644296683</v>
      </c>
      <c r="EA146" s="28">
        <f t="shared" si="251"/>
        <v>423.23385529180001</v>
      </c>
      <c r="EB146" s="33"/>
      <c r="EF146" s="31"/>
      <c r="EL146" s="11">
        <v>4</v>
      </c>
      <c r="EM146" s="1">
        <v>8</v>
      </c>
      <c r="EN146" s="35">
        <f t="shared" si="208"/>
        <v>1108</v>
      </c>
      <c r="EO146" s="35">
        <f t="shared" si="227"/>
        <v>0</v>
      </c>
      <c r="EP146" s="15">
        <f t="shared" si="252"/>
        <v>1.1816823058333001</v>
      </c>
      <c r="EQ146" s="28">
        <f t="shared" si="253"/>
        <v>578.49289320065043</v>
      </c>
      <c r="ER146" s="28">
        <f t="shared" si="254"/>
        <v>489.55027112190544</v>
      </c>
      <c r="ES146" s="33"/>
      <c r="EW146" s="31"/>
      <c r="FC146" s="11">
        <v>4</v>
      </c>
      <c r="FD146" s="1">
        <v>6.2</v>
      </c>
      <c r="FE146" s="35">
        <f t="shared" si="209"/>
        <v>944.2</v>
      </c>
      <c r="FF146" s="35">
        <f t="shared" si="228"/>
        <v>0</v>
      </c>
      <c r="FG146" s="15">
        <f t="shared" si="255"/>
        <v>0.96873647591674128</v>
      </c>
      <c r="FH146" s="28">
        <f t="shared" si="256"/>
        <v>395.20539893219154</v>
      </c>
      <c r="FI146" s="28">
        <f t="shared" si="257"/>
        <v>407.9596554452005</v>
      </c>
      <c r="FJ146" s="33"/>
      <c r="FN146" s="31"/>
      <c r="FT146" s="11">
        <v>6</v>
      </c>
      <c r="FU146" s="1">
        <v>9</v>
      </c>
      <c r="FV146" s="35">
        <f t="shared" si="210"/>
        <v>1389</v>
      </c>
      <c r="FW146" s="35">
        <f t="shared" si="229"/>
        <v>0</v>
      </c>
      <c r="FX146" s="15">
        <f t="shared" si="258"/>
        <v>1.252796925935729</v>
      </c>
      <c r="FY146" s="28">
        <f t="shared" si="259"/>
        <v>634.28689684946221</v>
      </c>
      <c r="FZ146" s="28">
        <f t="shared" si="260"/>
        <v>506.29665807625264</v>
      </c>
      <c r="GA146" s="33"/>
      <c r="GE146" s="31"/>
      <c r="GK146" s="11">
        <v>6.5</v>
      </c>
      <c r="GL146" s="1">
        <v>8.75</v>
      </c>
      <c r="GM146" s="35">
        <f t="shared" si="211"/>
        <v>1413.75</v>
      </c>
      <c r="GN146" s="35">
        <f t="shared" si="230"/>
        <v>0</v>
      </c>
      <c r="GO146" s="15">
        <f t="shared" si="261"/>
        <v>1.1564965906939733</v>
      </c>
      <c r="GP146" s="28">
        <f t="shared" si="262"/>
        <v>634.35003436169563</v>
      </c>
      <c r="GQ146" s="28">
        <f t="shared" si="263"/>
        <v>548.51007730255765</v>
      </c>
      <c r="GR146" s="33"/>
      <c r="GV146" s="31"/>
      <c r="HB146" s="11">
        <v>5.5</v>
      </c>
      <c r="HC146" s="1">
        <v>7.5</v>
      </c>
      <c r="HD146" s="35">
        <f t="shared" si="212"/>
        <v>1205</v>
      </c>
      <c r="HE146" s="35">
        <f t="shared" si="231"/>
        <v>0</v>
      </c>
      <c r="HF146" s="15">
        <f t="shared" si="264"/>
        <v>1.5766173183663381</v>
      </c>
      <c r="HG146" s="28">
        <f t="shared" si="265"/>
        <v>459.70824221472412</v>
      </c>
      <c r="HH146" s="28">
        <f t="shared" si="266"/>
        <v>291.57883581480974</v>
      </c>
      <c r="HI146" s="33"/>
      <c r="HM146" s="31"/>
      <c r="HU146" s="35">
        <f t="shared" si="213"/>
        <v>0</v>
      </c>
      <c r="HV146" s="35">
        <f t="shared" si="232"/>
        <v>0</v>
      </c>
      <c r="HW146" s="15">
        <f t="shared" si="267"/>
        <v>2.9497790612191083E-4</v>
      </c>
      <c r="HX146" s="28">
        <f t="shared" si="268"/>
        <v>6.3666684758740036E-4</v>
      </c>
      <c r="HY146" s="28">
        <f t="shared" si="269"/>
        <v>2.1583543525604716</v>
      </c>
      <c r="HZ146" s="33"/>
      <c r="ID146" s="31"/>
      <c r="II146" s="12"/>
      <c r="IK146" s="1">
        <v>7.5</v>
      </c>
      <c r="IL146" s="35">
        <f t="shared" si="214"/>
        <v>682.5</v>
      </c>
      <c r="IM146" s="35">
        <f t="shared" si="215"/>
        <v>3888.2310767134636</v>
      </c>
      <c r="IN146" s="15">
        <f t="shared" si="270"/>
        <v>2.5378745466260026</v>
      </c>
      <c r="IO146" s="28">
        <f t="shared" si="271"/>
        <v>286.45933194387658</v>
      </c>
      <c r="IP146" s="28">
        <f t="shared" si="272"/>
        <v>112.87371644304176</v>
      </c>
      <c r="IQ146" s="33"/>
      <c r="IU146" s="31"/>
      <c r="JB146" s="1">
        <v>7.5</v>
      </c>
      <c r="JC146" s="35">
        <f t="shared" si="180"/>
        <v>682.5</v>
      </c>
      <c r="JD146" s="35">
        <f t="shared" si="216"/>
        <v>3033.0173468888552</v>
      </c>
      <c r="JE146" s="15">
        <f t="shared" si="273"/>
        <v>3.625</v>
      </c>
      <c r="JF146" s="28">
        <f t="shared" si="274"/>
        <v>170.625</v>
      </c>
      <c r="JG146" s="28">
        <f t="shared" si="275"/>
        <v>47.068965517241381</v>
      </c>
      <c r="JH146" s="33"/>
      <c r="JL146" s="31"/>
      <c r="JR146" s="99"/>
      <c r="JS146" s="99"/>
      <c r="JT146" s="99"/>
      <c r="JU146" s="99"/>
      <c r="JV146" s="99"/>
      <c r="JW146" s="99"/>
      <c r="JX146" s="99"/>
      <c r="JY146" s="99"/>
      <c r="JZ146" s="99"/>
      <c r="KA146" s="99"/>
      <c r="KB146" s="99"/>
      <c r="KC146" s="99"/>
      <c r="KD146" s="99"/>
      <c r="KE146" s="99"/>
      <c r="KF146" s="99"/>
      <c r="KG146" s="99"/>
      <c r="KH146" s="99"/>
      <c r="KI146" s="99"/>
      <c r="KJ146" s="99"/>
      <c r="KK146" s="99"/>
      <c r="KL146" s="99"/>
      <c r="KM146" s="99"/>
      <c r="KN146" s="99"/>
      <c r="KO146" s="99"/>
      <c r="KP146" s="99"/>
      <c r="KQ146" s="99"/>
      <c r="KR146" s="99"/>
      <c r="KS146" s="99"/>
      <c r="KT146" s="99"/>
      <c r="KU146" s="99"/>
      <c r="KV146" s="99"/>
      <c r="KW146" s="99"/>
      <c r="KX146" s="99"/>
      <c r="KY146" s="99"/>
      <c r="KZ146" s="99"/>
      <c r="LA146" s="99"/>
      <c r="LB146" s="99"/>
      <c r="LC146" s="99"/>
      <c r="LD146" s="99"/>
      <c r="LE146" s="99"/>
      <c r="LF146" s="99"/>
      <c r="LG146" s="99"/>
      <c r="LH146" s="99"/>
      <c r="LI146" s="99"/>
      <c r="LJ146" s="99"/>
      <c r="LK146" s="99"/>
      <c r="LL146" s="99"/>
      <c r="LM146" s="99"/>
      <c r="LN146" s="99"/>
      <c r="LO146" s="99"/>
      <c r="LP146" s="99"/>
      <c r="LQ146" s="99"/>
      <c r="LR146" s="99"/>
      <c r="LS146" s="99"/>
      <c r="LT146" s="99"/>
      <c r="LU146" s="99"/>
      <c r="LV146" s="99"/>
      <c r="LW146" s="99"/>
      <c r="LX146" s="99"/>
      <c r="LY146" s="99"/>
      <c r="LZ146" s="99"/>
      <c r="MA146" s="99"/>
      <c r="MB146" s="99"/>
      <c r="MC146" s="99"/>
      <c r="MD146" s="99"/>
      <c r="ME146" s="99"/>
      <c r="MF146" s="99"/>
    </row>
    <row r="147" spans="1:344" ht="17.25" customHeight="1" x14ac:dyDescent="0.25">
      <c r="A147" s="156"/>
      <c r="B147" s="81" t="s">
        <v>4</v>
      </c>
      <c r="C147" s="82">
        <v>45281</v>
      </c>
      <c r="D147" s="49">
        <v>11</v>
      </c>
      <c r="E147" s="39">
        <v>10</v>
      </c>
      <c r="F147" s="103">
        <v>73</v>
      </c>
      <c r="G147" s="89">
        <f t="shared" si="194"/>
        <v>6.45</v>
      </c>
      <c r="H147" s="35">
        <f t="shared" si="195"/>
        <v>470.85</v>
      </c>
      <c r="I147" s="39"/>
      <c r="L147" s="89">
        <f t="shared" si="196"/>
        <v>0</v>
      </c>
      <c r="M147" s="35">
        <f t="shared" si="217"/>
        <v>0</v>
      </c>
      <c r="N147" s="35">
        <f t="shared" si="218"/>
        <v>470.85</v>
      </c>
      <c r="O147" s="97">
        <f>SUM($Z147,$BH147,$AQ147,$BY147,$CP147,$DG147,$DX147,$EO147,$FF147,$FW147,$GN147)/D147</f>
        <v>0</v>
      </c>
      <c r="P147" s="150"/>
      <c r="Q147" s="132">
        <f t="shared" si="282"/>
        <v>0</v>
      </c>
      <c r="R147" s="134">
        <f t="shared" si="283"/>
        <v>0</v>
      </c>
      <c r="S147" s="136">
        <f t="shared" si="284"/>
        <v>0</v>
      </c>
      <c r="T147" s="138">
        <f t="shared" si="285"/>
        <v>0</v>
      </c>
      <c r="U147" s="144">
        <f t="shared" si="286"/>
        <v>0</v>
      </c>
      <c r="W147" s="11">
        <v>0</v>
      </c>
      <c r="X147" s="1">
        <v>0</v>
      </c>
      <c r="Y147" s="35">
        <f t="shared" si="201"/>
        <v>0</v>
      </c>
      <c r="Z147" s="35">
        <f t="shared" si="220"/>
        <v>0</v>
      </c>
      <c r="AA147" s="15">
        <f t="shared" si="233"/>
        <v>1.167121427454884</v>
      </c>
      <c r="AB147" s="43">
        <f t="shared" si="173"/>
        <v>535.37722995393142</v>
      </c>
      <c r="AC147" s="43">
        <f t="shared" si="174"/>
        <v>458.71596336074197</v>
      </c>
      <c r="AD147" s="33"/>
      <c r="AH147" s="31"/>
      <c r="AN147" s="11">
        <v>6</v>
      </c>
      <c r="AP147" s="35">
        <f t="shared" si="202"/>
        <v>438</v>
      </c>
      <c r="AQ147" s="35">
        <f t="shared" si="221"/>
        <v>0</v>
      </c>
      <c r="AR147" s="15">
        <f t="shared" si="234"/>
        <v>1.2640319276405136</v>
      </c>
      <c r="AS147" s="28">
        <f t="shared" si="235"/>
        <v>656.73523092398159</v>
      </c>
      <c r="AT147" s="28">
        <f t="shared" si="236"/>
        <v>519.55588823604057</v>
      </c>
      <c r="AU147" s="33"/>
      <c r="AY147" s="31"/>
      <c r="BE147" s="86"/>
      <c r="BF147" s="87"/>
      <c r="BG147" s="35">
        <f t="shared" si="203"/>
        <v>0</v>
      </c>
      <c r="BH147" s="35">
        <f t="shared" si="222"/>
        <v>0</v>
      </c>
      <c r="BI147" s="15">
        <f t="shared" si="237"/>
        <v>2.7477960532386898E-3</v>
      </c>
      <c r="BJ147" s="28">
        <f t="shared" si="238"/>
        <v>0.14356265804837653</v>
      </c>
      <c r="BK147" s="28">
        <f t="shared" si="239"/>
        <v>52.246475090160494</v>
      </c>
      <c r="BL147" s="33"/>
      <c r="BP147" s="31"/>
      <c r="BV147" s="11">
        <v>7</v>
      </c>
      <c r="BX147" s="35">
        <f t="shared" si="204"/>
        <v>511</v>
      </c>
      <c r="BY147" s="35">
        <f t="shared" si="223"/>
        <v>0</v>
      </c>
      <c r="BZ147" s="15">
        <f t="shared" si="240"/>
        <v>1.1419220607736831</v>
      </c>
      <c r="CA147" s="28">
        <f t="shared" si="241"/>
        <v>381.58268216794625</v>
      </c>
      <c r="CB147" s="28">
        <f t="shared" si="242"/>
        <v>334.15825411886135</v>
      </c>
      <c r="CC147" s="33"/>
      <c r="CG147" s="31"/>
      <c r="CM147" s="86"/>
      <c r="CN147" s="87"/>
      <c r="CO147" s="35">
        <f t="shared" si="205"/>
        <v>0</v>
      </c>
      <c r="CP147" s="35">
        <f t="shared" si="224"/>
        <v>0</v>
      </c>
      <c r="CQ147" s="15">
        <f t="shared" si="243"/>
        <v>0.42049816063455064</v>
      </c>
      <c r="CR147" s="28">
        <f t="shared" si="244"/>
        <v>167.43926959366939</v>
      </c>
      <c r="CS147" s="28">
        <f t="shared" si="245"/>
        <v>398.19263261697984</v>
      </c>
      <c r="CT147" s="33"/>
      <c r="CX147" s="31"/>
      <c r="DD147" s="11">
        <v>5.85</v>
      </c>
      <c r="DF147" s="35">
        <f t="shared" si="206"/>
        <v>427.04999999999995</v>
      </c>
      <c r="DG147" s="35">
        <f t="shared" si="225"/>
        <v>0</v>
      </c>
      <c r="DH147" s="15">
        <f t="shared" si="246"/>
        <v>1.1497630687973177</v>
      </c>
      <c r="DI147" s="28">
        <f t="shared" si="247"/>
        <v>488.7850380117485</v>
      </c>
      <c r="DJ147" s="28">
        <f t="shared" si="248"/>
        <v>425.11805368999239</v>
      </c>
      <c r="DK147" s="33"/>
      <c r="DO147" s="31"/>
      <c r="DU147" s="11">
        <v>5.8</v>
      </c>
      <c r="DW147" s="35">
        <f t="shared" si="207"/>
        <v>423.4</v>
      </c>
      <c r="DX147" s="35">
        <f t="shared" si="226"/>
        <v>0</v>
      </c>
      <c r="DY147" s="15">
        <f t="shared" si="249"/>
        <v>1.1566929843329226</v>
      </c>
      <c r="DZ147" s="28">
        <f t="shared" si="250"/>
        <v>489.56488483222518</v>
      </c>
      <c r="EA147" s="28">
        <f t="shared" si="251"/>
        <v>423.24531354753793</v>
      </c>
      <c r="EB147" s="33"/>
      <c r="EF147" s="31"/>
      <c r="EL147" s="11">
        <v>8</v>
      </c>
      <c r="EN147" s="35">
        <f t="shared" si="208"/>
        <v>584</v>
      </c>
      <c r="EO147" s="35">
        <f t="shared" si="227"/>
        <v>0</v>
      </c>
      <c r="EP147" s="15">
        <f t="shared" si="252"/>
        <v>1.168941138001879</v>
      </c>
      <c r="EQ147" s="28">
        <f t="shared" si="253"/>
        <v>579.86966990048779</v>
      </c>
      <c r="ER147" s="28">
        <f t="shared" si="254"/>
        <v>496.06404552729128</v>
      </c>
      <c r="ES147" s="33"/>
      <c r="EW147" s="31"/>
      <c r="FC147" s="11">
        <v>8.9</v>
      </c>
      <c r="FE147" s="35">
        <f t="shared" si="209"/>
        <v>649.70000000000005</v>
      </c>
      <c r="FF147" s="35">
        <f t="shared" si="228"/>
        <v>0</v>
      </c>
      <c r="FG147" s="15">
        <f t="shared" si="255"/>
        <v>1.0805348958748224</v>
      </c>
      <c r="FH147" s="28">
        <f t="shared" si="256"/>
        <v>458.82904919914364</v>
      </c>
      <c r="FI147" s="28">
        <f t="shared" si="257"/>
        <v>424.63140334553151</v>
      </c>
      <c r="FJ147" s="33"/>
      <c r="FN147" s="31"/>
      <c r="FT147" s="11">
        <v>7.5</v>
      </c>
      <c r="FV147" s="35">
        <f t="shared" si="210"/>
        <v>547.5</v>
      </c>
      <c r="FW147" s="35">
        <f t="shared" si="229"/>
        <v>0</v>
      </c>
      <c r="FX147" s="15">
        <f t="shared" si="258"/>
        <v>1.203190196657175</v>
      </c>
      <c r="FY147" s="28">
        <f t="shared" si="259"/>
        <v>612.59017263709666</v>
      </c>
      <c r="FZ147" s="28">
        <f t="shared" si="260"/>
        <v>509.13826786409726</v>
      </c>
      <c r="GA147" s="33"/>
      <c r="GE147" s="31"/>
      <c r="GK147" s="11">
        <v>9</v>
      </c>
      <c r="GM147" s="35">
        <f t="shared" si="211"/>
        <v>657</v>
      </c>
      <c r="GN147" s="35">
        <f t="shared" si="230"/>
        <v>0</v>
      </c>
      <c r="GO147" s="15">
        <f t="shared" si="261"/>
        <v>1.1511179361147639</v>
      </c>
      <c r="GP147" s="28">
        <f t="shared" si="262"/>
        <v>640.01252577127173</v>
      </c>
      <c r="GQ147" s="28">
        <f t="shared" si="263"/>
        <v>555.99214093686396</v>
      </c>
      <c r="GR147" s="33"/>
      <c r="GV147" s="31"/>
      <c r="HB147" s="11">
        <v>7</v>
      </c>
      <c r="HD147" s="35">
        <f t="shared" si="212"/>
        <v>511</v>
      </c>
      <c r="HE147" s="35">
        <f t="shared" si="231"/>
        <v>0</v>
      </c>
      <c r="HF147" s="15">
        <f t="shared" si="264"/>
        <v>1.5406381688619939</v>
      </c>
      <c r="HG147" s="28">
        <f t="shared" si="265"/>
        <v>472.53118166104309</v>
      </c>
      <c r="HH147" s="28">
        <f t="shared" si="266"/>
        <v>306.711329896547</v>
      </c>
      <c r="HI147" s="33"/>
      <c r="HM147" s="31"/>
      <c r="HU147" s="35">
        <f t="shared" si="213"/>
        <v>0</v>
      </c>
      <c r="HV147" s="35">
        <f t="shared" si="232"/>
        <v>0</v>
      </c>
      <c r="HW147" s="15">
        <f t="shared" si="267"/>
        <v>2.376210910426504E-4</v>
      </c>
      <c r="HX147" s="28">
        <f t="shared" si="268"/>
        <v>4.7750013569055027E-4</v>
      </c>
      <c r="HY147" s="28">
        <f t="shared" si="269"/>
        <v>2.0095023282459561</v>
      </c>
      <c r="HZ147" s="33"/>
      <c r="ID147" s="31"/>
      <c r="II147" s="12"/>
      <c r="IL147" s="35">
        <f t="shared" si="214"/>
        <v>0</v>
      </c>
      <c r="IM147" s="35">
        <f t="shared" si="215"/>
        <v>3711.547765448413</v>
      </c>
      <c r="IN147" s="15">
        <f t="shared" si="270"/>
        <v>2.0443989403376133</v>
      </c>
      <c r="IO147" s="28">
        <f t="shared" si="271"/>
        <v>214.84449895790743</v>
      </c>
      <c r="IP147" s="28">
        <f t="shared" si="272"/>
        <v>105.08932220559061</v>
      </c>
      <c r="IQ147" s="33"/>
      <c r="IU147" s="31"/>
      <c r="JC147" s="35">
        <f t="shared" si="180"/>
        <v>0</v>
      </c>
      <c r="JD147" s="35">
        <f t="shared" si="216"/>
        <v>2661.9817359414806</v>
      </c>
      <c r="JE147" s="15">
        <f t="shared" si="273"/>
        <v>2.9201388888888888</v>
      </c>
      <c r="JF147" s="28">
        <f t="shared" si="274"/>
        <v>127.96875</v>
      </c>
      <c r="JG147" s="28">
        <f t="shared" si="275"/>
        <v>43.822829964328179</v>
      </c>
      <c r="JH147" s="33"/>
      <c r="JL147" s="31"/>
      <c r="JR147" s="99"/>
      <c r="JS147" s="99"/>
      <c r="JT147" s="99"/>
      <c r="JU147" s="99"/>
      <c r="JV147" s="99"/>
      <c r="JW147" s="99"/>
      <c r="JX147" s="99"/>
      <c r="JY147" s="99"/>
      <c r="JZ147" s="99"/>
      <c r="KA147" s="99"/>
      <c r="KB147" s="99"/>
      <c r="KC147" s="99"/>
      <c r="KD147" s="99"/>
      <c r="KE147" s="99"/>
      <c r="KF147" s="99"/>
      <c r="KG147" s="99"/>
      <c r="KH147" s="99"/>
      <c r="KI147" s="99"/>
      <c r="KJ147" s="99"/>
      <c r="KK147" s="99"/>
      <c r="KL147" s="99"/>
      <c r="KM147" s="99"/>
      <c r="KN147" s="99"/>
      <c r="KO147" s="99"/>
      <c r="KP147" s="99"/>
      <c r="KQ147" s="99"/>
      <c r="KR147" s="99"/>
      <c r="KS147" s="99"/>
      <c r="KT147" s="99"/>
      <c r="KU147" s="99"/>
      <c r="KV147" s="99"/>
      <c r="KW147" s="99"/>
      <c r="KX147" s="99"/>
      <c r="KY147" s="99"/>
      <c r="KZ147" s="99"/>
      <c r="LA147" s="99"/>
      <c r="LB147" s="99"/>
      <c r="LC147" s="99"/>
      <c r="LD147" s="99"/>
      <c r="LE147" s="99"/>
      <c r="LF147" s="99"/>
      <c r="LG147" s="99"/>
      <c r="LH147" s="99"/>
      <c r="LI147" s="99"/>
      <c r="LJ147" s="99"/>
      <c r="LK147" s="99"/>
      <c r="LL147" s="99"/>
      <c r="LM147" s="99"/>
      <c r="LN147" s="99"/>
      <c r="LO147" s="99"/>
      <c r="LP147" s="99"/>
      <c r="LQ147" s="99"/>
      <c r="LR147" s="99"/>
      <c r="LS147" s="99"/>
      <c r="LT147" s="99"/>
      <c r="LU147" s="99"/>
      <c r="LV147" s="99"/>
      <c r="LW147" s="99"/>
      <c r="LX147" s="99"/>
      <c r="LY147" s="99"/>
      <c r="LZ147" s="99"/>
      <c r="MA147" s="99"/>
      <c r="MB147" s="99"/>
      <c r="MC147" s="99"/>
      <c r="MD147" s="99"/>
      <c r="ME147" s="99"/>
      <c r="MF147" s="99"/>
    </row>
    <row r="148" spans="1:344" ht="17.25" customHeight="1" x14ac:dyDescent="0.25">
      <c r="A148" s="156"/>
      <c r="B148" s="81" t="s">
        <v>5</v>
      </c>
      <c r="C148" s="82">
        <v>45282</v>
      </c>
      <c r="D148" s="49">
        <v>11</v>
      </c>
      <c r="E148" s="39">
        <v>10</v>
      </c>
      <c r="F148" s="103">
        <v>71</v>
      </c>
      <c r="G148" s="89">
        <f t="shared" si="194"/>
        <v>6.31</v>
      </c>
      <c r="H148" s="35">
        <f t="shared" si="195"/>
        <v>448.01</v>
      </c>
      <c r="I148" s="39"/>
      <c r="L148" s="89">
        <f t="shared" si="196"/>
        <v>0</v>
      </c>
      <c r="M148" s="35">
        <f t="shared" si="217"/>
        <v>0</v>
      </c>
      <c r="N148" s="35">
        <f t="shared" si="218"/>
        <v>448.01</v>
      </c>
      <c r="O148" s="97">
        <f>SUM($Z148,$BH148,$AQ148,$BY148,$CP148,$DG148,$DX148,$EO148,$FF148,$FW148,$GN148)/D148</f>
        <v>0</v>
      </c>
      <c r="P148" s="150"/>
      <c r="Q148" s="132">
        <f t="shared" si="282"/>
        <v>0</v>
      </c>
      <c r="R148" s="134">
        <f t="shared" si="283"/>
        <v>0</v>
      </c>
      <c r="S148" s="136">
        <f t="shared" si="284"/>
        <v>0</v>
      </c>
      <c r="T148" s="138">
        <f t="shared" si="285"/>
        <v>0</v>
      </c>
      <c r="U148" s="144">
        <f t="shared" si="286"/>
        <v>0</v>
      </c>
      <c r="W148" s="11">
        <v>7</v>
      </c>
      <c r="X148" s="1">
        <v>0</v>
      </c>
      <c r="Y148" s="35">
        <f t="shared" si="201"/>
        <v>497</v>
      </c>
      <c r="Z148" s="35">
        <f t="shared" si="220"/>
        <v>0</v>
      </c>
      <c r="AA148" s="15">
        <f t="shared" si="233"/>
        <v>1.1396462752329073</v>
      </c>
      <c r="AB148" s="43">
        <f t="shared" si="173"/>
        <v>525.78292246544856</v>
      </c>
      <c r="AC148" s="43">
        <f t="shared" si="174"/>
        <v>461.35624174965631</v>
      </c>
      <c r="AD148" s="33"/>
      <c r="AH148" s="31"/>
      <c r="AN148" s="11">
        <v>7</v>
      </c>
      <c r="AP148" s="35">
        <f t="shared" si="202"/>
        <v>497</v>
      </c>
      <c r="AQ148" s="35">
        <f t="shared" si="221"/>
        <v>0</v>
      </c>
      <c r="AR148" s="15">
        <f t="shared" si="234"/>
        <v>1.1907356262125517</v>
      </c>
      <c r="AS148" s="28">
        <f t="shared" si="235"/>
        <v>616.80142319298625</v>
      </c>
      <c r="AT148" s="28">
        <f t="shared" si="236"/>
        <v>518.00030973700325</v>
      </c>
      <c r="AU148" s="33"/>
      <c r="AY148" s="31"/>
      <c r="BE148" s="86"/>
      <c r="BF148" s="87"/>
      <c r="BG148" s="35">
        <f t="shared" si="203"/>
        <v>0</v>
      </c>
      <c r="BH148" s="35">
        <f t="shared" si="222"/>
        <v>0</v>
      </c>
      <c r="BI148" s="15">
        <f t="shared" si="237"/>
        <v>2.213502376220056E-3</v>
      </c>
      <c r="BJ148" s="28">
        <f t="shared" si="238"/>
        <v>0.1076719935362824</v>
      </c>
      <c r="BK148" s="28">
        <f t="shared" si="239"/>
        <v>48.643269911528733</v>
      </c>
      <c r="BL148" s="33"/>
      <c r="BP148" s="31"/>
      <c r="BV148" s="11">
        <v>5</v>
      </c>
      <c r="BX148" s="35">
        <f t="shared" si="204"/>
        <v>355</v>
      </c>
      <c r="BY148" s="35">
        <f t="shared" si="223"/>
        <v>0</v>
      </c>
      <c r="BZ148" s="15">
        <f t="shared" si="240"/>
        <v>1.1172285746827917</v>
      </c>
      <c r="CA148" s="28">
        <f t="shared" si="241"/>
        <v>374.93701162595971</v>
      </c>
      <c r="CB148" s="28">
        <f t="shared" si="242"/>
        <v>335.59561590376745</v>
      </c>
      <c r="CC148" s="33"/>
      <c r="CG148" s="31"/>
      <c r="CM148" s="86"/>
      <c r="CN148" s="87"/>
      <c r="CO148" s="35">
        <f t="shared" si="205"/>
        <v>0</v>
      </c>
      <c r="CP148" s="35">
        <f t="shared" si="224"/>
        <v>0</v>
      </c>
      <c r="CQ148" s="15">
        <f t="shared" si="243"/>
        <v>0.33873462940005472</v>
      </c>
      <c r="CR148" s="28">
        <f t="shared" si="244"/>
        <v>125.57945219525205</v>
      </c>
      <c r="CS148" s="28">
        <f t="shared" si="245"/>
        <v>370.73107174684327</v>
      </c>
      <c r="CT148" s="33"/>
      <c r="CX148" s="31"/>
      <c r="DD148" s="11">
        <v>4.5</v>
      </c>
      <c r="DF148" s="35">
        <f t="shared" si="206"/>
        <v>319.5</v>
      </c>
      <c r="DG148" s="35">
        <f t="shared" si="225"/>
        <v>0</v>
      </c>
      <c r="DH148" s="15">
        <f t="shared" si="246"/>
        <v>1.0685193763467862</v>
      </c>
      <c r="DI148" s="28">
        <f t="shared" si="247"/>
        <v>446.4637785088114</v>
      </c>
      <c r="DJ148" s="28">
        <f t="shared" si="248"/>
        <v>417.83404998723427</v>
      </c>
      <c r="DK148" s="33"/>
      <c r="DO148" s="31"/>
      <c r="DU148" s="11">
        <v>5.6</v>
      </c>
      <c r="DW148" s="35">
        <f t="shared" si="207"/>
        <v>397.59999999999997</v>
      </c>
      <c r="DX148" s="35">
        <f t="shared" si="226"/>
        <v>0</v>
      </c>
      <c r="DY148" s="15">
        <f t="shared" si="249"/>
        <v>1.1069976002662931</v>
      </c>
      <c r="DZ148" s="28">
        <f t="shared" si="250"/>
        <v>466.57366362416883</v>
      </c>
      <c r="EA148" s="28">
        <f t="shared" si="251"/>
        <v>421.4766712339146</v>
      </c>
      <c r="EB148" s="33"/>
      <c r="EF148" s="31"/>
      <c r="EL148" s="11">
        <v>5</v>
      </c>
      <c r="EN148" s="35">
        <f t="shared" si="208"/>
        <v>355</v>
      </c>
      <c r="EO148" s="35">
        <f t="shared" si="227"/>
        <v>0</v>
      </c>
      <c r="EP148" s="15">
        <f t="shared" si="252"/>
        <v>1.0767304925888246</v>
      </c>
      <c r="EQ148" s="28">
        <f t="shared" si="253"/>
        <v>523.65225242536587</v>
      </c>
      <c r="ER148" s="28">
        <f t="shared" si="254"/>
        <v>486.33549066334012</v>
      </c>
      <c r="ES148" s="33"/>
      <c r="EW148" s="31"/>
      <c r="FC148" s="11">
        <v>8.5</v>
      </c>
      <c r="FE148" s="35">
        <f t="shared" si="209"/>
        <v>603.5</v>
      </c>
      <c r="FF148" s="35">
        <f t="shared" si="228"/>
        <v>0</v>
      </c>
      <c r="FG148" s="15">
        <f t="shared" si="255"/>
        <v>1.1328008656782536</v>
      </c>
      <c r="FH148" s="28">
        <f t="shared" si="256"/>
        <v>494.99678689935774</v>
      </c>
      <c r="FI148" s="28">
        <f t="shared" si="257"/>
        <v>436.96716863204654</v>
      </c>
      <c r="FJ148" s="33"/>
      <c r="FN148" s="31"/>
      <c r="FT148" s="11">
        <v>7</v>
      </c>
      <c r="FV148" s="35">
        <f t="shared" si="210"/>
        <v>497</v>
      </c>
      <c r="FW148" s="35">
        <f t="shared" si="229"/>
        <v>0</v>
      </c>
      <c r="FX148" s="15">
        <f t="shared" si="258"/>
        <v>1.1483205067256039</v>
      </c>
      <c r="FY148" s="28">
        <f t="shared" si="259"/>
        <v>583.69262947782249</v>
      </c>
      <c r="FZ148" s="28">
        <f t="shared" si="260"/>
        <v>508.30114594243537</v>
      </c>
      <c r="GA148" s="33"/>
      <c r="GE148" s="31"/>
      <c r="GK148" s="11">
        <v>7.19</v>
      </c>
      <c r="GM148" s="35">
        <f t="shared" si="211"/>
        <v>510.49</v>
      </c>
      <c r="GN148" s="35">
        <f t="shared" si="230"/>
        <v>0</v>
      </c>
      <c r="GO148" s="15">
        <f t="shared" si="261"/>
        <v>1.0990819021095761</v>
      </c>
      <c r="GP148" s="28">
        <f t="shared" si="262"/>
        <v>607.63189432845388</v>
      </c>
      <c r="GQ148" s="28">
        <f t="shared" si="263"/>
        <v>552.85406225156305</v>
      </c>
      <c r="GR148" s="33"/>
      <c r="GV148" s="31"/>
      <c r="HD148" s="35">
        <f t="shared" si="212"/>
        <v>0</v>
      </c>
      <c r="HE148" s="35">
        <f t="shared" si="231"/>
        <v>0</v>
      </c>
      <c r="HF148" s="15">
        <f t="shared" si="264"/>
        <v>1.2410696360277174</v>
      </c>
      <c r="HG148" s="28">
        <f t="shared" si="265"/>
        <v>354.39838624578232</v>
      </c>
      <c r="HH148" s="28">
        <f t="shared" si="266"/>
        <v>285.55882438644028</v>
      </c>
      <c r="HI148" s="33"/>
      <c r="HM148" s="31"/>
      <c r="HU148" s="35">
        <f t="shared" si="213"/>
        <v>0</v>
      </c>
      <c r="HV148" s="35">
        <f t="shared" si="232"/>
        <v>0</v>
      </c>
      <c r="HW148" s="15">
        <f t="shared" si="267"/>
        <v>1.9141699000657948E-4</v>
      </c>
      <c r="HX148" s="28">
        <f t="shared" si="268"/>
        <v>3.5812510176791272E-4</v>
      </c>
      <c r="HY148" s="28">
        <f t="shared" si="269"/>
        <v>1.8709159607807178</v>
      </c>
      <c r="HZ148" s="33"/>
      <c r="ID148" s="31"/>
      <c r="II148" s="12"/>
      <c r="IL148" s="35">
        <f t="shared" si="214"/>
        <v>0</v>
      </c>
      <c r="IM148" s="35">
        <f t="shared" si="215"/>
        <v>3536.0778117467244</v>
      </c>
      <c r="IN148" s="15">
        <f t="shared" si="270"/>
        <v>1.646876924160855</v>
      </c>
      <c r="IO148" s="28">
        <f t="shared" si="271"/>
        <v>161.13337421843056</v>
      </c>
      <c r="IP148" s="28">
        <f t="shared" si="272"/>
        <v>97.841782743136079</v>
      </c>
      <c r="IQ148" s="33"/>
      <c r="IU148" s="31"/>
      <c r="JC148" s="35">
        <f t="shared" si="180"/>
        <v>0</v>
      </c>
      <c r="JD148" s="35">
        <f t="shared" si="216"/>
        <v>2356.9893714034247</v>
      </c>
      <c r="JE148" s="15">
        <f t="shared" si="273"/>
        <v>2.3523341049382718</v>
      </c>
      <c r="JF148" s="28">
        <f t="shared" si="274"/>
        <v>95.9765625</v>
      </c>
      <c r="JG148" s="28">
        <f t="shared" si="275"/>
        <v>40.800565828857266</v>
      </c>
      <c r="JH148" s="33"/>
      <c r="JL148" s="31"/>
      <c r="JR148" s="99"/>
      <c r="JS148" s="99"/>
      <c r="JT148" s="99"/>
      <c r="JU148" s="99"/>
      <c r="JV148" s="99"/>
      <c r="JW148" s="99"/>
      <c r="JX148" s="99"/>
      <c r="JY148" s="99"/>
      <c r="JZ148" s="99"/>
      <c r="KA148" s="99"/>
      <c r="KB148" s="99"/>
      <c r="KC148" s="99"/>
      <c r="KD148" s="99"/>
      <c r="KE148" s="99"/>
      <c r="KF148" s="99"/>
      <c r="KG148" s="99"/>
      <c r="KH148" s="99"/>
      <c r="KI148" s="99"/>
      <c r="KJ148" s="99"/>
      <c r="KK148" s="99"/>
      <c r="KL148" s="99"/>
      <c r="KM148" s="99"/>
      <c r="KN148" s="99"/>
      <c r="KO148" s="99"/>
      <c r="KP148" s="99"/>
      <c r="KQ148" s="99"/>
      <c r="KR148" s="99"/>
      <c r="KS148" s="99"/>
      <c r="KT148" s="99"/>
      <c r="KU148" s="99"/>
      <c r="KV148" s="99"/>
      <c r="KW148" s="99"/>
      <c r="KX148" s="99"/>
      <c r="KY148" s="99"/>
      <c r="KZ148" s="99"/>
      <c r="LA148" s="99"/>
      <c r="LB148" s="99"/>
      <c r="LC148" s="99"/>
      <c r="LD148" s="99"/>
      <c r="LE148" s="99"/>
      <c r="LF148" s="99"/>
      <c r="LG148" s="99"/>
      <c r="LH148" s="99"/>
      <c r="LI148" s="99"/>
      <c r="LJ148" s="99"/>
      <c r="LK148" s="99"/>
      <c r="LL148" s="99"/>
      <c r="LM148" s="99"/>
      <c r="LN148" s="99"/>
      <c r="LO148" s="99"/>
      <c r="LP148" s="99"/>
      <c r="LQ148" s="99"/>
      <c r="LR148" s="99"/>
      <c r="LS148" s="99"/>
      <c r="LT148" s="99"/>
      <c r="LU148" s="99"/>
      <c r="LV148" s="99"/>
      <c r="LW148" s="99"/>
      <c r="LX148" s="99"/>
      <c r="LY148" s="99"/>
      <c r="LZ148" s="99"/>
      <c r="MA148" s="99"/>
      <c r="MB148" s="99"/>
      <c r="MC148" s="99"/>
      <c r="MD148" s="99"/>
      <c r="ME148" s="99"/>
      <c r="MF148" s="99"/>
    </row>
    <row r="149" spans="1:344" ht="17.25" customHeight="1" x14ac:dyDescent="0.25">
      <c r="A149" s="156"/>
      <c r="B149" s="90" t="s">
        <v>6</v>
      </c>
      <c r="C149" s="91">
        <v>45283</v>
      </c>
      <c r="D149" s="49">
        <v>10</v>
      </c>
      <c r="E149" s="39">
        <v>10</v>
      </c>
      <c r="F149" s="103">
        <v>100</v>
      </c>
      <c r="G149" s="89">
        <f t="shared" si="194"/>
        <v>8.4333333333333336</v>
      </c>
      <c r="H149" s="35">
        <f t="shared" si="195"/>
        <v>843.33333333333337</v>
      </c>
      <c r="I149" s="39"/>
      <c r="L149" s="89">
        <f t="shared" si="196"/>
        <v>0</v>
      </c>
      <c r="M149" s="35">
        <f t="shared" si="217"/>
        <v>0</v>
      </c>
      <c r="N149" s="35">
        <f t="shared" si="218"/>
        <v>843.33333333333337</v>
      </c>
      <c r="O149" s="97">
        <f>SUM($Z149,$BH149,$AQ149,$BY149,$CP149,$DG149,$DX149,$EO149,$FF149,$FW149,$GN149)/D149</f>
        <v>0</v>
      </c>
      <c r="P149" s="150"/>
      <c r="Q149" s="132">
        <f t="shared" ref="Q149:Q150" si="287">SUM(AD149+AI149+AU149+AZ149+BL149+BQ149+CC149+CH149+CT149+CY149+DK149+DP149+EB149+EG149+ES149+EX149+FJ149+FO149+GA149+GF149+GR149+GW149)/10</f>
        <v>0</v>
      </c>
      <c r="R149" s="134">
        <f t="shared" ref="R149:R150" si="288">SUM(AE149+AJ149+AV149+BA149+BM149+BR149+CD149+CI149+CU149+CZ149+DL149+DQ149+EC149+EH149+ET149+EY149+FK149+FP149+GB149+GG149+GS149+GX149)/10</f>
        <v>0</v>
      </c>
      <c r="S149" s="136">
        <f t="shared" ref="S149:S150" si="289">SUM(AF149+AK149+AW149+BB149+BN149+BS149+CE149+CJ149+CV149+DA149+DM149+DR149+ED149+EI149+EU149+EZ149+FL149+FQ149+GC149+GH149+GT149+GY149)/10</f>
        <v>0</v>
      </c>
      <c r="T149" s="138">
        <f t="shared" ref="T149:T150" si="290">SUM(AG149+AL149+AX149+BC149+BO149+BT149+CF149+CK149+CW149+DB149+DN149+DS149+EE149+EJ149+EV149+FA149+FM149+FR149+GD149+GI149+GU149+GZ149)/10</f>
        <v>0</v>
      </c>
      <c r="U149" s="144">
        <f t="shared" ref="U149:U150" si="291">SUM(AH149+AM149+AY149+BD149+BP149+BU149+CG149+CL149+CX149+DC149+DO149+DT149+EF149+EK149+EW149+FB149+FN149+FS149+GE149+GJ149+GV149+HA149)/10</f>
        <v>0</v>
      </c>
      <c r="W149" s="11">
        <v>10</v>
      </c>
      <c r="X149" s="1">
        <v>0</v>
      </c>
      <c r="Y149" s="35">
        <f t="shared" si="201"/>
        <v>1000</v>
      </c>
      <c r="Z149" s="35">
        <f t="shared" si="220"/>
        <v>0</v>
      </c>
      <c r="AA149" s="15">
        <f t="shared" si="233"/>
        <v>1.2925414424136423</v>
      </c>
      <c r="AB149" s="43">
        <f t="shared" si="173"/>
        <v>644.33719184908637</v>
      </c>
      <c r="AC149" s="43">
        <f t="shared" si="174"/>
        <v>498.50408714623171</v>
      </c>
      <c r="AD149" s="33"/>
      <c r="AH149" s="31"/>
      <c r="AN149" s="11">
        <v>7.2</v>
      </c>
      <c r="AP149" s="35">
        <f t="shared" si="202"/>
        <v>720</v>
      </c>
      <c r="AQ149" s="35">
        <f t="shared" si="221"/>
        <v>0</v>
      </c>
      <c r="AR149" s="15">
        <f t="shared" si="234"/>
        <v>1.2080526936097939</v>
      </c>
      <c r="AS149" s="28">
        <f t="shared" si="235"/>
        <v>642.60106739473963</v>
      </c>
      <c r="AT149" s="28">
        <f t="shared" si="236"/>
        <v>531.93132285858917</v>
      </c>
      <c r="AU149" s="33"/>
      <c r="AY149" s="31"/>
      <c r="BE149" s="86"/>
      <c r="BF149" s="87"/>
      <c r="BG149" s="35">
        <f t="shared" si="203"/>
        <v>0</v>
      </c>
      <c r="BH149" s="35">
        <f t="shared" si="222"/>
        <v>0</v>
      </c>
      <c r="BI149" s="15">
        <f t="shared" si="237"/>
        <v>1.7830991363994892E-3</v>
      </c>
      <c r="BJ149" s="28">
        <f t="shared" si="238"/>
        <v>8.0753995152211794E-2</v>
      </c>
      <c r="BK149" s="28">
        <f t="shared" si="239"/>
        <v>45.288561641768133</v>
      </c>
      <c r="BL149" s="33"/>
      <c r="BP149" s="31"/>
      <c r="BV149" s="11">
        <v>10</v>
      </c>
      <c r="BX149" s="35">
        <f t="shared" si="204"/>
        <v>1000</v>
      </c>
      <c r="BY149" s="35">
        <f t="shared" si="223"/>
        <v>0</v>
      </c>
      <c r="BZ149" s="15">
        <f t="shared" si="240"/>
        <v>1.3927100910200818</v>
      </c>
      <c r="CA149" s="28">
        <f t="shared" si="241"/>
        <v>531.20275871946978</v>
      </c>
      <c r="CB149" s="28">
        <f t="shared" si="242"/>
        <v>381.41660791040414</v>
      </c>
      <c r="CC149" s="33"/>
      <c r="CG149" s="31"/>
      <c r="CO149" s="35">
        <f t="shared" si="205"/>
        <v>0</v>
      </c>
      <c r="CP149" s="35">
        <f t="shared" si="224"/>
        <v>0</v>
      </c>
      <c r="CQ149" s="15">
        <f t="shared" si="243"/>
        <v>0.2728695625722663</v>
      </c>
      <c r="CR149" s="28">
        <f t="shared" si="244"/>
        <v>94.184589146439038</v>
      </c>
      <c r="CS149" s="28">
        <f t="shared" si="245"/>
        <v>345.16341162637133</v>
      </c>
      <c r="CT149" s="33"/>
      <c r="CX149" s="31"/>
      <c r="DD149" s="11">
        <v>8.1999999999999993</v>
      </c>
      <c r="DF149" s="35">
        <f t="shared" si="206"/>
        <v>819.99999999999989</v>
      </c>
      <c r="DG149" s="35">
        <f t="shared" si="225"/>
        <v>0</v>
      </c>
      <c r="DH149" s="15">
        <f t="shared" si="246"/>
        <v>1.2115902750232117</v>
      </c>
      <c r="DI149" s="28">
        <f t="shared" si="247"/>
        <v>539.84783388160849</v>
      </c>
      <c r="DJ149" s="28">
        <f t="shared" si="248"/>
        <v>445.56963274673535</v>
      </c>
      <c r="DK149" s="33"/>
      <c r="DO149" s="31"/>
      <c r="DU149" s="11">
        <v>8</v>
      </c>
      <c r="DW149" s="35">
        <f t="shared" si="207"/>
        <v>800</v>
      </c>
      <c r="DX149" s="35">
        <f t="shared" si="226"/>
        <v>0</v>
      </c>
      <c r="DY149" s="15">
        <f t="shared" si="249"/>
        <v>1.2286700122814309</v>
      </c>
      <c r="DZ149" s="28">
        <f t="shared" si="250"/>
        <v>549.93024771812657</v>
      </c>
      <c r="EA149" s="28">
        <f t="shared" si="251"/>
        <v>447.5817283901963</v>
      </c>
      <c r="EB149" s="33"/>
      <c r="EF149" s="31"/>
      <c r="EL149" s="11">
        <v>6</v>
      </c>
      <c r="EN149" s="35">
        <f t="shared" si="208"/>
        <v>600</v>
      </c>
      <c r="EO149" s="35">
        <f t="shared" si="227"/>
        <v>0</v>
      </c>
      <c r="EP149" s="15">
        <f t="shared" si="252"/>
        <v>1.0982745459531504</v>
      </c>
      <c r="EQ149" s="28">
        <f t="shared" si="253"/>
        <v>542.73918931902438</v>
      </c>
      <c r="ER149" s="28">
        <f t="shared" si="254"/>
        <v>494.17442234173041</v>
      </c>
      <c r="ES149" s="33"/>
      <c r="EW149" s="31"/>
      <c r="FC149" s="11">
        <v>9</v>
      </c>
      <c r="FE149" s="35">
        <f t="shared" si="209"/>
        <v>900</v>
      </c>
      <c r="FF149" s="35">
        <f t="shared" si="228"/>
        <v>0</v>
      </c>
      <c r="FG149" s="15">
        <f t="shared" si="255"/>
        <v>1.2715866835192953</v>
      </c>
      <c r="FH149" s="28">
        <f t="shared" si="256"/>
        <v>596.24759017451834</v>
      </c>
      <c r="FI149" s="28">
        <f t="shared" si="257"/>
        <v>468.90046734707784</v>
      </c>
      <c r="FJ149" s="33"/>
      <c r="FN149" s="31"/>
      <c r="FT149" s="11">
        <v>8</v>
      </c>
      <c r="FV149" s="35">
        <f t="shared" si="210"/>
        <v>800</v>
      </c>
      <c r="FW149" s="35">
        <f t="shared" si="229"/>
        <v>0</v>
      </c>
      <c r="FX149" s="15">
        <f t="shared" si="258"/>
        <v>1.2069405281787966</v>
      </c>
      <c r="FY149" s="28">
        <f t="shared" si="259"/>
        <v>637.76947210836693</v>
      </c>
      <c r="FZ149" s="28">
        <f t="shared" si="260"/>
        <v>528.41830829123296</v>
      </c>
      <c r="GA149" s="33"/>
      <c r="GE149" s="31"/>
      <c r="GK149" s="11">
        <v>9.5</v>
      </c>
      <c r="GM149" s="35">
        <f t="shared" si="211"/>
        <v>950</v>
      </c>
      <c r="GN149" s="35">
        <f t="shared" si="230"/>
        <v>0</v>
      </c>
      <c r="GO149" s="15">
        <f t="shared" si="261"/>
        <v>1.1947122125317984</v>
      </c>
      <c r="GP149" s="28">
        <f t="shared" si="262"/>
        <v>693.22392074634035</v>
      </c>
      <c r="GQ149" s="28">
        <f t="shared" si="263"/>
        <v>580.24343726869665</v>
      </c>
      <c r="GR149" s="33"/>
      <c r="GV149" s="31"/>
      <c r="HD149" s="35">
        <f t="shared" si="212"/>
        <v>0</v>
      </c>
      <c r="HE149" s="35">
        <f t="shared" si="231"/>
        <v>0</v>
      </c>
      <c r="HF149" s="15">
        <f t="shared" si="264"/>
        <v>0.999750540133439</v>
      </c>
      <c r="HG149" s="28">
        <f t="shared" si="265"/>
        <v>265.79878968433673</v>
      </c>
      <c r="HH149" s="28">
        <f t="shared" si="266"/>
        <v>265.86511235978924</v>
      </c>
      <c r="HI149" s="33"/>
      <c r="HM149" s="31"/>
      <c r="HU149" s="35">
        <f t="shared" si="213"/>
        <v>0</v>
      </c>
      <c r="HV149" s="35">
        <f t="shared" si="232"/>
        <v>0</v>
      </c>
      <c r="HW149" s="15">
        <f t="shared" si="267"/>
        <v>1.5419701972752239E-4</v>
      </c>
      <c r="HX149" s="28">
        <f t="shared" si="268"/>
        <v>2.6859382632593457E-4</v>
      </c>
      <c r="HY149" s="28">
        <f t="shared" si="269"/>
        <v>1.7418872738303233</v>
      </c>
      <c r="HZ149" s="33"/>
      <c r="ID149" s="31"/>
      <c r="II149" s="12"/>
      <c r="IL149" s="35">
        <f t="shared" si="214"/>
        <v>0</v>
      </c>
      <c r="IM149" s="35">
        <f t="shared" si="215"/>
        <v>5036.0722047029594</v>
      </c>
      <c r="IN149" s="15">
        <f t="shared" si="270"/>
        <v>1.326650855574022</v>
      </c>
      <c r="IO149" s="28">
        <f t="shared" si="271"/>
        <v>120.85003066382292</v>
      </c>
      <c r="IP149" s="28">
        <f t="shared" si="272"/>
        <v>91.094073588437041</v>
      </c>
      <c r="IQ149" s="33"/>
      <c r="IU149" s="31"/>
      <c r="JC149" s="35">
        <f t="shared" si="180"/>
        <v>0</v>
      </c>
      <c r="JD149" s="35">
        <f t="shared" si="216"/>
        <v>2103.3740234053294</v>
      </c>
      <c r="JE149" s="15">
        <f t="shared" si="273"/>
        <v>1.8949358067558304</v>
      </c>
      <c r="JF149" s="28">
        <f t="shared" si="274"/>
        <v>71.982421875</v>
      </c>
      <c r="JG149" s="28">
        <f t="shared" si="275"/>
        <v>37.986733702729175</v>
      </c>
      <c r="JH149" s="33"/>
      <c r="JL149" s="31"/>
      <c r="JR149" s="99"/>
      <c r="JS149" s="99"/>
      <c r="JT149" s="99"/>
      <c r="JU149" s="99"/>
      <c r="JV149" s="99"/>
      <c r="JW149" s="99"/>
      <c r="JX149" s="99"/>
      <c r="JY149" s="99"/>
      <c r="JZ149" s="99"/>
      <c r="KA149" s="99"/>
      <c r="KB149" s="99"/>
      <c r="KC149" s="99"/>
      <c r="KD149" s="99"/>
      <c r="KE149" s="99"/>
      <c r="KF149" s="99"/>
      <c r="KG149" s="99"/>
      <c r="KH149" s="99"/>
      <c r="KI149" s="99"/>
      <c r="KJ149" s="99"/>
      <c r="KK149" s="99"/>
      <c r="KL149" s="99"/>
      <c r="KM149" s="99"/>
      <c r="KN149" s="99"/>
      <c r="KO149" s="99"/>
      <c r="KP149" s="99"/>
      <c r="KQ149" s="99"/>
      <c r="KR149" s="99"/>
      <c r="KS149" s="99"/>
      <c r="KT149" s="99"/>
      <c r="KU149" s="99"/>
      <c r="KV149" s="99"/>
      <c r="KW149" s="99"/>
      <c r="KX149" s="99"/>
      <c r="KY149" s="99"/>
      <c r="KZ149" s="99"/>
      <c r="LA149" s="99"/>
      <c r="LB149" s="99"/>
      <c r="LC149" s="99"/>
      <c r="LD149" s="99"/>
      <c r="LE149" s="99"/>
      <c r="LF149" s="99"/>
      <c r="LG149" s="99"/>
      <c r="LH149" s="99"/>
      <c r="LI149" s="99"/>
      <c r="LJ149" s="99"/>
      <c r="LK149" s="99"/>
      <c r="LL149" s="99"/>
      <c r="LM149" s="99"/>
      <c r="LN149" s="99"/>
      <c r="LO149" s="99"/>
      <c r="LP149" s="99"/>
      <c r="LQ149" s="99"/>
      <c r="LR149" s="99"/>
      <c r="LS149" s="99"/>
      <c r="LT149" s="99"/>
      <c r="LU149" s="99"/>
      <c r="LV149" s="99"/>
      <c r="LW149" s="99"/>
      <c r="LX149" s="99"/>
      <c r="LY149" s="99"/>
      <c r="LZ149" s="99"/>
      <c r="MA149" s="99"/>
      <c r="MB149" s="99"/>
      <c r="MC149" s="99"/>
      <c r="MD149" s="99"/>
      <c r="ME149" s="99"/>
      <c r="MF149" s="99"/>
    </row>
    <row r="150" spans="1:344" ht="17.25" customHeight="1" x14ac:dyDescent="0.25">
      <c r="A150" s="157"/>
      <c r="B150" s="83" t="s">
        <v>7</v>
      </c>
      <c r="C150" s="84">
        <v>45284</v>
      </c>
      <c r="D150" s="51"/>
      <c r="E150" s="48"/>
      <c r="F150" s="104"/>
      <c r="G150" s="37">
        <f t="shared" si="194"/>
        <v>0</v>
      </c>
      <c r="H150" s="26">
        <f t="shared" si="195"/>
        <v>0</v>
      </c>
      <c r="I150" s="48"/>
      <c r="J150" s="48"/>
      <c r="K150" s="104"/>
      <c r="L150" s="37">
        <f t="shared" si="196"/>
        <v>0</v>
      </c>
      <c r="M150" s="26">
        <f t="shared" si="217"/>
        <v>0</v>
      </c>
      <c r="N150" s="26">
        <f t="shared" si="218"/>
        <v>0</v>
      </c>
      <c r="O150" s="98" t="e">
        <f>SUM($Z150,$BH150,$AQ150,$BY150,$CP150,$DG150,$DX150,$EO150,$FF150,$FW150,$GN150)/D150</f>
        <v>#DIV/0!</v>
      </c>
      <c r="P150" s="151"/>
      <c r="Q150" s="139">
        <f t="shared" si="287"/>
        <v>0</v>
      </c>
      <c r="R150" s="140">
        <f t="shared" si="288"/>
        <v>0</v>
      </c>
      <c r="S150" s="141">
        <f t="shared" si="289"/>
        <v>0</v>
      </c>
      <c r="T150" s="142">
        <f t="shared" si="290"/>
        <v>0</v>
      </c>
      <c r="U150" s="145">
        <f t="shared" si="291"/>
        <v>0</v>
      </c>
      <c r="V150" s="23"/>
      <c r="W150" s="13">
        <v>0</v>
      </c>
      <c r="X150" s="2">
        <v>0</v>
      </c>
      <c r="Y150" s="26">
        <f t="shared" si="201"/>
        <v>0</v>
      </c>
      <c r="Z150" s="26">
        <f t="shared" si="220"/>
        <v>0</v>
      </c>
      <c r="AA150" s="16">
        <f t="shared" si="233"/>
        <v>1.0412139397221007</v>
      </c>
      <c r="AB150" s="44">
        <f t="shared" si="173"/>
        <v>483.25289388681477</v>
      </c>
      <c r="AC150" s="44">
        <f t="shared" si="174"/>
        <v>464.1244949292502</v>
      </c>
      <c r="AD150" s="34"/>
      <c r="AE150" s="4"/>
      <c r="AF150" s="5"/>
      <c r="AG150" s="6"/>
      <c r="AH150" s="32"/>
      <c r="AI150" s="3"/>
      <c r="AJ150" s="4"/>
      <c r="AK150" s="5"/>
      <c r="AL150" s="6"/>
      <c r="AM150" s="14"/>
      <c r="AN150" s="13"/>
      <c r="AO150" s="2"/>
      <c r="AP150" s="26">
        <f t="shared" si="202"/>
        <v>0</v>
      </c>
      <c r="AQ150" s="26">
        <f t="shared" si="221"/>
        <v>0</v>
      </c>
      <c r="AR150" s="16">
        <f t="shared" si="234"/>
        <v>0.973153558741223</v>
      </c>
      <c r="AS150" s="29">
        <f t="shared" si="235"/>
        <v>481.95080054605472</v>
      </c>
      <c r="AT150" s="29">
        <f t="shared" si="236"/>
        <v>495.24640404075541</v>
      </c>
      <c r="AU150" s="34"/>
      <c r="AV150" s="4"/>
      <c r="AW150" s="5"/>
      <c r="AX150" s="6"/>
      <c r="AY150" s="32"/>
      <c r="AZ150" s="3"/>
      <c r="BA150" s="4"/>
      <c r="BB150" s="5"/>
      <c r="BC150" s="6"/>
      <c r="BD150" s="14"/>
      <c r="BE150" s="95"/>
      <c r="BF150" s="96"/>
      <c r="BG150" s="26">
        <f t="shared" si="203"/>
        <v>0</v>
      </c>
      <c r="BH150" s="26">
        <f t="shared" si="222"/>
        <v>0</v>
      </c>
      <c r="BI150" s="16">
        <f t="shared" si="237"/>
        <v>1.4363854154329219E-3</v>
      </c>
      <c r="BJ150" s="29">
        <f t="shared" si="238"/>
        <v>6.0565496364158845E-2</v>
      </c>
      <c r="BK150" s="29">
        <f t="shared" si="239"/>
        <v>42.165212563025506</v>
      </c>
      <c r="BL150" s="34"/>
      <c r="BM150" s="4"/>
      <c r="BN150" s="5"/>
      <c r="BO150" s="6"/>
      <c r="BP150" s="32"/>
      <c r="BQ150" s="3"/>
      <c r="BR150" s="4"/>
      <c r="BS150" s="5"/>
      <c r="BT150" s="6"/>
      <c r="BU150" s="14"/>
      <c r="BV150" s="13"/>
      <c r="BW150" s="2"/>
      <c r="BX150" s="26">
        <f t="shared" si="204"/>
        <v>0</v>
      </c>
      <c r="BY150" s="26">
        <f t="shared" si="223"/>
        <v>0</v>
      </c>
      <c r="BZ150" s="16">
        <f t="shared" si="240"/>
        <v>1.1219053510995103</v>
      </c>
      <c r="CA150" s="29">
        <f t="shared" si="241"/>
        <v>398.40206903960234</v>
      </c>
      <c r="CB150" s="29">
        <f t="shared" si="242"/>
        <v>355.11201426141076</v>
      </c>
      <c r="CC150" s="34"/>
      <c r="CD150" s="4"/>
      <c r="CE150" s="5"/>
      <c r="CF150" s="6"/>
      <c r="CG150" s="32"/>
      <c r="CH150" s="3"/>
      <c r="CI150" s="4"/>
      <c r="CJ150" s="5"/>
      <c r="CK150" s="6"/>
      <c r="CL150" s="14"/>
      <c r="CM150" s="13"/>
      <c r="CN150" s="2"/>
      <c r="CO150" s="26">
        <f t="shared" si="205"/>
        <v>0</v>
      </c>
      <c r="CP150" s="26">
        <f t="shared" si="224"/>
        <v>0</v>
      </c>
      <c r="CQ150" s="16">
        <f t="shared" si="243"/>
        <v>0.21981159207210338</v>
      </c>
      <c r="CR150" s="29">
        <f t="shared" si="244"/>
        <v>70.638441859829271</v>
      </c>
      <c r="CS150" s="29">
        <f t="shared" si="245"/>
        <v>321.35903841075952</v>
      </c>
      <c r="CT150" s="34"/>
      <c r="CU150" s="4"/>
      <c r="CV150" s="5"/>
      <c r="CW150" s="6"/>
      <c r="CX150" s="32"/>
      <c r="CY150" s="3"/>
      <c r="CZ150" s="4"/>
      <c r="DA150" s="5"/>
      <c r="DB150" s="6"/>
      <c r="DC150" s="14"/>
      <c r="DD150" s="13"/>
      <c r="DE150" s="2"/>
      <c r="DF150" s="26">
        <f t="shared" si="206"/>
        <v>0</v>
      </c>
      <c r="DG150" s="26">
        <f t="shared" si="225"/>
        <v>0</v>
      </c>
      <c r="DH150" s="16">
        <f t="shared" si="246"/>
        <v>0.97600327710203161</v>
      </c>
      <c r="DI150" s="29">
        <f t="shared" si="247"/>
        <v>404.88587541120637</v>
      </c>
      <c r="DJ150" s="29">
        <f t="shared" si="248"/>
        <v>414.84069255730532</v>
      </c>
      <c r="DK150" s="34"/>
      <c r="DL150" s="4"/>
      <c r="DM150" s="5"/>
      <c r="DN150" s="6"/>
      <c r="DO150" s="32"/>
      <c r="DP150" s="3"/>
      <c r="DQ150" s="4"/>
      <c r="DR150" s="5"/>
      <c r="DS150" s="6"/>
      <c r="DT150" s="14"/>
      <c r="DU150" s="13"/>
      <c r="DV150" s="2"/>
      <c r="DW150" s="26">
        <f t="shared" si="207"/>
        <v>0</v>
      </c>
      <c r="DX150" s="26">
        <f t="shared" si="226"/>
        <v>0</v>
      </c>
      <c r="DY150" s="16">
        <f t="shared" si="249"/>
        <v>0.98976195433781944</v>
      </c>
      <c r="DZ150" s="29">
        <f t="shared" si="250"/>
        <v>412.44768578859492</v>
      </c>
      <c r="EA150" s="29">
        <f t="shared" si="251"/>
        <v>416.71402298397584</v>
      </c>
      <c r="EB150" s="34"/>
      <c r="EC150" s="4"/>
      <c r="ED150" s="5"/>
      <c r="EE150" s="6"/>
      <c r="EF150" s="32"/>
      <c r="EG150" s="3"/>
      <c r="EH150" s="4"/>
      <c r="EI150" s="5"/>
      <c r="EJ150" s="6"/>
      <c r="EK150" s="14"/>
      <c r="EL150" s="13"/>
      <c r="EM150" s="2"/>
      <c r="EN150" s="26">
        <f t="shared" si="208"/>
        <v>0</v>
      </c>
      <c r="EO150" s="26">
        <f t="shared" si="227"/>
        <v>0</v>
      </c>
      <c r="EP150" s="16">
        <f t="shared" si="252"/>
        <v>0.8847211620178157</v>
      </c>
      <c r="EQ150" s="29">
        <f t="shared" si="253"/>
        <v>407.05439198926831</v>
      </c>
      <c r="ER150" s="29">
        <f t="shared" si="254"/>
        <v>460.09342769747315</v>
      </c>
      <c r="ES150" s="34"/>
      <c r="ET150" s="4"/>
      <c r="EU150" s="5"/>
      <c r="EV150" s="6"/>
      <c r="EW150" s="32"/>
      <c r="EX150" s="3"/>
      <c r="EY150" s="4"/>
      <c r="EZ150" s="5"/>
      <c r="FA150" s="6"/>
      <c r="FB150" s="14"/>
      <c r="FC150" s="13"/>
      <c r="FD150" s="2"/>
      <c r="FE150" s="26">
        <f t="shared" si="209"/>
        <v>0</v>
      </c>
      <c r="FF150" s="26">
        <f t="shared" si="228"/>
        <v>0</v>
      </c>
      <c r="FG150" s="16">
        <f t="shared" si="255"/>
        <v>1.0243337172794325</v>
      </c>
      <c r="FH150" s="29">
        <f t="shared" si="256"/>
        <v>447.18569263088875</v>
      </c>
      <c r="FI150" s="29">
        <f t="shared" si="257"/>
        <v>436.56250408176209</v>
      </c>
      <c r="FJ150" s="34"/>
      <c r="FK150" s="4"/>
      <c r="FL150" s="5"/>
      <c r="FM150" s="6"/>
      <c r="FN150" s="32"/>
      <c r="FO150" s="3"/>
      <c r="FP150" s="4"/>
      <c r="FQ150" s="5"/>
      <c r="FR150" s="6"/>
      <c r="FS150" s="14"/>
      <c r="FT150" s="13"/>
      <c r="FU150" s="2"/>
      <c r="FV150" s="26">
        <f t="shared" si="210"/>
        <v>0</v>
      </c>
      <c r="FW150" s="26">
        <f t="shared" si="229"/>
        <v>0</v>
      </c>
      <c r="FX150" s="16">
        <f t="shared" si="258"/>
        <v>0.97225764769958622</v>
      </c>
      <c r="FY150" s="29">
        <f t="shared" si="259"/>
        <v>478.32710408127519</v>
      </c>
      <c r="FZ150" s="29">
        <f t="shared" si="260"/>
        <v>491.97566634011343</v>
      </c>
      <c r="GA150" s="34"/>
      <c r="GB150" s="4"/>
      <c r="GC150" s="5"/>
      <c r="GD150" s="6"/>
      <c r="GE150" s="32"/>
      <c r="GF150" s="3"/>
      <c r="GG150" s="4"/>
      <c r="GH150" s="5"/>
      <c r="GI150" s="6"/>
      <c r="GJ150" s="14"/>
      <c r="GK150" s="13"/>
      <c r="GL150" s="2"/>
      <c r="GM150" s="26">
        <f t="shared" si="211"/>
        <v>0</v>
      </c>
      <c r="GN150" s="26">
        <f t="shared" si="230"/>
        <v>0</v>
      </c>
      <c r="GO150" s="16">
        <f t="shared" si="261"/>
        <v>0.96240706009505994</v>
      </c>
      <c r="GP150" s="29">
        <f t="shared" si="262"/>
        <v>519.91794055975527</v>
      </c>
      <c r="GQ150" s="29">
        <f t="shared" si="263"/>
        <v>540.22664849154512</v>
      </c>
      <c r="GR150" s="34"/>
      <c r="GS150" s="4"/>
      <c r="GT150" s="5"/>
      <c r="GU150" s="6"/>
      <c r="GV150" s="32"/>
      <c r="GW150" s="3"/>
      <c r="GX150" s="4"/>
      <c r="GY150" s="5"/>
      <c r="GZ150" s="6"/>
      <c r="HA150" s="14"/>
      <c r="HB150" s="13"/>
      <c r="HC150" s="2"/>
      <c r="HD150" s="26">
        <f t="shared" si="212"/>
        <v>0</v>
      </c>
      <c r="HE150" s="26">
        <f t="shared" si="231"/>
        <v>0</v>
      </c>
      <c r="HF150" s="16">
        <f t="shared" si="264"/>
        <v>0.80535460177415918</v>
      </c>
      <c r="HG150" s="29">
        <f t="shared" si="265"/>
        <v>199.34909226325254</v>
      </c>
      <c r="HH150" s="29">
        <f t="shared" si="266"/>
        <v>247.52958736945894</v>
      </c>
      <c r="HI150" s="34"/>
      <c r="HJ150" s="4"/>
      <c r="HK150" s="5"/>
      <c r="HL150" s="6"/>
      <c r="HM150" s="32"/>
      <c r="HN150" s="3"/>
      <c r="HO150" s="4"/>
      <c r="HP150" s="5"/>
      <c r="HQ150" s="6"/>
      <c r="HR150" s="14"/>
      <c r="HS150" s="13"/>
      <c r="HT150" s="2"/>
      <c r="HU150" s="26">
        <f t="shared" si="213"/>
        <v>0</v>
      </c>
      <c r="HV150" s="26">
        <f t="shared" si="232"/>
        <v>0</v>
      </c>
      <c r="HW150" s="16">
        <f t="shared" si="267"/>
        <v>1.2421426589161527E-4</v>
      </c>
      <c r="HX150" s="29">
        <f t="shared" si="268"/>
        <v>2.0144536974445092E-4</v>
      </c>
      <c r="HY150" s="29">
        <f t="shared" si="269"/>
        <v>1.6217571170144389</v>
      </c>
      <c r="HZ150" s="34"/>
      <c r="IA150" s="4"/>
      <c r="IB150" s="5"/>
      <c r="IC150" s="6"/>
      <c r="ID150" s="32"/>
      <c r="IE150" s="3"/>
      <c r="IF150" s="4"/>
      <c r="IG150" s="5"/>
      <c r="IH150" s="6"/>
      <c r="II150" s="14"/>
      <c r="IJ150" s="13"/>
      <c r="IK150" s="2"/>
      <c r="IL150" s="26">
        <f t="shared" si="214"/>
        <v>0</v>
      </c>
      <c r="IM150" s="26">
        <f t="shared" si="215"/>
        <v>3372.5340635187617</v>
      </c>
      <c r="IN150" s="16">
        <f t="shared" si="270"/>
        <v>1.0686909669901845</v>
      </c>
      <c r="IO150" s="29">
        <f t="shared" si="271"/>
        <v>90.637522997867194</v>
      </c>
      <c r="IP150" s="29">
        <f t="shared" si="272"/>
        <v>84.811723685786205</v>
      </c>
      <c r="IQ150" s="34"/>
      <c r="IR150" s="4"/>
      <c r="IS150" s="5"/>
      <c r="IT150" s="6"/>
      <c r="IU150" s="32"/>
      <c r="IV150" s="3"/>
      <c r="IW150" s="4"/>
      <c r="IX150" s="5"/>
      <c r="IY150" s="6"/>
      <c r="IZ150" s="14"/>
      <c r="JA150" s="13"/>
      <c r="JB150" s="2"/>
      <c r="JC150" s="26">
        <f t="shared" si="180"/>
        <v>0</v>
      </c>
      <c r="JD150" s="26">
        <f t="shared" si="216"/>
        <v>1890.0083942693309</v>
      </c>
      <c r="JE150" s="16">
        <f t="shared" si="273"/>
        <v>1.5264760665533077</v>
      </c>
      <c r="JF150" s="29">
        <f t="shared" si="274"/>
        <v>53.98681640625</v>
      </c>
      <c r="JG150" s="29">
        <f t="shared" si="275"/>
        <v>35.366958964609921</v>
      </c>
      <c r="JH150" s="34"/>
      <c r="JI150" s="4"/>
      <c r="JJ150" s="5"/>
      <c r="JK150" s="6"/>
      <c r="JL150" s="32"/>
      <c r="JM150" s="3"/>
      <c r="JN150" s="4"/>
      <c r="JO150" s="5"/>
      <c r="JP150" s="6"/>
      <c r="JQ150" s="14"/>
      <c r="JR150" s="99"/>
      <c r="JS150" s="99"/>
      <c r="JT150" s="99"/>
      <c r="JU150" s="99"/>
      <c r="JV150" s="99"/>
      <c r="JW150" s="99"/>
      <c r="JX150" s="99"/>
      <c r="JY150" s="99"/>
      <c r="JZ150" s="99"/>
      <c r="KA150" s="99"/>
      <c r="KB150" s="99"/>
      <c r="KC150" s="99"/>
      <c r="KD150" s="99"/>
      <c r="KE150" s="99"/>
      <c r="KF150" s="99"/>
      <c r="KG150" s="99"/>
      <c r="KH150" s="99"/>
      <c r="KI150" s="99"/>
      <c r="KJ150" s="99"/>
      <c r="KK150" s="99"/>
      <c r="KL150" s="99"/>
      <c r="KM150" s="99"/>
      <c r="KN150" s="99"/>
      <c r="KO150" s="99"/>
      <c r="KP150" s="99"/>
      <c r="KQ150" s="99"/>
      <c r="KR150" s="99"/>
      <c r="KS150" s="99"/>
      <c r="KT150" s="99"/>
      <c r="KU150" s="99"/>
      <c r="KV150" s="99"/>
      <c r="KW150" s="99"/>
      <c r="KX150" s="99"/>
      <c r="KY150" s="99"/>
      <c r="KZ150" s="99"/>
      <c r="LA150" s="99"/>
      <c r="LB150" s="99"/>
      <c r="LC150" s="99"/>
      <c r="LD150" s="99"/>
      <c r="LE150" s="99"/>
      <c r="LF150" s="99"/>
      <c r="LG150" s="99"/>
      <c r="LH150" s="99"/>
      <c r="LI150" s="99"/>
      <c r="LJ150" s="99"/>
      <c r="LK150" s="99"/>
      <c r="LL150" s="99"/>
      <c r="LM150" s="99"/>
      <c r="LN150" s="99"/>
      <c r="LO150" s="99"/>
      <c r="LP150" s="99"/>
      <c r="LQ150" s="99"/>
      <c r="LR150" s="99"/>
      <c r="LS150" s="99"/>
      <c r="LT150" s="99"/>
      <c r="LU150" s="99"/>
      <c r="LV150" s="99"/>
      <c r="LW150" s="99"/>
      <c r="LX150" s="99"/>
      <c r="LY150" s="99"/>
      <c r="LZ150" s="99"/>
      <c r="MA150" s="99"/>
      <c r="MB150" s="99"/>
      <c r="MC150" s="99"/>
      <c r="MD150" s="99"/>
      <c r="ME150" s="99"/>
      <c r="MF150" s="99"/>
    </row>
    <row r="151" spans="1:344" ht="17.25" customHeight="1" x14ac:dyDescent="0.25">
      <c r="A151" s="155" t="s">
        <v>27</v>
      </c>
      <c r="B151" s="79" t="s">
        <v>1</v>
      </c>
      <c r="C151" s="80">
        <v>45285</v>
      </c>
      <c r="D151" s="50"/>
      <c r="G151" s="36">
        <f t="shared" si="194"/>
        <v>0</v>
      </c>
      <c r="H151" s="27">
        <f t="shared" si="195"/>
        <v>0</v>
      </c>
      <c r="I151" s="47"/>
      <c r="K151" s="105"/>
      <c r="L151" s="89">
        <f t="shared" si="196"/>
        <v>0</v>
      </c>
      <c r="M151" s="27">
        <f t="shared" si="217"/>
        <v>0</v>
      </c>
      <c r="N151" s="35">
        <f t="shared" si="218"/>
        <v>0</v>
      </c>
      <c r="O151" s="97" t="e">
        <f>SUM($Z151,$BH151,$AQ151,$BY151,$CP151,$DG151,$DX151,$EO151,$FF151,$FW151,$GN151)/I151</f>
        <v>#DIV/0!</v>
      </c>
      <c r="P151" s="149">
        <f t="shared" ref="P151" si="292">SUM(N151:N157)</f>
        <v>3877.9420000000005</v>
      </c>
      <c r="Q151" s="131">
        <f t="shared" ref="Q151:Q155" si="293">SUM(AD151+AI151+AU151+AZ151+BL151+BQ151+CC151+CH151+CT151+CY151+DK151+DP151+EB151+EG151+ES151+EX151+FJ151+FO151+GA151+GF151+GR151+GW151)/11</f>
        <v>0</v>
      </c>
      <c r="R151" s="133">
        <f t="shared" ref="R151:R155" si="294">SUM(AE151+AJ151+AV151+BA151+BM151+BR151+CD151+CI151+CU151+CZ151+DL151+DQ151+EC151+EH151+ET151+EY151+FK151+FP151+GB151+GG151+GS151+GX151)/11</f>
        <v>0</v>
      </c>
      <c r="S151" s="135">
        <f t="shared" ref="S151:S155" si="295">SUM(AF151+AK151+AW151+BB151+BN151+BS151+CE151+CJ151+CV151+DA151+DM151+DR151+ED151+EI151+EU151+EZ151+FL151+FQ151+GC151+GH151+GT151+GY151)/11</f>
        <v>0</v>
      </c>
      <c r="T151" s="137">
        <f t="shared" ref="T151:T155" si="296">SUM(AG151+AL151+AX151+BC151+BO151+BT151+CF151+CK151+CW151+DB151+DN151+DS151+EE151+EJ151+EV151+FA151+FM151+FR151+GD151+GI151+GU151+GZ151)/11</f>
        <v>0</v>
      </c>
      <c r="U151" s="143">
        <f t="shared" ref="U151:U155" si="297">SUM(AH151+AM151+AY151+BD151+BP151+BU151+CG151+CL151+CX151+DC151+DO151+DT151+EF151+EK151+EW151+FB151+FN151+FS151+GE151+GJ151+GV151+HA151)/11</f>
        <v>0</v>
      </c>
      <c r="W151" s="11">
        <v>0</v>
      </c>
      <c r="X151" s="1">
        <v>0</v>
      </c>
      <c r="Y151" s="27">
        <f t="shared" si="201"/>
        <v>0</v>
      </c>
      <c r="Z151" s="27">
        <f t="shared" si="220"/>
        <v>0</v>
      </c>
      <c r="AA151" s="15">
        <f t="shared" si="233"/>
        <v>0.83875567366502568</v>
      </c>
      <c r="AB151" s="43">
        <f t="shared" si="173"/>
        <v>362.4396704151111</v>
      </c>
      <c r="AC151" s="43">
        <f t="shared" si="174"/>
        <v>432.1159090720605</v>
      </c>
      <c r="AD151" s="33"/>
      <c r="AH151" s="31"/>
      <c r="AP151" s="27">
        <f t="shared" si="202"/>
        <v>0</v>
      </c>
      <c r="AQ151" s="27">
        <f t="shared" si="221"/>
        <v>0</v>
      </c>
      <c r="AR151" s="15">
        <f t="shared" si="234"/>
        <v>0.78392925565265181</v>
      </c>
      <c r="AS151" s="28">
        <f t="shared" si="235"/>
        <v>361.46310040954103</v>
      </c>
      <c r="AT151" s="28">
        <f t="shared" si="236"/>
        <v>461.09147962415159</v>
      </c>
      <c r="AU151" s="33"/>
      <c r="AY151" s="31"/>
      <c r="BE151" s="86"/>
      <c r="BF151" s="87"/>
      <c r="BG151" s="27">
        <f t="shared" si="203"/>
        <v>0</v>
      </c>
      <c r="BH151" s="27">
        <f t="shared" si="222"/>
        <v>0</v>
      </c>
      <c r="BI151" s="15">
        <f t="shared" si="237"/>
        <v>1.1570882513209648E-3</v>
      </c>
      <c r="BJ151" s="28">
        <f t="shared" si="238"/>
        <v>4.5424122273119136E-2</v>
      </c>
      <c r="BK151" s="28">
        <f t="shared" si="239"/>
        <v>39.257266869023745</v>
      </c>
      <c r="BL151" s="33"/>
      <c r="BP151" s="31"/>
      <c r="BX151" s="27">
        <f t="shared" si="204"/>
        <v>0</v>
      </c>
      <c r="BY151" s="27">
        <f t="shared" si="223"/>
        <v>0</v>
      </c>
      <c r="BZ151" s="15">
        <f t="shared" si="240"/>
        <v>0.90375708838571656</v>
      </c>
      <c r="CA151" s="28">
        <f t="shared" si="241"/>
        <v>298.80155177970175</v>
      </c>
      <c r="CB151" s="28">
        <f t="shared" si="242"/>
        <v>330.62153051924452</v>
      </c>
      <c r="CC151" s="33"/>
      <c r="CG151" s="31"/>
      <c r="CO151" s="27">
        <f t="shared" si="205"/>
        <v>0</v>
      </c>
      <c r="CP151" s="27">
        <f t="shared" si="224"/>
        <v>0</v>
      </c>
      <c r="CQ151" s="15">
        <f t="shared" si="243"/>
        <v>0.1770704491691944</v>
      </c>
      <c r="CR151" s="28">
        <f t="shared" si="244"/>
        <v>52.978831394871953</v>
      </c>
      <c r="CS151" s="28">
        <f t="shared" si="245"/>
        <v>299.19634610656919</v>
      </c>
      <c r="CT151" s="33"/>
      <c r="CX151" s="31"/>
      <c r="DF151" s="27">
        <f t="shared" si="206"/>
        <v>0</v>
      </c>
      <c r="DG151" s="27">
        <f t="shared" si="225"/>
        <v>0</v>
      </c>
      <c r="DH151" s="15">
        <f t="shared" si="246"/>
        <v>0.78622486210996989</v>
      </c>
      <c r="DI151" s="28">
        <f t="shared" si="247"/>
        <v>303.66440655840478</v>
      </c>
      <c r="DJ151" s="28">
        <f t="shared" si="248"/>
        <v>386.23098962231876</v>
      </c>
      <c r="DK151" s="33"/>
      <c r="DO151" s="31"/>
      <c r="DW151" s="27">
        <f t="shared" si="207"/>
        <v>0</v>
      </c>
      <c r="DX151" s="27">
        <f t="shared" si="226"/>
        <v>0</v>
      </c>
      <c r="DY151" s="15">
        <f t="shared" si="249"/>
        <v>0.79730824099435449</v>
      </c>
      <c r="DZ151" s="28">
        <f t="shared" si="250"/>
        <v>309.33576434144618</v>
      </c>
      <c r="EA151" s="28">
        <f t="shared" si="251"/>
        <v>387.97512484714991</v>
      </c>
      <c r="EB151" s="33"/>
      <c r="EF151" s="31"/>
      <c r="EN151" s="27">
        <f t="shared" si="208"/>
        <v>0</v>
      </c>
      <c r="EO151" s="27">
        <f t="shared" si="227"/>
        <v>0</v>
      </c>
      <c r="EP151" s="15">
        <f t="shared" si="252"/>
        <v>0.71269204718101808</v>
      </c>
      <c r="EQ151" s="28">
        <f t="shared" si="253"/>
        <v>305.2907939919512</v>
      </c>
      <c r="ER151" s="28">
        <f t="shared" si="254"/>
        <v>428.36284647695777</v>
      </c>
      <c r="ES151" s="33"/>
      <c r="EW151" s="31"/>
      <c r="FE151" s="27">
        <f t="shared" si="209"/>
        <v>0</v>
      </c>
      <c r="FF151" s="27">
        <f t="shared" si="228"/>
        <v>0</v>
      </c>
      <c r="FG151" s="15">
        <f t="shared" si="255"/>
        <v>0.82515771669732052</v>
      </c>
      <c r="FH151" s="28">
        <f t="shared" si="256"/>
        <v>335.38926947316656</v>
      </c>
      <c r="FI151" s="28">
        <f t="shared" si="257"/>
        <v>406.4547451795716</v>
      </c>
      <c r="FJ151" s="33"/>
      <c r="FN151" s="31"/>
      <c r="FV151" s="27">
        <f t="shared" si="210"/>
        <v>0</v>
      </c>
      <c r="FW151" s="27">
        <f t="shared" si="229"/>
        <v>0</v>
      </c>
      <c r="FX151" s="15">
        <f t="shared" si="258"/>
        <v>0.78320754953577787</v>
      </c>
      <c r="FY151" s="28">
        <f t="shared" si="259"/>
        <v>358.74532806095641</v>
      </c>
      <c r="FZ151" s="28">
        <f t="shared" si="260"/>
        <v>458.04631004079528</v>
      </c>
      <c r="GA151" s="33"/>
      <c r="GE151" s="31"/>
      <c r="GM151" s="27">
        <f t="shared" si="211"/>
        <v>0</v>
      </c>
      <c r="GN151" s="27">
        <f t="shared" si="230"/>
        <v>0</v>
      </c>
      <c r="GO151" s="15">
        <f t="shared" si="261"/>
        <v>0.77527235396546501</v>
      </c>
      <c r="GP151" s="28">
        <f t="shared" si="262"/>
        <v>389.93845541981648</v>
      </c>
      <c r="GQ151" s="28">
        <f t="shared" si="263"/>
        <v>502.96963825074891</v>
      </c>
      <c r="GR151" s="33"/>
      <c r="GV151" s="31"/>
      <c r="HD151" s="27">
        <f t="shared" si="212"/>
        <v>0</v>
      </c>
      <c r="HE151" s="27">
        <f t="shared" si="231"/>
        <v>0</v>
      </c>
      <c r="HF151" s="15">
        <f t="shared" si="264"/>
        <v>0.64875787365140603</v>
      </c>
      <c r="HG151" s="28">
        <f t="shared" si="265"/>
        <v>149.51181919743942</v>
      </c>
      <c r="HH151" s="28">
        <f t="shared" si="266"/>
        <v>230.45858134397901</v>
      </c>
      <c r="HI151" s="33"/>
      <c r="HM151" s="31"/>
      <c r="HU151" s="27">
        <f t="shared" si="213"/>
        <v>0</v>
      </c>
      <c r="HV151" s="27">
        <f t="shared" si="232"/>
        <v>0</v>
      </c>
      <c r="HW151" s="15">
        <f t="shared" si="267"/>
        <v>1.0006149196824563E-4</v>
      </c>
      <c r="HX151" s="28">
        <f t="shared" si="268"/>
        <v>1.5108402730833819E-4</v>
      </c>
      <c r="HY151" s="28">
        <f t="shared" si="269"/>
        <v>1.50991179859965</v>
      </c>
      <c r="HZ151" s="33"/>
      <c r="ID151" s="31"/>
      <c r="II151" s="12"/>
      <c r="IL151" s="27">
        <f t="shared" si="214"/>
        <v>0</v>
      </c>
      <c r="IM151" s="27">
        <f t="shared" si="215"/>
        <v>2851.025130980187</v>
      </c>
      <c r="IN151" s="15">
        <f t="shared" si="270"/>
        <v>0.86088994563098187</v>
      </c>
      <c r="IO151" s="28">
        <f t="shared" si="271"/>
        <v>67.978142248400388</v>
      </c>
      <c r="IP151" s="28">
        <f t="shared" si="272"/>
        <v>78.962639293663017</v>
      </c>
      <c r="IQ151" s="33"/>
      <c r="IU151" s="31"/>
      <c r="JC151" s="27">
        <f t="shared" si="180"/>
        <v>0</v>
      </c>
      <c r="JD151" s="27">
        <f t="shared" si="216"/>
        <v>1708.4282674598414</v>
      </c>
      <c r="JE151" s="15">
        <f t="shared" si="273"/>
        <v>1.229661275834609</v>
      </c>
      <c r="JF151" s="28">
        <f t="shared" si="274"/>
        <v>40.4901123046875</v>
      </c>
      <c r="JG151" s="28">
        <f t="shared" si="275"/>
        <v>32.927858346360964</v>
      </c>
      <c r="JH151" s="33"/>
      <c r="JL151" s="31"/>
      <c r="JR151" s="99"/>
      <c r="JS151" s="99"/>
      <c r="JT151" s="99"/>
      <c r="JU151" s="99"/>
      <c r="JV151" s="99"/>
      <c r="JW151" s="99"/>
      <c r="JX151" s="99"/>
      <c r="JY151" s="99"/>
      <c r="JZ151" s="99"/>
      <c r="KA151" s="99"/>
      <c r="KB151" s="99"/>
      <c r="KC151" s="99"/>
      <c r="KD151" s="99"/>
      <c r="KE151" s="99"/>
      <c r="KF151" s="99"/>
      <c r="KG151" s="99"/>
      <c r="KH151" s="99"/>
      <c r="KI151" s="99"/>
      <c r="KJ151" s="99"/>
      <c r="KK151" s="99"/>
      <c r="KL151" s="99"/>
      <c r="KM151" s="99"/>
      <c r="KN151" s="99"/>
      <c r="KO151" s="99"/>
      <c r="KP151" s="99"/>
      <c r="KQ151" s="99"/>
      <c r="KR151" s="99"/>
      <c r="KS151" s="99"/>
      <c r="KT151" s="99"/>
      <c r="KU151" s="99"/>
      <c r="KV151" s="99"/>
      <c r="KW151" s="99"/>
      <c r="KX151" s="99"/>
      <c r="KY151" s="99"/>
      <c r="KZ151" s="99"/>
      <c r="LA151" s="99"/>
      <c r="LB151" s="99"/>
      <c r="LC151" s="99"/>
      <c r="LD151" s="99"/>
      <c r="LE151" s="99"/>
      <c r="LF151" s="99"/>
      <c r="LG151" s="99"/>
      <c r="LH151" s="99"/>
      <c r="LI151" s="99"/>
      <c r="LJ151" s="99"/>
      <c r="LK151" s="99"/>
      <c r="LL151" s="99"/>
      <c r="LM151" s="99"/>
      <c r="LN151" s="99"/>
      <c r="LO151" s="99"/>
      <c r="LP151" s="99"/>
      <c r="LQ151" s="99"/>
      <c r="LR151" s="99"/>
      <c r="LS151" s="99"/>
      <c r="LT151" s="99"/>
      <c r="LU151" s="99"/>
      <c r="LV151" s="99"/>
      <c r="LW151" s="99"/>
      <c r="LX151" s="99"/>
      <c r="LY151" s="99"/>
      <c r="LZ151" s="99"/>
      <c r="MA151" s="99"/>
      <c r="MB151" s="99"/>
      <c r="MC151" s="99"/>
      <c r="MD151" s="99"/>
      <c r="ME151" s="99"/>
      <c r="MF151" s="99"/>
    </row>
    <row r="152" spans="1:344" ht="17.25" customHeight="1" x14ac:dyDescent="0.25">
      <c r="A152" s="156"/>
      <c r="B152" s="81" t="s">
        <v>2</v>
      </c>
      <c r="C152" s="82">
        <v>45286</v>
      </c>
      <c r="D152" s="49">
        <v>13</v>
      </c>
      <c r="E152" s="39">
        <v>10</v>
      </c>
      <c r="F152" s="103">
        <v>45</v>
      </c>
      <c r="G152" s="89">
        <f t="shared" si="194"/>
        <v>3.6</v>
      </c>
      <c r="H152" s="35">
        <f>F152*G152</f>
        <v>162</v>
      </c>
      <c r="I152" s="39">
        <v>13</v>
      </c>
      <c r="J152" s="39">
        <v>10</v>
      </c>
      <c r="K152" s="103">
        <v>78</v>
      </c>
      <c r="L152" s="89">
        <f t="shared" si="196"/>
        <v>7.7650000000000006</v>
      </c>
      <c r="M152" s="35">
        <f>K152*L152</f>
        <v>605.67000000000007</v>
      </c>
      <c r="N152" s="35">
        <f t="shared" si="218"/>
        <v>767.67000000000007</v>
      </c>
      <c r="O152" s="97">
        <f>SUM($Z152,$BH152,$AQ152,$BY152,$CP152,$DG152,$DX152,$EO152,$FF152,$FW152,$GN152)/I152</f>
        <v>0</v>
      </c>
      <c r="P152" s="150"/>
      <c r="Q152" s="132">
        <f t="shared" si="293"/>
        <v>0</v>
      </c>
      <c r="R152" s="134">
        <f t="shared" si="294"/>
        <v>0</v>
      </c>
      <c r="S152" s="136">
        <f t="shared" si="295"/>
        <v>0</v>
      </c>
      <c r="T152" s="138">
        <f t="shared" si="296"/>
        <v>0</v>
      </c>
      <c r="U152" s="144">
        <f t="shared" si="297"/>
        <v>0</v>
      </c>
      <c r="W152" s="11">
        <v>4</v>
      </c>
      <c r="X152" s="1">
        <v>10</v>
      </c>
      <c r="Y152" s="35">
        <f t="shared" si="201"/>
        <v>960</v>
      </c>
      <c r="Z152" s="35">
        <f t="shared" si="220"/>
        <v>0</v>
      </c>
      <c r="AA152" s="15">
        <f t="shared" si="233"/>
        <v>1.0924355127717345</v>
      </c>
      <c r="AB152" s="43">
        <f t="shared" si="173"/>
        <v>511.82975281133332</v>
      </c>
      <c r="AC152" s="43">
        <f t="shared" si="174"/>
        <v>468.52170844640114</v>
      </c>
      <c r="AD152" s="33"/>
      <c r="AH152" s="31"/>
      <c r="AN152" s="11">
        <v>4</v>
      </c>
      <c r="AO152" s="1">
        <v>8.5</v>
      </c>
      <c r="AP152" s="35">
        <f>(AN152*$F152)+AO152*$K152</f>
        <v>843</v>
      </c>
      <c r="AQ152" s="35">
        <f t="shared" si="221"/>
        <v>0</v>
      </c>
      <c r="AR152" s="15">
        <f t="shared" si="234"/>
        <v>0.98854671853720222</v>
      </c>
      <c r="AS152" s="28">
        <f t="shared" si="235"/>
        <v>481.84732530715576</v>
      </c>
      <c r="AT152" s="28">
        <f t="shared" si="236"/>
        <v>487.42999827076181</v>
      </c>
      <c r="AU152" s="33"/>
      <c r="AY152" s="31"/>
      <c r="BE152" s="86"/>
      <c r="BF152" s="87"/>
      <c r="BG152" s="35">
        <f>(BE152*$F152)+BF152*$K152</f>
        <v>0</v>
      </c>
      <c r="BH152" s="35">
        <f t="shared" si="222"/>
        <v>0</v>
      </c>
      <c r="BI152" s="15">
        <f t="shared" si="237"/>
        <v>9.3209886911966612E-4</v>
      </c>
      <c r="BJ152" s="28">
        <f t="shared" si="238"/>
        <v>3.4068091704839348E-2</v>
      </c>
      <c r="BK152" s="28">
        <f t="shared" si="239"/>
        <v>36.549869153918657</v>
      </c>
      <c r="BL152" s="33"/>
      <c r="BP152" s="31"/>
      <c r="BV152" s="11">
        <v>4</v>
      </c>
      <c r="BW152" s="1">
        <v>7</v>
      </c>
      <c r="BX152" s="35">
        <f>(BV152*$F152)+BW152*$K152</f>
        <v>726</v>
      </c>
      <c r="BY152" s="35">
        <f t="shared" si="223"/>
        <v>0</v>
      </c>
      <c r="BZ152" s="15">
        <f t="shared" si="240"/>
        <v>1.1333155005382691</v>
      </c>
      <c r="CA152" s="28">
        <f t="shared" si="241"/>
        <v>405.60116383477634</v>
      </c>
      <c r="CB152" s="28">
        <f t="shared" si="242"/>
        <v>357.88901117308973</v>
      </c>
      <c r="CC152" s="33"/>
      <c r="CG152" s="31"/>
      <c r="CM152" s="11">
        <v>4</v>
      </c>
      <c r="CN152" s="1">
        <v>9.5</v>
      </c>
      <c r="CO152" s="35">
        <f>(CM152*$F152)+CN152*$K152</f>
        <v>921</v>
      </c>
      <c r="CP152" s="35">
        <f t="shared" si="224"/>
        <v>0</v>
      </c>
      <c r="CQ152" s="15">
        <f t="shared" si="243"/>
        <v>0.78924412783906728</v>
      </c>
      <c r="CR152" s="28">
        <f t="shared" si="244"/>
        <v>269.98412354615397</v>
      </c>
      <c r="CS152" s="28">
        <f t="shared" si="245"/>
        <v>342.07935671990924</v>
      </c>
      <c r="CT152" s="33"/>
      <c r="CX152" s="31"/>
      <c r="DD152" s="11">
        <v>2</v>
      </c>
      <c r="DE152" s="1">
        <v>4.9000000000000004</v>
      </c>
      <c r="DF152" s="35">
        <f>(DD152*$F152)+DE152*$K152</f>
        <v>472.20000000000005</v>
      </c>
      <c r="DG152" s="35">
        <f t="shared" si="225"/>
        <v>0</v>
      </c>
      <c r="DH152" s="15">
        <f t="shared" si="246"/>
        <v>0.88177887764442375</v>
      </c>
      <c r="DI152" s="28">
        <f t="shared" si="247"/>
        <v>345.79830491880358</v>
      </c>
      <c r="DJ152" s="28">
        <f t="shared" si="248"/>
        <v>392.15988688974505</v>
      </c>
      <c r="DK152" s="33"/>
      <c r="DO152" s="31"/>
      <c r="DU152" s="11">
        <v>2</v>
      </c>
      <c r="DV152" s="1">
        <v>5</v>
      </c>
      <c r="DW152" s="35">
        <f>(DU152*$F152)+DV152*$K152</f>
        <v>480</v>
      </c>
      <c r="DX152" s="35">
        <f t="shared" si="226"/>
        <v>0</v>
      </c>
      <c r="DY152" s="15">
        <f t="shared" si="249"/>
        <v>0.89267684699176719</v>
      </c>
      <c r="DZ152" s="28">
        <f t="shared" si="250"/>
        <v>352.00182325608466</v>
      </c>
      <c r="EA152" s="28">
        <f t="shared" si="251"/>
        <v>394.32166796113961</v>
      </c>
      <c r="EB152" s="33"/>
      <c r="EF152" s="31"/>
      <c r="EL152" s="11">
        <v>4</v>
      </c>
      <c r="EM152" s="1">
        <v>9</v>
      </c>
      <c r="EN152" s="35">
        <f>(EL152*$F152)+EM152*$K152</f>
        <v>882</v>
      </c>
      <c r="EO152" s="35">
        <f t="shared" si="227"/>
        <v>0</v>
      </c>
      <c r="EP152" s="15">
        <f t="shared" si="252"/>
        <v>0.97785246926363401</v>
      </c>
      <c r="EQ152" s="28">
        <f t="shared" si="253"/>
        <v>449.4680954939634</v>
      </c>
      <c r="ER152" s="28">
        <f t="shared" si="254"/>
        <v>459.64816740958139</v>
      </c>
      <c r="ES152" s="33"/>
      <c r="EW152" s="31"/>
      <c r="FC152" s="11">
        <v>4</v>
      </c>
      <c r="FD152" s="1">
        <v>8</v>
      </c>
      <c r="FE152" s="35">
        <f>(FC152*$F152)+FD152*$K152</f>
        <v>804</v>
      </c>
      <c r="FF152" s="35">
        <f t="shared" si="228"/>
        <v>0</v>
      </c>
      <c r="FG152" s="15">
        <f t="shared" si="255"/>
        <v>1.0430318330302066</v>
      </c>
      <c r="FH152" s="28">
        <f t="shared" si="256"/>
        <v>452.54195210487489</v>
      </c>
      <c r="FI152" s="28">
        <f t="shared" si="257"/>
        <v>433.87165930511838</v>
      </c>
      <c r="FJ152" s="33"/>
      <c r="FN152" s="31"/>
      <c r="FT152" s="11">
        <v>4</v>
      </c>
      <c r="FU152" s="1">
        <v>8</v>
      </c>
      <c r="FV152" s="35">
        <f>(FT152*$F152)+FU152*$K152</f>
        <v>804</v>
      </c>
      <c r="FW152" s="35">
        <f t="shared" si="229"/>
        <v>0</v>
      </c>
      <c r="FX152" s="15">
        <f t="shared" si="258"/>
        <v>0.97541800850408711</v>
      </c>
      <c r="FY152" s="28">
        <f t="shared" si="259"/>
        <v>470.05899604571732</v>
      </c>
      <c r="FZ152" s="28">
        <f t="shared" si="260"/>
        <v>481.90518521039559</v>
      </c>
      <c r="GA152" s="33"/>
      <c r="GE152" s="31"/>
      <c r="GK152" s="11">
        <v>4</v>
      </c>
      <c r="GL152" s="1">
        <v>7.75</v>
      </c>
      <c r="GM152" s="35">
        <f>(GK152*$F152)+GL152*$K152</f>
        <v>784.5</v>
      </c>
      <c r="GN152" s="35">
        <f t="shared" si="230"/>
        <v>0</v>
      </c>
      <c r="GO152" s="15">
        <f t="shared" si="261"/>
        <v>0.93528403436190855</v>
      </c>
      <c r="GP152" s="28">
        <f t="shared" si="262"/>
        <v>488.57884156486239</v>
      </c>
      <c r="GQ152" s="28">
        <f t="shared" si="263"/>
        <v>522.38552526793865</v>
      </c>
      <c r="GR152" s="33"/>
      <c r="GV152" s="31"/>
      <c r="HD152" s="35">
        <f>(HB152*$F152)+HC152*$K152</f>
        <v>0</v>
      </c>
      <c r="HE152" s="35">
        <f t="shared" si="231"/>
        <v>0</v>
      </c>
      <c r="HF152" s="15">
        <f t="shared" si="264"/>
        <v>0.52261050933029929</v>
      </c>
      <c r="HG152" s="28">
        <f t="shared" si="265"/>
        <v>112.13386439807957</v>
      </c>
      <c r="HH152" s="28">
        <f t="shared" si="266"/>
        <v>214.56488607887701</v>
      </c>
      <c r="HI152" s="33"/>
      <c r="HM152" s="31"/>
      <c r="HU152" s="35">
        <f>(HS152*$F152)+HT152*$K152</f>
        <v>0</v>
      </c>
      <c r="HV152" s="35">
        <f t="shared" si="232"/>
        <v>0</v>
      </c>
      <c r="HW152" s="15">
        <f t="shared" si="267"/>
        <v>8.0605090752197876E-5</v>
      </c>
      <c r="HX152" s="28">
        <f t="shared" si="268"/>
        <v>1.1331302048125363E-4</v>
      </c>
      <c r="HY152" s="28">
        <f t="shared" si="269"/>
        <v>1.4057799504203636</v>
      </c>
      <c r="HZ152" s="33"/>
      <c r="ID152" s="31"/>
      <c r="II152" s="12"/>
      <c r="IL152" s="35">
        <f>(IJ152*$F152)+IK152*$K152</f>
        <v>0</v>
      </c>
      <c r="IM152" s="35">
        <f t="shared" si="215"/>
        <v>4141.2496577061693</v>
      </c>
      <c r="IN152" s="15">
        <f t="shared" si="270"/>
        <v>0.6934946784249576</v>
      </c>
      <c r="IO152" s="28">
        <f t="shared" si="271"/>
        <v>50.983606686300291</v>
      </c>
      <c r="IP152" s="28">
        <f t="shared" si="272"/>
        <v>73.516940032031087</v>
      </c>
      <c r="IQ152" s="33"/>
      <c r="IU152" s="31"/>
      <c r="JC152" s="35">
        <f>(JA152*$F152)+JB152*$K152</f>
        <v>0</v>
      </c>
      <c r="JD152" s="35">
        <f t="shared" si="216"/>
        <v>3713.7010101676797</v>
      </c>
      <c r="JE152" s="15">
        <f t="shared" si="273"/>
        <v>0.99056047220010168</v>
      </c>
      <c r="JF152" s="28">
        <f t="shared" si="274"/>
        <v>30.367584228515625</v>
      </c>
      <c r="JG152" s="28">
        <f t="shared" si="275"/>
        <v>30.656971563853311</v>
      </c>
      <c r="JH152" s="33"/>
      <c r="JL152" s="31"/>
      <c r="JR152" s="99"/>
      <c r="JS152" s="99"/>
      <c r="JT152" s="99"/>
      <c r="JU152" s="99"/>
      <c r="JV152" s="99"/>
      <c r="JW152" s="99"/>
      <c r="JX152" s="99"/>
      <c r="JY152" s="99"/>
      <c r="JZ152" s="99"/>
      <c r="KA152" s="99"/>
      <c r="KB152" s="99"/>
      <c r="KC152" s="99"/>
      <c r="KD152" s="99"/>
      <c r="KE152" s="99"/>
      <c r="KF152" s="99"/>
      <c r="KG152" s="99"/>
      <c r="KH152" s="99"/>
      <c r="KI152" s="99"/>
      <c r="KJ152" s="99"/>
      <c r="KK152" s="99"/>
      <c r="KL152" s="99"/>
      <c r="KM152" s="99"/>
      <c r="KN152" s="99"/>
      <c r="KO152" s="99"/>
      <c r="KP152" s="99"/>
      <c r="KQ152" s="99"/>
      <c r="KR152" s="99"/>
      <c r="KS152" s="99"/>
      <c r="KT152" s="99"/>
      <c r="KU152" s="99"/>
      <c r="KV152" s="99"/>
      <c r="KW152" s="99"/>
      <c r="KX152" s="99"/>
      <c r="KY152" s="99"/>
      <c r="KZ152" s="99"/>
      <c r="LA152" s="99"/>
      <c r="LB152" s="99"/>
      <c r="LC152" s="99"/>
      <c r="LD152" s="99"/>
      <c r="LE152" s="99"/>
      <c r="LF152" s="99"/>
      <c r="LG152" s="99"/>
      <c r="LH152" s="99"/>
      <c r="LI152" s="99"/>
      <c r="LJ152" s="99"/>
      <c r="LK152" s="99"/>
      <c r="LL152" s="99"/>
      <c r="LM152" s="99"/>
      <c r="LN152" s="99"/>
      <c r="LO152" s="99"/>
      <c r="LP152" s="99"/>
      <c r="LQ152" s="99"/>
      <c r="LR152" s="99"/>
      <c r="LS152" s="99"/>
      <c r="LT152" s="99"/>
      <c r="LU152" s="99"/>
      <c r="LV152" s="99"/>
      <c r="LW152" s="99"/>
      <c r="LX152" s="99"/>
      <c r="LY152" s="99"/>
      <c r="LZ152" s="99"/>
      <c r="MA152" s="99"/>
      <c r="MB152" s="99"/>
      <c r="MC152" s="99"/>
      <c r="MD152" s="99"/>
      <c r="ME152" s="99"/>
      <c r="MF152" s="99"/>
    </row>
    <row r="153" spans="1:344" ht="17.25" customHeight="1" x14ac:dyDescent="0.25">
      <c r="A153" s="156"/>
      <c r="B153" s="81" t="s">
        <v>3</v>
      </c>
      <c r="C153" s="82">
        <v>45287</v>
      </c>
      <c r="D153" s="49">
        <v>13</v>
      </c>
      <c r="E153" s="39">
        <v>10</v>
      </c>
      <c r="F153" s="103">
        <v>96</v>
      </c>
      <c r="G153" s="89">
        <f t="shared" si="194"/>
        <v>8.25</v>
      </c>
      <c r="H153" s="35">
        <f t="shared" si="195"/>
        <v>792</v>
      </c>
      <c r="I153" s="39"/>
      <c r="L153" s="89">
        <f t="shared" si="196"/>
        <v>0</v>
      </c>
      <c r="M153" s="35">
        <f t="shared" si="217"/>
        <v>0</v>
      </c>
      <c r="N153" s="35">
        <f t="shared" si="218"/>
        <v>792</v>
      </c>
      <c r="O153" s="97">
        <f>SUM($Z153,$BH153,$AQ153,$BY153,$CP153,$DG153,$DX153,$EO153,$FF153,$FW153,$GN153)/D153</f>
        <v>0</v>
      </c>
      <c r="P153" s="150"/>
      <c r="Q153" s="132">
        <f t="shared" si="293"/>
        <v>0</v>
      </c>
      <c r="R153" s="134">
        <f t="shared" si="294"/>
        <v>0</v>
      </c>
      <c r="S153" s="136">
        <f t="shared" si="295"/>
        <v>0</v>
      </c>
      <c r="T153" s="138">
        <f t="shared" si="296"/>
        <v>0</v>
      </c>
      <c r="U153" s="144">
        <f t="shared" si="297"/>
        <v>0</v>
      </c>
      <c r="W153" s="11">
        <v>10</v>
      </c>
      <c r="X153" s="1">
        <v>0</v>
      </c>
      <c r="Y153" s="35">
        <f t="shared" si="201"/>
        <v>960</v>
      </c>
      <c r="Z153" s="35">
        <f t="shared" si="220"/>
        <v>0</v>
      </c>
      <c r="AA153" s="15">
        <f t="shared" si="233"/>
        <v>1.2417426338209563</v>
      </c>
      <c r="AB153" s="43">
        <f t="shared" si="173"/>
        <v>623.87231460850001</v>
      </c>
      <c r="AC153" s="43">
        <f t="shared" si="174"/>
        <v>502.41676303630447</v>
      </c>
      <c r="AD153" s="33"/>
      <c r="AH153" s="31"/>
      <c r="AN153" s="11">
        <v>10</v>
      </c>
      <c r="AP153" s="35">
        <f t="shared" si="202"/>
        <v>960</v>
      </c>
      <c r="AQ153" s="35">
        <f t="shared" si="221"/>
        <v>0</v>
      </c>
      <c r="AR153" s="15">
        <f t="shared" si="234"/>
        <v>1.1564637888935045</v>
      </c>
      <c r="AS153" s="28">
        <f t="shared" si="235"/>
        <v>601.38549398036685</v>
      </c>
      <c r="AT153" s="28">
        <f t="shared" si="236"/>
        <v>520.02103287277828</v>
      </c>
      <c r="AU153" s="33"/>
      <c r="AY153" s="31"/>
      <c r="BE153" s="86"/>
      <c r="BF153" s="87"/>
      <c r="BG153" s="35">
        <f t="shared" si="203"/>
        <v>0</v>
      </c>
      <c r="BH153" s="35">
        <f t="shared" si="222"/>
        <v>0</v>
      </c>
      <c r="BI153" s="15">
        <f t="shared" si="237"/>
        <v>7.5085742234639772E-4</v>
      </c>
      <c r="BJ153" s="28">
        <f t="shared" si="238"/>
        <v>2.5551068778629511E-2</v>
      </c>
      <c r="BK153" s="28">
        <f t="shared" si="239"/>
        <v>34.029188522613921</v>
      </c>
      <c r="BL153" s="33"/>
      <c r="BP153" s="31"/>
      <c r="BV153" s="11">
        <v>9</v>
      </c>
      <c r="BX153" s="35">
        <f t="shared" si="204"/>
        <v>864</v>
      </c>
      <c r="BY153" s="35">
        <f t="shared" si="223"/>
        <v>0</v>
      </c>
      <c r="BZ153" s="15">
        <f t="shared" si="240"/>
        <v>1.3243631762612311</v>
      </c>
      <c r="CA153" s="28">
        <f t="shared" si="241"/>
        <v>520.20087287608226</v>
      </c>
      <c r="CB153" s="28">
        <f t="shared" si="242"/>
        <v>392.79321729908355</v>
      </c>
      <c r="CC153" s="33"/>
      <c r="CG153" s="31"/>
      <c r="CM153" s="11">
        <v>10</v>
      </c>
      <c r="CO153" s="35">
        <f t="shared" si="205"/>
        <v>960</v>
      </c>
      <c r="CP153" s="35">
        <f t="shared" si="224"/>
        <v>0</v>
      </c>
      <c r="CQ153" s="15">
        <f t="shared" si="243"/>
        <v>1.15023221834475</v>
      </c>
      <c r="CR153" s="28">
        <f t="shared" si="244"/>
        <v>442.48809265961546</v>
      </c>
      <c r="CS153" s="28">
        <f t="shared" si="245"/>
        <v>384.69457349784653</v>
      </c>
      <c r="CT153" s="33"/>
      <c r="CX153" s="31"/>
      <c r="DD153" s="11">
        <v>4.9000000000000004</v>
      </c>
      <c r="DF153" s="35">
        <f t="shared" si="206"/>
        <v>470.40000000000003</v>
      </c>
      <c r="DG153" s="35">
        <f t="shared" si="225"/>
        <v>0</v>
      </c>
      <c r="DH153" s="15">
        <f t="shared" si="246"/>
        <v>0.94816569067370982</v>
      </c>
      <c r="DI153" s="28">
        <f t="shared" si="247"/>
        <v>376.94872868910272</v>
      </c>
      <c r="DJ153" s="28">
        <f t="shared" si="248"/>
        <v>397.55575675941776</v>
      </c>
      <c r="DK153" s="33"/>
      <c r="DO153" s="31"/>
      <c r="DU153" s="11">
        <v>5.0999999999999996</v>
      </c>
      <c r="DW153" s="35">
        <f t="shared" si="207"/>
        <v>489.59999999999997</v>
      </c>
      <c r="DX153" s="35">
        <f t="shared" si="226"/>
        <v>0</v>
      </c>
      <c r="DY153" s="15">
        <f t="shared" si="249"/>
        <v>0.96385261183406257</v>
      </c>
      <c r="DZ153" s="28">
        <f t="shared" si="250"/>
        <v>386.40136744206347</v>
      </c>
      <c r="EA153" s="28">
        <f t="shared" si="251"/>
        <v>400.89258741209551</v>
      </c>
      <c r="EB153" s="33"/>
      <c r="EF153" s="31"/>
      <c r="EL153" s="11">
        <v>7</v>
      </c>
      <c r="EN153" s="35">
        <f t="shared" si="208"/>
        <v>672</v>
      </c>
      <c r="EO153" s="35">
        <f t="shared" si="227"/>
        <v>0</v>
      </c>
      <c r="EP153" s="15">
        <f t="shared" si="252"/>
        <v>1.0649555071543371</v>
      </c>
      <c r="EQ153" s="28">
        <f t="shared" si="253"/>
        <v>505.10107162047257</v>
      </c>
      <c r="ER153" s="28">
        <f t="shared" si="254"/>
        <v>474.2931213813344</v>
      </c>
      <c r="ES153" s="33"/>
      <c r="EW153" s="31"/>
      <c r="FC153" s="11">
        <v>9</v>
      </c>
      <c r="FE153" s="35">
        <f t="shared" si="209"/>
        <v>864</v>
      </c>
      <c r="FF153" s="35">
        <f t="shared" si="228"/>
        <v>0</v>
      </c>
      <c r="FG153" s="15">
        <f t="shared" si="255"/>
        <v>1.1981957046373</v>
      </c>
      <c r="FH153" s="28">
        <f t="shared" si="256"/>
        <v>555.4064640786562</v>
      </c>
      <c r="FI153" s="28">
        <f t="shared" si="257"/>
        <v>463.53568280131714</v>
      </c>
      <c r="FJ153" s="33"/>
      <c r="FN153" s="31"/>
      <c r="FT153" s="11">
        <v>7.5</v>
      </c>
      <c r="FV153" s="35">
        <f t="shared" si="210"/>
        <v>720</v>
      </c>
      <c r="FW153" s="35">
        <f t="shared" si="229"/>
        <v>0</v>
      </c>
      <c r="FX153" s="15">
        <f t="shared" si="258"/>
        <v>1.0686674243720302</v>
      </c>
      <c r="FY153" s="28">
        <f t="shared" si="259"/>
        <v>532.54424703428799</v>
      </c>
      <c r="FZ153" s="28">
        <f t="shared" si="260"/>
        <v>498.32551726485104</v>
      </c>
      <c r="GA153" s="33"/>
      <c r="GE153" s="31"/>
      <c r="GK153" s="11">
        <v>10</v>
      </c>
      <c r="GM153" s="35">
        <f t="shared" si="211"/>
        <v>960</v>
      </c>
      <c r="GN153" s="35">
        <f t="shared" si="230"/>
        <v>0</v>
      </c>
      <c r="GO153" s="15">
        <f t="shared" si="261"/>
        <v>1.0974875643798054</v>
      </c>
      <c r="GP153" s="28">
        <f t="shared" si="262"/>
        <v>606.43413117364685</v>
      </c>
      <c r="GQ153" s="28">
        <f t="shared" si="263"/>
        <v>552.56583387014973</v>
      </c>
      <c r="GR153" s="33"/>
      <c r="GV153" s="31"/>
      <c r="HD153" s="35">
        <f t="shared" si="212"/>
        <v>0</v>
      </c>
      <c r="HE153" s="35">
        <f t="shared" si="231"/>
        <v>0</v>
      </c>
      <c r="HF153" s="15">
        <f t="shared" si="264"/>
        <v>0.4209917991827411</v>
      </c>
      <c r="HG153" s="28">
        <f t="shared" si="265"/>
        <v>84.100398298559668</v>
      </c>
      <c r="HH153" s="28">
        <f t="shared" si="266"/>
        <v>199.76730772860964</v>
      </c>
      <c r="HI153" s="33"/>
      <c r="HM153" s="31"/>
      <c r="HU153" s="35">
        <f t="shared" si="213"/>
        <v>0</v>
      </c>
      <c r="HV153" s="35">
        <f t="shared" si="232"/>
        <v>0</v>
      </c>
      <c r="HW153" s="15">
        <f t="shared" si="267"/>
        <v>6.4931878661492746E-5</v>
      </c>
      <c r="HX153" s="28">
        <f t="shared" si="268"/>
        <v>8.4984765360940232E-5</v>
      </c>
      <c r="HY153" s="28">
        <f t="shared" si="269"/>
        <v>1.3088296090120626</v>
      </c>
      <c r="HZ153" s="33"/>
      <c r="ID153" s="31"/>
      <c r="II153" s="12"/>
      <c r="IL153" s="35">
        <f t="shared" si="214"/>
        <v>0</v>
      </c>
      <c r="IM153" s="35">
        <f t="shared" si="215"/>
        <v>4912.7426675285305</v>
      </c>
      <c r="IN153" s="15">
        <f t="shared" si="270"/>
        <v>0.55864849095343805</v>
      </c>
      <c r="IO153" s="28">
        <f t="shared" si="271"/>
        <v>38.237705014725222</v>
      </c>
      <c r="IP153" s="28">
        <f t="shared" si="272"/>
        <v>68.446806236718601</v>
      </c>
      <c r="IQ153" s="33"/>
      <c r="IU153" s="31"/>
      <c r="JC153" s="35">
        <f t="shared" si="180"/>
        <v>0</v>
      </c>
      <c r="JD153" s="35">
        <f t="shared" si="216"/>
        <v>4656.875934782729</v>
      </c>
      <c r="JE153" s="15">
        <f t="shared" si="273"/>
        <v>0.79795149149452627</v>
      </c>
      <c r="JF153" s="28">
        <f t="shared" si="274"/>
        <v>22.775688171386719</v>
      </c>
      <c r="JG153" s="28">
        <f t="shared" si="275"/>
        <v>28.542697662897911</v>
      </c>
      <c r="JH153" s="33"/>
      <c r="JL153" s="31"/>
      <c r="JR153" s="99"/>
      <c r="JS153" s="99"/>
      <c r="JT153" s="99"/>
      <c r="JU153" s="99"/>
      <c r="JV153" s="99"/>
      <c r="JW153" s="99"/>
      <c r="JX153" s="99"/>
      <c r="JY153" s="99"/>
      <c r="JZ153" s="99"/>
      <c r="KA153" s="99"/>
      <c r="KB153" s="99"/>
      <c r="KC153" s="99"/>
      <c r="KD153" s="99"/>
      <c r="KE153" s="99"/>
      <c r="KF153" s="99"/>
      <c r="KG153" s="99"/>
      <c r="KH153" s="99"/>
      <c r="KI153" s="99"/>
      <c r="KJ153" s="99"/>
      <c r="KK153" s="99"/>
      <c r="KL153" s="99"/>
      <c r="KM153" s="99"/>
      <c r="KN153" s="99"/>
      <c r="KO153" s="99"/>
      <c r="KP153" s="99"/>
      <c r="KQ153" s="99"/>
      <c r="KR153" s="99"/>
      <c r="KS153" s="99"/>
      <c r="KT153" s="99"/>
      <c r="KU153" s="99"/>
      <c r="KV153" s="99"/>
      <c r="KW153" s="99"/>
      <c r="KX153" s="99"/>
      <c r="KY153" s="99"/>
      <c r="KZ153" s="99"/>
      <c r="LA153" s="99"/>
      <c r="LB153" s="99"/>
      <c r="LC153" s="99"/>
      <c r="LD153" s="99"/>
      <c r="LE153" s="99"/>
      <c r="LF153" s="99"/>
      <c r="LG153" s="99"/>
      <c r="LH153" s="99"/>
      <c r="LI153" s="99"/>
      <c r="LJ153" s="99"/>
      <c r="LK153" s="99"/>
      <c r="LL153" s="99"/>
      <c r="LM153" s="99"/>
      <c r="LN153" s="99"/>
      <c r="LO153" s="99"/>
      <c r="LP153" s="99"/>
      <c r="LQ153" s="99"/>
      <c r="LR153" s="99"/>
      <c r="LS153" s="99"/>
      <c r="LT153" s="99"/>
      <c r="LU153" s="99"/>
      <c r="LV153" s="99"/>
      <c r="LW153" s="99"/>
      <c r="LX153" s="99"/>
      <c r="LY153" s="99"/>
      <c r="LZ153" s="99"/>
      <c r="MA153" s="99"/>
      <c r="MB153" s="99"/>
      <c r="MC153" s="99"/>
      <c r="MD153" s="99"/>
      <c r="ME153" s="99"/>
      <c r="MF153" s="99"/>
    </row>
    <row r="154" spans="1:344" ht="17.25" customHeight="1" x14ac:dyDescent="0.25">
      <c r="A154" s="156"/>
      <c r="B154" s="81" t="s">
        <v>4</v>
      </c>
      <c r="C154" s="82">
        <v>45288</v>
      </c>
      <c r="D154" s="49">
        <v>13</v>
      </c>
      <c r="E154" s="39">
        <v>10</v>
      </c>
      <c r="F154" s="103">
        <v>87</v>
      </c>
      <c r="G154" s="89">
        <f t="shared" si="194"/>
        <v>7.4520000000000008</v>
      </c>
      <c r="H154" s="35">
        <f t="shared" si="195"/>
        <v>648.32400000000007</v>
      </c>
      <c r="I154" s="39">
        <v>13</v>
      </c>
      <c r="J154" s="39">
        <v>10</v>
      </c>
      <c r="K154" s="103">
        <v>45</v>
      </c>
      <c r="L154" s="89">
        <f t="shared" si="196"/>
        <v>4</v>
      </c>
      <c r="M154" s="35">
        <f t="shared" si="217"/>
        <v>180</v>
      </c>
      <c r="N154" s="35">
        <f t="shared" si="218"/>
        <v>828.32400000000007</v>
      </c>
      <c r="O154" s="97">
        <f>SUM($Z154,$BH154,$AQ154,$BY154,$CP154,$DG154,$DX154,$EO154,$FF154,$FW154,$GN154)/D154</f>
        <v>0</v>
      </c>
      <c r="P154" s="150"/>
      <c r="Q154" s="132">
        <f t="shared" si="293"/>
        <v>0</v>
      </c>
      <c r="R154" s="134">
        <f t="shared" si="294"/>
        <v>0</v>
      </c>
      <c r="S154" s="136">
        <f t="shared" si="295"/>
        <v>0</v>
      </c>
      <c r="T154" s="138">
        <f t="shared" si="296"/>
        <v>0</v>
      </c>
      <c r="U154" s="144">
        <f t="shared" si="297"/>
        <v>0</v>
      </c>
      <c r="W154" s="11">
        <v>8.5</v>
      </c>
      <c r="X154" s="1">
        <v>4</v>
      </c>
      <c r="Y154" s="35">
        <f t="shared" si="201"/>
        <v>919.5</v>
      </c>
      <c r="Z154" s="35">
        <f t="shared" si="220"/>
        <v>0</v>
      </c>
      <c r="AA154" s="15">
        <f t="shared" si="233"/>
        <v>1.3136371082446145</v>
      </c>
      <c r="AB154" s="43">
        <f t="shared" ref="AB154:AB217" si="298">Y154*(2/(7+1))+((1-(2/(7+1)))*AB153)</f>
        <v>697.77923595637503</v>
      </c>
      <c r="AC154" s="43">
        <f t="shared" ref="AC154:AC217" si="299">Y154*(2/(28+1))+((1-(2/(28+1)))*AC153)</f>
        <v>531.18112420621446</v>
      </c>
      <c r="AD154" s="33"/>
      <c r="AH154" s="31"/>
      <c r="AN154" s="11">
        <v>9</v>
      </c>
      <c r="AO154" s="1">
        <v>4</v>
      </c>
      <c r="AP154" s="35">
        <f t="shared" si="202"/>
        <v>963</v>
      </c>
      <c r="AQ154" s="35">
        <f t="shared" si="221"/>
        <v>0</v>
      </c>
      <c r="AR154" s="15">
        <f t="shared" si="234"/>
        <v>1.2564932323181024</v>
      </c>
      <c r="AS154" s="28">
        <f t="shared" si="235"/>
        <v>691.78912048527513</v>
      </c>
      <c r="AT154" s="28">
        <f t="shared" si="236"/>
        <v>550.57130646775909</v>
      </c>
      <c r="AU154" s="33"/>
      <c r="AY154" s="31"/>
      <c r="BE154" s="86"/>
      <c r="BF154" s="87"/>
      <c r="BG154" s="35">
        <f t="shared" si="203"/>
        <v>0</v>
      </c>
      <c r="BH154" s="35">
        <f t="shared" si="222"/>
        <v>0</v>
      </c>
      <c r="BI154" s="15">
        <f t="shared" si="237"/>
        <v>6.0485736800126497E-4</v>
      </c>
      <c r="BJ154" s="28">
        <f t="shared" si="238"/>
        <v>1.9163301583972135E-2</v>
      </c>
      <c r="BK154" s="28">
        <f t="shared" si="239"/>
        <v>31.682347934847442</v>
      </c>
      <c r="BL154" s="33"/>
      <c r="BP154" s="31"/>
      <c r="BV154" s="11">
        <v>8</v>
      </c>
      <c r="BW154" s="1">
        <v>4</v>
      </c>
      <c r="BX154" s="35">
        <f t="shared" si="204"/>
        <v>876</v>
      </c>
      <c r="BY154" s="35">
        <f t="shared" si="223"/>
        <v>0</v>
      </c>
      <c r="BZ154" s="15">
        <f t="shared" si="240"/>
        <v>1.4295357334850369</v>
      </c>
      <c r="CA154" s="28">
        <f t="shared" si="241"/>
        <v>609.15065465706175</v>
      </c>
      <c r="CB154" s="28">
        <f t="shared" si="242"/>
        <v>426.117823002595</v>
      </c>
      <c r="CC154" s="33"/>
      <c r="CG154" s="31"/>
      <c r="CM154" s="11">
        <v>8</v>
      </c>
      <c r="CN154" s="1">
        <v>4</v>
      </c>
      <c r="CO154" s="35">
        <f t="shared" si="205"/>
        <v>876</v>
      </c>
      <c r="CP154" s="35">
        <f t="shared" si="224"/>
        <v>0</v>
      </c>
      <c r="CQ154" s="15">
        <f t="shared" si="243"/>
        <v>1.3160425438923211</v>
      </c>
      <c r="CR154" s="28">
        <f t="shared" si="244"/>
        <v>550.86606949471161</v>
      </c>
      <c r="CS154" s="28">
        <f t="shared" si="245"/>
        <v>418.57770636006398</v>
      </c>
      <c r="CT154" s="33"/>
      <c r="CX154" s="31"/>
      <c r="DD154" s="11">
        <v>4.7</v>
      </c>
      <c r="DE154" s="1">
        <v>4</v>
      </c>
      <c r="DF154" s="35">
        <f t="shared" si="206"/>
        <v>588.90000000000009</v>
      </c>
      <c r="DG154" s="35">
        <f t="shared" si="225"/>
        <v>0</v>
      </c>
      <c r="DH154" s="15">
        <f t="shared" si="246"/>
        <v>1.0467061370030069</v>
      </c>
      <c r="DI154" s="28">
        <f t="shared" si="247"/>
        <v>429.93654651682709</v>
      </c>
      <c r="DJ154" s="28">
        <f t="shared" si="248"/>
        <v>410.75191146566482</v>
      </c>
      <c r="DK154" s="33"/>
      <c r="DO154" s="31"/>
      <c r="DU154" s="11">
        <v>4.7</v>
      </c>
      <c r="DV154" s="1">
        <v>4</v>
      </c>
      <c r="DW154" s="35">
        <f t="shared" si="207"/>
        <v>588.90000000000009</v>
      </c>
      <c r="DX154" s="35">
        <f t="shared" si="226"/>
        <v>0</v>
      </c>
      <c r="DY154" s="15">
        <f t="shared" si="249"/>
        <v>1.055979044115372</v>
      </c>
      <c r="DZ154" s="28">
        <f t="shared" si="250"/>
        <v>437.02602558154763</v>
      </c>
      <c r="EA154" s="28">
        <f t="shared" si="251"/>
        <v>413.85861586643375</v>
      </c>
      <c r="EB154" s="33"/>
      <c r="EF154" s="31"/>
      <c r="EL154" s="11">
        <v>6.5</v>
      </c>
      <c r="EM154" s="1">
        <v>4</v>
      </c>
      <c r="EN154" s="35">
        <f t="shared" si="208"/>
        <v>745.5</v>
      </c>
      <c r="EO154" s="35">
        <f t="shared" si="227"/>
        <v>0</v>
      </c>
      <c r="EP154" s="15">
        <f t="shared" si="252"/>
        <v>1.1464588085118792</v>
      </c>
      <c r="EQ154" s="28">
        <f t="shared" si="253"/>
        <v>565.20080371535437</v>
      </c>
      <c r="ER154" s="28">
        <f t="shared" si="254"/>
        <v>492.9970440446906</v>
      </c>
      <c r="ES154" s="33"/>
      <c r="EW154" s="31"/>
      <c r="FC154" s="11">
        <v>9</v>
      </c>
      <c r="FD154" s="1">
        <v>4</v>
      </c>
      <c r="FE154" s="35">
        <f t="shared" si="209"/>
        <v>963</v>
      </c>
      <c r="FF154" s="35">
        <f t="shared" si="228"/>
        <v>0</v>
      </c>
      <c r="FG154" s="15">
        <f t="shared" si="255"/>
        <v>1.3199382928653913</v>
      </c>
      <c r="FH154" s="28">
        <f t="shared" si="256"/>
        <v>657.30484805899209</v>
      </c>
      <c r="FI154" s="28">
        <f t="shared" si="257"/>
        <v>497.98149778053659</v>
      </c>
      <c r="FJ154" s="33"/>
      <c r="FN154" s="31"/>
      <c r="FT154" s="11">
        <v>8</v>
      </c>
      <c r="FU154" s="1">
        <v>4</v>
      </c>
      <c r="FV154" s="35">
        <f t="shared" si="210"/>
        <v>876</v>
      </c>
      <c r="FW154" s="35">
        <f t="shared" si="229"/>
        <v>0</v>
      </c>
      <c r="FX154" s="15">
        <f t="shared" si="258"/>
        <v>1.1793309825575251</v>
      </c>
      <c r="FY154" s="28">
        <f t="shared" si="259"/>
        <v>618.40818527571605</v>
      </c>
      <c r="FZ154" s="28">
        <f t="shared" si="260"/>
        <v>524.37203331555099</v>
      </c>
      <c r="GA154" s="33"/>
      <c r="GE154" s="31"/>
      <c r="GK154" s="11">
        <v>8.1199999999999992</v>
      </c>
      <c r="GL154" s="1">
        <v>4</v>
      </c>
      <c r="GM154" s="35">
        <f t="shared" si="211"/>
        <v>886.43999999999994</v>
      </c>
      <c r="GN154" s="35">
        <f t="shared" si="230"/>
        <v>0</v>
      </c>
      <c r="GO154" s="15">
        <f t="shared" si="261"/>
        <v>1.1752005297094406</v>
      </c>
      <c r="GP154" s="28">
        <f t="shared" si="262"/>
        <v>676.43559838023509</v>
      </c>
      <c r="GQ154" s="28">
        <f t="shared" si="263"/>
        <v>575.59163843082911</v>
      </c>
      <c r="GR154" s="33"/>
      <c r="GV154" s="31"/>
      <c r="HB154" s="11">
        <v>7.9</v>
      </c>
      <c r="HD154" s="35">
        <f t="shared" si="212"/>
        <v>687.30000000000007</v>
      </c>
      <c r="HE154" s="35">
        <f t="shared" si="231"/>
        <v>0</v>
      </c>
      <c r="HF154" s="15">
        <f t="shared" si="264"/>
        <v>1.0064700504311614</v>
      </c>
      <c r="HG154" s="28">
        <f t="shared" si="265"/>
        <v>234.90029872391978</v>
      </c>
      <c r="HH154" s="28">
        <f t="shared" si="266"/>
        <v>233.39025202318828</v>
      </c>
      <c r="HI154" s="33"/>
      <c r="HM154" s="31"/>
      <c r="HU154" s="35">
        <f t="shared" si="213"/>
        <v>0</v>
      </c>
      <c r="HV154" s="35">
        <f t="shared" si="232"/>
        <v>0</v>
      </c>
      <c r="HW154" s="15">
        <f t="shared" si="267"/>
        <v>5.2306235588424708E-5</v>
      </c>
      <c r="HX154" s="28">
        <f t="shared" si="268"/>
        <v>6.3738574020705174E-5</v>
      </c>
      <c r="HY154" s="28">
        <f t="shared" si="269"/>
        <v>1.2185654980457135</v>
      </c>
      <c r="HZ154" s="33"/>
      <c r="ID154" s="31"/>
      <c r="II154" s="12"/>
      <c r="IJ154" s="11">
        <v>6.5</v>
      </c>
      <c r="IL154" s="35">
        <f t="shared" si="214"/>
        <v>565.5</v>
      </c>
      <c r="IM154" s="35">
        <f t="shared" si="215"/>
        <v>5447.4803408416774</v>
      </c>
      <c r="IN154" s="15">
        <f t="shared" si="270"/>
        <v>1.6554009808031562</v>
      </c>
      <c r="IO154" s="28">
        <f t="shared" si="271"/>
        <v>170.05327876104391</v>
      </c>
      <c r="IP154" s="28">
        <f t="shared" si="272"/>
        <v>102.72633684108283</v>
      </c>
      <c r="IQ154" s="33"/>
      <c r="IU154" s="31"/>
      <c r="JC154" s="35">
        <f t="shared" si="180"/>
        <v>0</v>
      </c>
      <c r="JD154" s="35">
        <f t="shared" si="216"/>
        <v>5176.3009374108433</v>
      </c>
      <c r="JE154" s="15">
        <f t="shared" si="273"/>
        <v>0.64279425703725734</v>
      </c>
      <c r="JF154" s="28">
        <f t="shared" si="274"/>
        <v>17.081766128540039</v>
      </c>
      <c r="JG154" s="28">
        <f t="shared" si="275"/>
        <v>26.574235755111847</v>
      </c>
      <c r="JH154" s="33"/>
      <c r="JL154" s="31"/>
      <c r="JR154" s="99"/>
      <c r="JS154" s="99"/>
      <c r="JT154" s="99"/>
      <c r="JU154" s="99"/>
      <c r="JV154" s="99"/>
      <c r="JW154" s="99"/>
      <c r="JX154" s="99"/>
      <c r="JY154" s="99"/>
      <c r="JZ154" s="99"/>
      <c r="KA154" s="99"/>
      <c r="KB154" s="99"/>
      <c r="KC154" s="99"/>
      <c r="KD154" s="99"/>
      <c r="KE154" s="99"/>
      <c r="KF154" s="99"/>
      <c r="KG154" s="99"/>
      <c r="KH154" s="99"/>
      <c r="KI154" s="99"/>
      <c r="KJ154" s="99"/>
      <c r="KK154" s="99"/>
      <c r="KL154" s="99"/>
      <c r="KM154" s="99"/>
      <c r="KN154" s="99"/>
      <c r="KO154" s="99"/>
      <c r="KP154" s="99"/>
      <c r="KQ154" s="99"/>
      <c r="KR154" s="99"/>
      <c r="KS154" s="99"/>
      <c r="KT154" s="99"/>
      <c r="KU154" s="99"/>
      <c r="KV154" s="99"/>
      <c r="KW154" s="99"/>
      <c r="KX154" s="99"/>
      <c r="KY154" s="99"/>
      <c r="KZ154" s="99"/>
      <c r="LA154" s="99"/>
      <c r="LB154" s="99"/>
      <c r="LC154" s="99"/>
      <c r="LD154" s="99"/>
      <c r="LE154" s="99"/>
      <c r="LF154" s="99"/>
      <c r="LG154" s="99"/>
      <c r="LH154" s="99"/>
      <c r="LI154" s="99"/>
      <c r="LJ154" s="99"/>
      <c r="LK154" s="99"/>
      <c r="LL154" s="99"/>
      <c r="LM154" s="99"/>
      <c r="LN154" s="99"/>
      <c r="LO154" s="99"/>
      <c r="LP154" s="99"/>
      <c r="LQ154" s="99"/>
      <c r="LR154" s="99"/>
      <c r="LS154" s="99"/>
      <c r="LT154" s="99"/>
      <c r="LU154" s="99"/>
      <c r="LV154" s="99"/>
      <c r="LW154" s="99"/>
      <c r="LX154" s="99"/>
      <c r="LY154" s="99"/>
      <c r="LZ154" s="99"/>
      <c r="MA154" s="99"/>
      <c r="MB154" s="99"/>
      <c r="MC154" s="99"/>
      <c r="MD154" s="99"/>
      <c r="ME154" s="99"/>
      <c r="MF154" s="99"/>
    </row>
    <row r="155" spans="1:344" ht="17.25" customHeight="1" x14ac:dyDescent="0.25">
      <c r="A155" s="156"/>
      <c r="B155" s="81" t="s">
        <v>5</v>
      </c>
      <c r="C155" s="82">
        <v>45289</v>
      </c>
      <c r="D155" s="49">
        <v>13</v>
      </c>
      <c r="E155" s="39">
        <v>10</v>
      </c>
      <c r="F155" s="103">
        <v>64</v>
      </c>
      <c r="G155" s="89">
        <f t="shared" si="194"/>
        <v>6.5569999999999995</v>
      </c>
      <c r="H155" s="35">
        <f t="shared" si="195"/>
        <v>419.64799999999997</v>
      </c>
      <c r="I155" s="39"/>
      <c r="L155" s="89">
        <f t="shared" si="196"/>
        <v>0</v>
      </c>
      <c r="M155" s="35">
        <f t="shared" si="217"/>
        <v>0</v>
      </c>
      <c r="N155" s="35">
        <f t="shared" si="218"/>
        <v>419.64799999999997</v>
      </c>
      <c r="O155" s="97">
        <f>SUM($Z155,$BH155,$AQ155,$BY155,$CP155,$DG155,$DX155,$EO155,$FF155,$FW155,$GN155)/D155</f>
        <v>0</v>
      </c>
      <c r="P155" s="150"/>
      <c r="Q155" s="132">
        <f t="shared" si="293"/>
        <v>0</v>
      </c>
      <c r="R155" s="134">
        <f t="shared" si="294"/>
        <v>0</v>
      </c>
      <c r="S155" s="136">
        <f t="shared" si="295"/>
        <v>0</v>
      </c>
      <c r="T155" s="138">
        <f t="shared" si="296"/>
        <v>0</v>
      </c>
      <c r="U155" s="144">
        <f t="shared" si="297"/>
        <v>0</v>
      </c>
      <c r="W155" s="11">
        <v>6</v>
      </c>
      <c r="X155" s="1">
        <v>0</v>
      </c>
      <c r="Y155" s="35">
        <f t="shared" si="201"/>
        <v>384</v>
      </c>
      <c r="Z155" s="35">
        <f t="shared" si="220"/>
        <v>0</v>
      </c>
      <c r="AA155" s="15">
        <f t="shared" si="233"/>
        <v>1.1886716555696397</v>
      </c>
      <c r="AB155" s="43">
        <f t="shared" si="298"/>
        <v>619.33442696728127</v>
      </c>
      <c r="AC155" s="43">
        <f t="shared" si="299"/>
        <v>521.03070184716523</v>
      </c>
      <c r="AD155" s="33"/>
      <c r="AH155" s="31"/>
      <c r="AN155" s="11">
        <v>8.5</v>
      </c>
      <c r="AP155" s="35">
        <f t="shared" si="202"/>
        <v>544</v>
      </c>
      <c r="AQ155" s="35">
        <f t="shared" si="221"/>
        <v>0</v>
      </c>
      <c r="AR155" s="15">
        <f t="shared" si="234"/>
        <v>1.1903658959530727</v>
      </c>
      <c r="AS155" s="28">
        <f t="shared" si="235"/>
        <v>654.84184036395641</v>
      </c>
      <c r="AT155" s="28">
        <f t="shared" si="236"/>
        <v>550.11811291825848</v>
      </c>
      <c r="AU155" s="33"/>
      <c r="AY155" s="31"/>
      <c r="BE155" s="86"/>
      <c r="BF155" s="87"/>
      <c r="BG155" s="35">
        <f t="shared" si="203"/>
        <v>0</v>
      </c>
      <c r="BH155" s="35">
        <f t="shared" si="222"/>
        <v>0</v>
      </c>
      <c r="BI155" s="15">
        <f t="shared" si="237"/>
        <v>4.8724621311213009E-4</v>
      </c>
      <c r="BJ155" s="28">
        <f t="shared" si="238"/>
        <v>1.4372476187979101E-2</v>
      </c>
      <c r="BK155" s="28">
        <f t="shared" si="239"/>
        <v>29.497358422099342</v>
      </c>
      <c r="BL155" s="33"/>
      <c r="BP155" s="31"/>
      <c r="BV155" s="11">
        <v>6</v>
      </c>
      <c r="BX155" s="35">
        <f t="shared" si="204"/>
        <v>384</v>
      </c>
      <c r="BY155" s="35">
        <f t="shared" si="223"/>
        <v>0</v>
      </c>
      <c r="BZ155" s="15">
        <f t="shared" si="240"/>
        <v>1.3063464516653831</v>
      </c>
      <c r="CA155" s="28">
        <f t="shared" si="241"/>
        <v>552.86299099279631</v>
      </c>
      <c r="CB155" s="28">
        <f t="shared" si="242"/>
        <v>423.21314555414017</v>
      </c>
      <c r="CC155" s="33"/>
      <c r="CG155" s="31"/>
      <c r="CM155" s="11">
        <v>7.5</v>
      </c>
      <c r="CO155" s="35">
        <f t="shared" si="205"/>
        <v>480</v>
      </c>
      <c r="CP155" s="35">
        <f t="shared" si="224"/>
        <v>0</v>
      </c>
      <c r="CQ155" s="15">
        <f t="shared" si="243"/>
        <v>1.2609561103758276</v>
      </c>
      <c r="CR155" s="28">
        <f t="shared" si="244"/>
        <v>533.14955212103371</v>
      </c>
      <c r="CS155" s="28">
        <f t="shared" si="245"/>
        <v>422.81372661109407</v>
      </c>
      <c r="CT155" s="33"/>
      <c r="CX155" s="31"/>
      <c r="DD155" s="11">
        <v>4.4000000000000004</v>
      </c>
      <c r="DF155" s="35">
        <f t="shared" si="206"/>
        <v>281.60000000000002</v>
      </c>
      <c r="DG155" s="35">
        <f t="shared" si="225"/>
        <v>0</v>
      </c>
      <c r="DH155" s="15">
        <f t="shared" si="246"/>
        <v>0.97762202884858773</v>
      </c>
      <c r="DI155" s="28">
        <f t="shared" si="247"/>
        <v>392.8524098876203</v>
      </c>
      <c r="DJ155" s="28">
        <f t="shared" si="248"/>
        <v>401.84488308872238</v>
      </c>
      <c r="DK155" s="33"/>
      <c r="DO155" s="31"/>
      <c r="DU155" s="11">
        <v>4.5999999999999996</v>
      </c>
      <c r="DW155" s="35">
        <f t="shared" si="207"/>
        <v>294.39999999999998</v>
      </c>
      <c r="DX155" s="35">
        <f t="shared" si="226"/>
        <v>0</v>
      </c>
      <c r="DY155" s="15">
        <f t="shared" si="249"/>
        <v>0.98952080642391593</v>
      </c>
      <c r="DZ155" s="28">
        <f t="shared" si="250"/>
        <v>401.36951918616069</v>
      </c>
      <c r="EA155" s="28">
        <f t="shared" si="251"/>
        <v>405.62009063426592</v>
      </c>
      <c r="EB155" s="33"/>
      <c r="EF155" s="31"/>
      <c r="EL155" s="11">
        <v>6</v>
      </c>
      <c r="EN155" s="35">
        <f t="shared" si="208"/>
        <v>384</v>
      </c>
      <c r="EO155" s="35">
        <f t="shared" si="227"/>
        <v>0</v>
      </c>
      <c r="EP155" s="15">
        <f t="shared" si="252"/>
        <v>1.0709001314154449</v>
      </c>
      <c r="EQ155" s="28">
        <f t="shared" si="253"/>
        <v>519.90060278651572</v>
      </c>
      <c r="ER155" s="28">
        <f t="shared" si="254"/>
        <v>485.48000652436707</v>
      </c>
      <c r="ES155" s="33"/>
      <c r="EW155" s="31"/>
      <c r="FC155" s="11">
        <v>8</v>
      </c>
      <c r="FE155" s="35">
        <f t="shared" si="209"/>
        <v>512</v>
      </c>
      <c r="FF155" s="35">
        <f t="shared" si="228"/>
        <v>0</v>
      </c>
      <c r="FG155" s="15">
        <f t="shared" si="255"/>
        <v>1.2445751337349122</v>
      </c>
      <c r="FH155" s="28">
        <f t="shared" si="256"/>
        <v>620.97863604424401</v>
      </c>
      <c r="FI155" s="28">
        <f t="shared" si="257"/>
        <v>498.94829103705132</v>
      </c>
      <c r="FJ155" s="33"/>
      <c r="FN155" s="31"/>
      <c r="FT155" s="11">
        <v>7</v>
      </c>
      <c r="FV155" s="35">
        <f t="shared" si="210"/>
        <v>448</v>
      </c>
      <c r="FW155" s="35">
        <f t="shared" si="229"/>
        <v>0</v>
      </c>
      <c r="FX155" s="15">
        <f t="shared" si="258"/>
        <v>1.1092286585567037</v>
      </c>
      <c r="FY155" s="28">
        <f t="shared" si="259"/>
        <v>575.80613895678698</v>
      </c>
      <c r="FZ155" s="28">
        <f t="shared" si="260"/>
        <v>519.1049965351682</v>
      </c>
      <c r="GA155" s="33"/>
      <c r="GE155" s="31"/>
      <c r="GK155" s="11">
        <v>7.57</v>
      </c>
      <c r="GM155" s="35">
        <f t="shared" si="211"/>
        <v>484.48</v>
      </c>
      <c r="GN155" s="35">
        <f t="shared" si="230"/>
        <v>0</v>
      </c>
      <c r="GO155" s="15">
        <f t="shared" si="261"/>
        <v>1.1038780653183069</v>
      </c>
      <c r="GP155" s="28">
        <f t="shared" si="262"/>
        <v>628.4466987851763</v>
      </c>
      <c r="GQ155" s="28">
        <f t="shared" si="263"/>
        <v>569.30807715973742</v>
      </c>
      <c r="GR155" s="33"/>
      <c r="GV155" s="31"/>
      <c r="HB155" s="11">
        <v>6.5</v>
      </c>
      <c r="HD155" s="35">
        <f t="shared" si="212"/>
        <v>416</v>
      </c>
      <c r="HE155" s="35">
        <f t="shared" si="231"/>
        <v>0</v>
      </c>
      <c r="HF155" s="15">
        <f t="shared" si="264"/>
        <v>1.1389976276531097</v>
      </c>
      <c r="HG155" s="28">
        <f t="shared" si="265"/>
        <v>280.17522404293982</v>
      </c>
      <c r="HH155" s="28">
        <f t="shared" si="266"/>
        <v>245.98402774572702</v>
      </c>
      <c r="HI155" s="33"/>
      <c r="HM155" s="31"/>
      <c r="HU155" s="35">
        <f t="shared" si="213"/>
        <v>0</v>
      </c>
      <c r="HV155" s="35">
        <f t="shared" si="232"/>
        <v>0</v>
      </c>
      <c r="HW155" s="15">
        <f t="shared" si="267"/>
        <v>4.2135578668453232E-5</v>
      </c>
      <c r="HX155" s="28">
        <f t="shared" si="268"/>
        <v>4.7803930515528877E-5</v>
      </c>
      <c r="HY155" s="28">
        <f t="shared" si="269"/>
        <v>1.1345264981804919</v>
      </c>
      <c r="HZ155" s="33"/>
      <c r="ID155" s="31"/>
      <c r="II155" s="12"/>
      <c r="IL155" s="35">
        <f t="shared" si="214"/>
        <v>0</v>
      </c>
      <c r="IM155" s="35">
        <f t="shared" si="215"/>
        <v>4715.4367310968828</v>
      </c>
      <c r="IN155" s="15">
        <f t="shared" si="270"/>
        <v>1.3335174567580983</v>
      </c>
      <c r="IO155" s="28">
        <f t="shared" si="271"/>
        <v>127.53995907078294</v>
      </c>
      <c r="IP155" s="28">
        <f t="shared" si="272"/>
        <v>95.641761886525387</v>
      </c>
      <c r="IQ155" s="33"/>
      <c r="IU155" s="31"/>
      <c r="JC155" s="35">
        <f t="shared" si="180"/>
        <v>0</v>
      </c>
      <c r="JD155" s="35">
        <f t="shared" si="216"/>
        <v>4730.4497098707325</v>
      </c>
      <c r="JE155" s="15">
        <f t="shared" si="273"/>
        <v>0.51780648483556846</v>
      </c>
      <c r="JF155" s="28">
        <f t="shared" si="274"/>
        <v>12.811324596405029</v>
      </c>
      <c r="JG155" s="28">
        <f t="shared" si="275"/>
        <v>24.741529840966201</v>
      </c>
      <c r="JH155" s="33"/>
      <c r="JL155" s="31"/>
      <c r="JR155" s="99"/>
      <c r="JS155" s="99"/>
      <c r="JT155" s="99"/>
      <c r="JU155" s="99"/>
      <c r="JV155" s="99"/>
      <c r="JW155" s="99"/>
      <c r="JX155" s="99"/>
      <c r="JY155" s="99"/>
      <c r="JZ155" s="99"/>
      <c r="KA155" s="99"/>
      <c r="KB155" s="99"/>
      <c r="KC155" s="99"/>
      <c r="KD155" s="99"/>
      <c r="KE155" s="99"/>
      <c r="KF155" s="99"/>
      <c r="KG155" s="99"/>
      <c r="KH155" s="99"/>
      <c r="KI155" s="99"/>
      <c r="KJ155" s="99"/>
      <c r="KK155" s="99"/>
      <c r="KL155" s="99"/>
      <c r="KM155" s="99"/>
      <c r="KN155" s="99"/>
      <c r="KO155" s="99"/>
      <c r="KP155" s="99"/>
      <c r="KQ155" s="99"/>
      <c r="KR155" s="99"/>
      <c r="KS155" s="99"/>
      <c r="KT155" s="99"/>
      <c r="KU155" s="99"/>
      <c r="KV155" s="99"/>
      <c r="KW155" s="99"/>
      <c r="KX155" s="99"/>
      <c r="KY155" s="99"/>
      <c r="KZ155" s="99"/>
      <c r="LA155" s="99"/>
      <c r="LB155" s="99"/>
      <c r="LC155" s="99"/>
      <c r="LD155" s="99"/>
      <c r="LE155" s="99"/>
      <c r="LF155" s="99"/>
      <c r="LG155" s="99"/>
      <c r="LH155" s="99"/>
      <c r="LI155" s="99"/>
      <c r="LJ155" s="99"/>
      <c r="LK155" s="99"/>
      <c r="LL155" s="99"/>
      <c r="LM155" s="99"/>
      <c r="LN155" s="99"/>
      <c r="LO155" s="99"/>
      <c r="LP155" s="99"/>
      <c r="LQ155" s="99"/>
      <c r="LR155" s="99"/>
      <c r="LS155" s="99"/>
      <c r="LT155" s="99"/>
      <c r="LU155" s="99"/>
      <c r="LV155" s="99"/>
      <c r="LW155" s="99"/>
      <c r="LX155" s="99"/>
      <c r="LY155" s="99"/>
      <c r="LZ155" s="99"/>
      <c r="MA155" s="99"/>
      <c r="MB155" s="99"/>
      <c r="MC155" s="99"/>
      <c r="MD155" s="99"/>
      <c r="ME155" s="99"/>
      <c r="MF155" s="99"/>
    </row>
    <row r="156" spans="1:344" ht="17.25" customHeight="1" x14ac:dyDescent="0.25">
      <c r="A156" s="156"/>
      <c r="B156" s="90" t="s">
        <v>6</v>
      </c>
      <c r="C156" s="91">
        <v>45290</v>
      </c>
      <c r="D156" s="49"/>
      <c r="G156" s="89">
        <f t="shared" si="194"/>
        <v>0</v>
      </c>
      <c r="H156" s="35">
        <f t="shared" si="195"/>
        <v>0</v>
      </c>
      <c r="I156" s="39">
        <v>11</v>
      </c>
      <c r="J156" s="39">
        <v>10</v>
      </c>
      <c r="K156" s="103">
        <v>100</v>
      </c>
      <c r="L156" s="89">
        <f t="shared" si="196"/>
        <v>7.37</v>
      </c>
      <c r="M156" s="35">
        <f t="shared" si="217"/>
        <v>737</v>
      </c>
      <c r="N156" s="35">
        <f t="shared" si="218"/>
        <v>737</v>
      </c>
      <c r="O156" s="97" t="e">
        <f>SUM($Z156,$BH156,$AQ156,$BY156,$CP156,$DG156,$DX156,$EO156,$FF156,$FW156,$GN156)/D156</f>
        <v>#DIV/0!</v>
      </c>
      <c r="P156" s="150"/>
      <c r="Q156" s="132">
        <f t="shared" ref="Q156:Q158" si="300">SUM(AD156+AI156+AU156+AZ156+BL156+BQ156+CC156+CH156+CT156+CY156+DK156+DP156+EB156+EG156+ES156+EX156+FJ156+FO156+GA156+GF156+GR156+GW156)/10</f>
        <v>0</v>
      </c>
      <c r="R156" s="134">
        <f t="shared" ref="R156:R158" si="301">SUM(AE156+AJ156+AV156+BA156+BM156+BR156+CD156+CI156+CU156+CZ156+DL156+DQ156+EC156+EH156+ET156+EY156+FK156+FP156+GB156+GG156+GS156+GX156)/10</f>
        <v>0</v>
      </c>
      <c r="S156" s="136">
        <f t="shared" ref="S156:S158" si="302">SUM(AF156+AK156+AW156+BB156+BN156+BS156+CE156+CJ156+CV156+DA156+DM156+DR156+ED156+EI156+EU156+EZ156+FL156+FQ156+GC156+GH156+GT156+GY156)/10</f>
        <v>0</v>
      </c>
      <c r="T156" s="138">
        <f t="shared" ref="T156:T158" si="303">SUM(AG156+AL156+AX156+BC156+BO156+BT156+CF156+CK156+CW156+DB156+DN156+DS156+EE156+EJ156+EV156+FA156+FM156+FR156+GD156+GI156+GU156+GZ156)/10</f>
        <v>0</v>
      </c>
      <c r="U156" s="144">
        <f t="shared" ref="U156:U158" si="304">SUM(AH156+AM156+AY156+BD156+BP156+BU156+CG156+CL156+CX156+DC156+DO156+DT156+EF156+EK156+EW156+FB156+FN156+FS156+GE156+GJ156+GV156+HA156)/10</f>
        <v>0</v>
      </c>
      <c r="W156" s="11">
        <v>0</v>
      </c>
      <c r="X156" s="1">
        <v>8</v>
      </c>
      <c r="Y156" s="35">
        <f t="shared" si="201"/>
        <v>800</v>
      </c>
      <c r="Z156" s="35">
        <f t="shared" si="220"/>
        <v>0</v>
      </c>
      <c r="AA156" s="15">
        <f t="shared" si="233"/>
        <v>1.2299421858759827</v>
      </c>
      <c r="AB156" s="43">
        <f t="shared" si="298"/>
        <v>664.50082022546098</v>
      </c>
      <c r="AC156" s="43">
        <f t="shared" si="299"/>
        <v>540.26996378874003</v>
      </c>
      <c r="AD156" s="33"/>
      <c r="AH156" s="31"/>
      <c r="AO156" s="1">
        <v>6</v>
      </c>
      <c r="AP156" s="35">
        <f t="shared" si="202"/>
        <v>600</v>
      </c>
      <c r="AQ156" s="35">
        <f t="shared" si="221"/>
        <v>0</v>
      </c>
      <c r="AR156" s="15">
        <f t="shared" si="234"/>
        <v>1.1582004031351034</v>
      </c>
      <c r="AS156" s="28">
        <f t="shared" si="235"/>
        <v>641.13138027296736</v>
      </c>
      <c r="AT156" s="28">
        <f t="shared" si="236"/>
        <v>553.55824306182683</v>
      </c>
      <c r="AU156" s="33"/>
      <c r="AY156" s="31"/>
      <c r="BE156" s="86"/>
      <c r="BF156" s="87"/>
      <c r="BG156" s="35">
        <f t="shared" si="203"/>
        <v>0</v>
      </c>
      <c r="BH156" s="35">
        <f t="shared" si="222"/>
        <v>0</v>
      </c>
      <c r="BI156" s="15">
        <f t="shared" si="237"/>
        <v>3.9250389389588255E-4</v>
      </c>
      <c r="BJ156" s="28">
        <f t="shared" si="238"/>
        <v>1.0779357140984326E-2</v>
      </c>
      <c r="BK156" s="28">
        <f t="shared" si="239"/>
        <v>27.463057841264906</v>
      </c>
      <c r="BL156" s="33"/>
      <c r="BP156" s="31"/>
      <c r="BW156" s="1">
        <v>9</v>
      </c>
      <c r="BX156" s="35">
        <f t="shared" si="204"/>
        <v>900</v>
      </c>
      <c r="BY156" s="35">
        <f t="shared" si="223"/>
        <v>0</v>
      </c>
      <c r="BZ156" s="15">
        <f t="shared" si="240"/>
        <v>1.4024430143537039</v>
      </c>
      <c r="CA156" s="28">
        <f t="shared" si="241"/>
        <v>639.64724324459723</v>
      </c>
      <c r="CB156" s="28">
        <f t="shared" si="242"/>
        <v>456.09499758488914</v>
      </c>
      <c r="CC156" s="33"/>
      <c r="CG156" s="31"/>
      <c r="CN156" s="1">
        <v>5</v>
      </c>
      <c r="CO156" s="35">
        <f t="shared" si="205"/>
        <v>500</v>
      </c>
      <c r="CP156" s="35">
        <f t="shared" si="224"/>
        <v>0</v>
      </c>
      <c r="CQ156" s="15">
        <f t="shared" si="243"/>
        <v>1.2259212933343693</v>
      </c>
      <c r="CR156" s="28">
        <f t="shared" si="244"/>
        <v>524.86216409077531</v>
      </c>
      <c r="CS156" s="28">
        <f t="shared" si="245"/>
        <v>428.13691787929446</v>
      </c>
      <c r="CT156" s="33"/>
      <c r="CX156" s="31"/>
      <c r="DE156" s="1">
        <v>8</v>
      </c>
      <c r="DF156" s="35">
        <f t="shared" si="206"/>
        <v>800</v>
      </c>
      <c r="DG156" s="35">
        <f t="shared" si="225"/>
        <v>0</v>
      </c>
      <c r="DH156" s="15">
        <f t="shared" si="246"/>
        <v>1.1521892937414449</v>
      </c>
      <c r="DI156" s="28">
        <f t="shared" si="247"/>
        <v>494.63930741571522</v>
      </c>
      <c r="DJ156" s="28">
        <f t="shared" si="248"/>
        <v>429.30385666881045</v>
      </c>
      <c r="DK156" s="33"/>
      <c r="DO156" s="31"/>
      <c r="DV156" s="1">
        <v>8</v>
      </c>
      <c r="DW156" s="35">
        <f t="shared" si="207"/>
        <v>800</v>
      </c>
      <c r="DX156" s="35">
        <f t="shared" si="226"/>
        <v>0</v>
      </c>
      <c r="DY156" s="15">
        <f t="shared" si="249"/>
        <v>1.1575912351218505</v>
      </c>
      <c r="DZ156" s="28">
        <f t="shared" si="250"/>
        <v>501.02713938962052</v>
      </c>
      <c r="EA156" s="28">
        <f t="shared" si="251"/>
        <v>432.81870507328205</v>
      </c>
      <c r="EB156" s="33"/>
      <c r="EF156" s="31"/>
      <c r="EM156" s="1">
        <v>3</v>
      </c>
      <c r="EN156" s="35">
        <f t="shared" si="208"/>
        <v>300</v>
      </c>
      <c r="EO156" s="35">
        <f t="shared" si="227"/>
        <v>0</v>
      </c>
      <c r="EP156" s="15">
        <f t="shared" si="252"/>
        <v>0.98357727461575606</v>
      </c>
      <c r="EQ156" s="28">
        <f t="shared" si="253"/>
        <v>464.92545208988679</v>
      </c>
      <c r="ER156" s="28">
        <f t="shared" si="254"/>
        <v>472.68828193647965</v>
      </c>
      <c r="ES156" s="33"/>
      <c r="EW156" s="31"/>
      <c r="FD156" s="1">
        <v>9.1999999999999993</v>
      </c>
      <c r="FE156" s="35">
        <f t="shared" si="209"/>
        <v>919.99999999999989</v>
      </c>
      <c r="FF156" s="35">
        <f t="shared" si="228"/>
        <v>0</v>
      </c>
      <c r="FG156" s="15">
        <f t="shared" si="255"/>
        <v>1.3177120777860318</v>
      </c>
      <c r="FH156" s="28">
        <f t="shared" si="256"/>
        <v>695.73397703318301</v>
      </c>
      <c r="FI156" s="28">
        <f t="shared" si="257"/>
        <v>527.98633993104772</v>
      </c>
      <c r="FJ156" s="33"/>
      <c r="FN156" s="31"/>
      <c r="FU156" s="1">
        <v>8</v>
      </c>
      <c r="FV156" s="35">
        <f t="shared" si="210"/>
        <v>800</v>
      </c>
      <c r="FW156" s="35">
        <f t="shared" si="229"/>
        <v>0</v>
      </c>
      <c r="FX156" s="15">
        <f t="shared" si="258"/>
        <v>1.1734104280740161</v>
      </c>
      <c r="FY156" s="28">
        <f t="shared" si="259"/>
        <v>631.85460421759024</v>
      </c>
      <c r="FZ156" s="28">
        <f t="shared" si="260"/>
        <v>538.47706573963933</v>
      </c>
      <c r="GA156" s="33"/>
      <c r="GE156" s="31"/>
      <c r="GL156" s="1">
        <v>9.5</v>
      </c>
      <c r="GM156" s="35">
        <f t="shared" si="211"/>
        <v>950</v>
      </c>
      <c r="GN156" s="35">
        <f t="shared" si="230"/>
        <v>0</v>
      </c>
      <c r="GO156" s="15">
        <f t="shared" si="261"/>
        <v>1.1901937998836611</v>
      </c>
      <c r="GP156" s="28">
        <f t="shared" si="262"/>
        <v>708.83502408888216</v>
      </c>
      <c r="GQ156" s="28">
        <f t="shared" si="263"/>
        <v>595.56269252803133</v>
      </c>
      <c r="GR156" s="33"/>
      <c r="GV156" s="31"/>
      <c r="HD156" s="35">
        <f t="shared" si="212"/>
        <v>0</v>
      </c>
      <c r="HE156" s="35">
        <f t="shared" si="231"/>
        <v>0</v>
      </c>
      <c r="HF156" s="15">
        <f t="shared" si="264"/>
        <v>0.91752586672056069</v>
      </c>
      <c r="HG156" s="28">
        <f t="shared" si="265"/>
        <v>210.13141803220486</v>
      </c>
      <c r="HH156" s="28">
        <f t="shared" si="266"/>
        <v>229.01961203912515</v>
      </c>
      <c r="HI156" s="33"/>
      <c r="HM156" s="31"/>
      <c r="HU156" s="35">
        <f t="shared" si="213"/>
        <v>0</v>
      </c>
      <c r="HV156" s="35">
        <f t="shared" si="232"/>
        <v>0</v>
      </c>
      <c r="HW156" s="15">
        <f t="shared" si="267"/>
        <v>3.3942549482920652E-5</v>
      </c>
      <c r="HX156" s="28">
        <f t="shared" si="268"/>
        <v>3.5852947886646658E-5</v>
      </c>
      <c r="HY156" s="28">
        <f t="shared" si="269"/>
        <v>1.0562832914094236</v>
      </c>
      <c r="HZ156" s="33"/>
      <c r="ID156" s="31"/>
      <c r="II156" s="12"/>
      <c r="IL156" s="35">
        <f t="shared" si="214"/>
        <v>0</v>
      </c>
      <c r="IM156" s="35">
        <f t="shared" si="215"/>
        <v>5743.2712899458957</v>
      </c>
      <c r="IN156" s="15">
        <f t="shared" si="270"/>
        <v>1.0742223957218013</v>
      </c>
      <c r="IO156" s="28">
        <f t="shared" si="271"/>
        <v>95.654969303087199</v>
      </c>
      <c r="IP156" s="28">
        <f t="shared" si="272"/>
        <v>89.045778308144321</v>
      </c>
      <c r="IQ156" s="33"/>
      <c r="IU156" s="31"/>
      <c r="JC156" s="35">
        <f t="shared" si="180"/>
        <v>0</v>
      </c>
      <c r="JD156" s="35">
        <f t="shared" si="216"/>
        <v>4743.8110096395767</v>
      </c>
      <c r="JE156" s="15">
        <f t="shared" si="273"/>
        <v>0.41712189056198568</v>
      </c>
      <c r="JF156" s="28">
        <f t="shared" si="274"/>
        <v>9.608493447303772</v>
      </c>
      <c r="JG156" s="28">
        <f t="shared" si="275"/>
        <v>23.035217438140947</v>
      </c>
      <c r="JH156" s="33"/>
      <c r="JL156" s="31"/>
      <c r="JR156" s="99"/>
      <c r="JS156" s="99"/>
      <c r="JT156" s="99"/>
      <c r="JU156" s="99"/>
      <c r="JV156" s="99"/>
      <c r="JW156" s="99"/>
      <c r="JX156" s="99"/>
      <c r="JY156" s="99"/>
      <c r="JZ156" s="99"/>
      <c r="KA156" s="99"/>
      <c r="KB156" s="99"/>
      <c r="KC156" s="99"/>
      <c r="KD156" s="99"/>
      <c r="KE156" s="99"/>
      <c r="KF156" s="99"/>
      <c r="KG156" s="99"/>
      <c r="KH156" s="99"/>
      <c r="KI156" s="99"/>
      <c r="KJ156" s="99"/>
      <c r="KK156" s="99"/>
      <c r="KL156" s="99"/>
      <c r="KM156" s="99"/>
      <c r="KN156" s="99"/>
      <c r="KO156" s="99"/>
      <c r="KP156" s="99"/>
      <c r="KQ156" s="99"/>
      <c r="KR156" s="99"/>
      <c r="KS156" s="99"/>
      <c r="KT156" s="99"/>
      <c r="KU156" s="99"/>
      <c r="KV156" s="99"/>
      <c r="KW156" s="99"/>
      <c r="KX156" s="99"/>
      <c r="KY156" s="99"/>
      <c r="KZ156" s="99"/>
      <c r="LA156" s="99"/>
      <c r="LB156" s="99"/>
      <c r="LC156" s="99"/>
      <c r="LD156" s="99"/>
      <c r="LE156" s="99"/>
      <c r="LF156" s="99"/>
      <c r="LG156" s="99"/>
      <c r="LH156" s="99"/>
      <c r="LI156" s="99"/>
      <c r="LJ156" s="99"/>
      <c r="LK156" s="99"/>
      <c r="LL156" s="99"/>
      <c r="LM156" s="99"/>
      <c r="LN156" s="99"/>
      <c r="LO156" s="99"/>
      <c r="LP156" s="99"/>
      <c r="LQ156" s="99"/>
      <c r="LR156" s="99"/>
      <c r="LS156" s="99"/>
      <c r="LT156" s="99"/>
      <c r="LU156" s="99"/>
      <c r="LV156" s="99"/>
      <c r="LW156" s="99"/>
      <c r="LX156" s="99"/>
      <c r="LY156" s="99"/>
      <c r="LZ156" s="99"/>
      <c r="MA156" s="99"/>
      <c r="MB156" s="99"/>
      <c r="MC156" s="99"/>
      <c r="MD156" s="99"/>
      <c r="ME156" s="99"/>
      <c r="MF156" s="99"/>
    </row>
    <row r="157" spans="1:344" ht="17.25" customHeight="1" x14ac:dyDescent="0.25">
      <c r="A157" s="157"/>
      <c r="B157" s="83" t="s">
        <v>7</v>
      </c>
      <c r="C157" s="84">
        <v>45291</v>
      </c>
      <c r="D157" s="51"/>
      <c r="E157" s="48"/>
      <c r="F157" s="104"/>
      <c r="G157" s="37">
        <f t="shared" si="194"/>
        <v>0</v>
      </c>
      <c r="H157" s="26">
        <f t="shared" si="195"/>
        <v>0</v>
      </c>
      <c r="I157" s="48">
        <v>11</v>
      </c>
      <c r="J157" s="48">
        <v>10</v>
      </c>
      <c r="K157" s="104">
        <v>66</v>
      </c>
      <c r="L157" s="37">
        <f t="shared" si="196"/>
        <v>5.05</v>
      </c>
      <c r="M157" s="26">
        <f t="shared" si="217"/>
        <v>333.3</v>
      </c>
      <c r="N157" s="26">
        <f t="shared" si="218"/>
        <v>333.3</v>
      </c>
      <c r="O157" s="98">
        <f>SUM($Z157,$BH157,$AQ157,$BY157,$CP157,$DG157,$DX157,$EO157,$FF157,$FW157,$GN157)/J157</f>
        <v>133</v>
      </c>
      <c r="P157" s="151"/>
      <c r="Q157" s="132">
        <f t="shared" si="300"/>
        <v>33.200000000000003</v>
      </c>
      <c r="R157" s="134">
        <f t="shared" si="301"/>
        <v>18.899999999999999</v>
      </c>
      <c r="S157" s="136">
        <f t="shared" si="302"/>
        <v>16.100000000000001</v>
      </c>
      <c r="T157" s="138">
        <f t="shared" si="303"/>
        <v>3.4</v>
      </c>
      <c r="U157" s="144">
        <f t="shared" si="304"/>
        <v>0.02</v>
      </c>
      <c r="V157" s="23"/>
      <c r="W157" s="13">
        <v>0</v>
      </c>
      <c r="X157" s="2">
        <v>5</v>
      </c>
      <c r="Y157" s="26">
        <f t="shared" si="201"/>
        <v>330</v>
      </c>
      <c r="Z157" s="26">
        <f t="shared" si="220"/>
        <v>169</v>
      </c>
      <c r="AA157" s="16">
        <f t="shared" si="233"/>
        <v>1.1048123253432727</v>
      </c>
      <c r="AB157" s="44">
        <f t="shared" si="298"/>
        <v>580.87561516909568</v>
      </c>
      <c r="AC157" s="44">
        <f t="shared" si="299"/>
        <v>525.76858697572345</v>
      </c>
      <c r="AD157" s="34"/>
      <c r="AE157" s="4"/>
      <c r="AF157" s="5"/>
      <c r="AG157" s="6"/>
      <c r="AH157" s="32"/>
      <c r="AI157" s="3">
        <v>9</v>
      </c>
      <c r="AJ157" s="4">
        <v>20</v>
      </c>
      <c r="AK157" s="5">
        <v>29</v>
      </c>
      <c r="AL157" s="6">
        <v>8</v>
      </c>
      <c r="AM157" s="14">
        <v>0.2</v>
      </c>
      <c r="AN157" s="13"/>
      <c r="AO157" s="2">
        <v>5</v>
      </c>
      <c r="AP157" s="26">
        <f t="shared" si="202"/>
        <v>330</v>
      </c>
      <c r="AQ157" s="26">
        <f t="shared" si="221"/>
        <v>106</v>
      </c>
      <c r="AR157" s="16">
        <f t="shared" si="234"/>
        <v>1.0468429808545423</v>
      </c>
      <c r="AS157" s="29">
        <f t="shared" si="235"/>
        <v>563.34853520472552</v>
      </c>
      <c r="AT157" s="29">
        <f t="shared" si="236"/>
        <v>538.14043319549387</v>
      </c>
      <c r="AU157" s="34"/>
      <c r="AV157" s="4"/>
      <c r="AW157" s="5"/>
      <c r="AX157" s="6"/>
      <c r="AY157" s="32"/>
      <c r="AZ157" s="3">
        <v>40</v>
      </c>
      <c r="BA157" s="4">
        <v>17</v>
      </c>
      <c r="BB157" s="5">
        <v>8</v>
      </c>
      <c r="BC157" s="6">
        <v>2</v>
      </c>
      <c r="BD157" s="14">
        <v>0</v>
      </c>
      <c r="BE157" s="95"/>
      <c r="BF157" s="96"/>
      <c r="BG157" s="26">
        <f t="shared" si="203"/>
        <v>0</v>
      </c>
      <c r="BH157" s="26">
        <f t="shared" si="222"/>
        <v>0</v>
      </c>
      <c r="BI157" s="16">
        <f t="shared" si="237"/>
        <v>3.1618369230501653E-4</v>
      </c>
      <c r="BJ157" s="29">
        <f t="shared" si="238"/>
        <v>8.0845178557382453E-3</v>
      </c>
      <c r="BK157" s="29">
        <f t="shared" si="239"/>
        <v>25.569053852212154</v>
      </c>
      <c r="BL157" s="34"/>
      <c r="BM157" s="4"/>
      <c r="BN157" s="5"/>
      <c r="BO157" s="6"/>
      <c r="BP157" s="32"/>
      <c r="BQ157" s="3"/>
      <c r="BR157" s="4"/>
      <c r="BS157" s="5"/>
      <c r="BT157" s="6"/>
      <c r="BU157" s="14"/>
      <c r="BV157" s="13"/>
      <c r="BW157" s="2">
        <v>6</v>
      </c>
      <c r="BX157" s="26">
        <f t="shared" si="204"/>
        <v>396</v>
      </c>
      <c r="BY157" s="26">
        <f t="shared" si="223"/>
        <v>142</v>
      </c>
      <c r="BZ157" s="16">
        <f t="shared" si="240"/>
        <v>1.2805283172265709</v>
      </c>
      <c r="CA157" s="29">
        <f t="shared" si="241"/>
        <v>578.73543243344795</v>
      </c>
      <c r="CB157" s="29">
        <f t="shared" si="242"/>
        <v>451.95051499282783</v>
      </c>
      <c r="CC157" s="34"/>
      <c r="CD157" s="4"/>
      <c r="CE157" s="5"/>
      <c r="CF157" s="6"/>
      <c r="CG157" s="32"/>
      <c r="CH157" s="3">
        <v>24</v>
      </c>
      <c r="CI157" s="4">
        <v>15</v>
      </c>
      <c r="CJ157" s="5">
        <v>24</v>
      </c>
      <c r="CK157" s="6">
        <v>4</v>
      </c>
      <c r="CL157" s="14">
        <v>0</v>
      </c>
      <c r="CM157" s="13"/>
      <c r="CN157" s="2">
        <v>5.5</v>
      </c>
      <c r="CO157" s="26">
        <f t="shared" si="205"/>
        <v>363</v>
      </c>
      <c r="CP157" s="26">
        <f t="shared" si="224"/>
        <v>108</v>
      </c>
      <c r="CQ157" s="16">
        <f t="shared" si="243"/>
        <v>1.1434029601567581</v>
      </c>
      <c r="CR157" s="29">
        <f t="shared" si="244"/>
        <v>484.39662306808145</v>
      </c>
      <c r="CS157" s="29">
        <f t="shared" si="245"/>
        <v>423.64471664623966</v>
      </c>
      <c r="CT157" s="34"/>
      <c r="CU157" s="4"/>
      <c r="CV157" s="5"/>
      <c r="CW157" s="6"/>
      <c r="CX157" s="32"/>
      <c r="CY157" s="3">
        <v>34</v>
      </c>
      <c r="CZ157" s="4">
        <v>20</v>
      </c>
      <c r="DA157" s="5">
        <v>10</v>
      </c>
      <c r="DB157" s="6">
        <v>1</v>
      </c>
      <c r="DC157" s="14">
        <v>0</v>
      </c>
      <c r="DD157" s="13"/>
      <c r="DE157" s="2">
        <v>2.5</v>
      </c>
      <c r="DF157" s="26">
        <f t="shared" si="206"/>
        <v>165</v>
      </c>
      <c r="DG157" s="26">
        <f t="shared" si="225"/>
        <v>118</v>
      </c>
      <c r="DH157" s="16">
        <f t="shared" si="246"/>
        <v>1.0028059922361017</v>
      </c>
      <c r="DI157" s="29">
        <f t="shared" si="247"/>
        <v>412.22948056178643</v>
      </c>
      <c r="DJ157" s="29">
        <f t="shared" si="248"/>
        <v>411.07600448475455</v>
      </c>
      <c r="DK157" s="34"/>
      <c r="DL157" s="4"/>
      <c r="DM157" s="5"/>
      <c r="DN157" s="6"/>
      <c r="DO157" s="32"/>
      <c r="DP157" s="3">
        <v>30</v>
      </c>
      <c r="DQ157" s="4">
        <v>20</v>
      </c>
      <c r="DR157" s="5">
        <v>16</v>
      </c>
      <c r="DS157" s="6">
        <v>0</v>
      </c>
      <c r="DT157" s="14">
        <v>0</v>
      </c>
      <c r="DU157" s="13"/>
      <c r="DV157" s="2">
        <v>2.5</v>
      </c>
      <c r="DW157" s="26">
        <f t="shared" si="207"/>
        <v>165</v>
      </c>
      <c r="DX157" s="26">
        <f t="shared" si="226"/>
        <v>101</v>
      </c>
      <c r="DY157" s="16">
        <f t="shared" si="249"/>
        <v>1.0064484493525296</v>
      </c>
      <c r="DZ157" s="29">
        <f t="shared" si="250"/>
        <v>417.02035454221539</v>
      </c>
      <c r="EA157" s="29">
        <f t="shared" si="251"/>
        <v>414.34844955098669</v>
      </c>
      <c r="EB157" s="34"/>
      <c r="EC157" s="4"/>
      <c r="ED157" s="5"/>
      <c r="EE157" s="6"/>
      <c r="EF157" s="32"/>
      <c r="EG157" s="3">
        <v>39</v>
      </c>
      <c r="EH157" s="4">
        <v>19</v>
      </c>
      <c r="EI157" s="5">
        <v>8</v>
      </c>
      <c r="EJ157" s="6">
        <v>0</v>
      </c>
      <c r="EK157" s="14">
        <v>0</v>
      </c>
      <c r="EL157" s="13"/>
      <c r="EM157" s="2">
        <v>5</v>
      </c>
      <c r="EN157" s="26">
        <f t="shared" si="208"/>
        <v>330</v>
      </c>
      <c r="EO157" s="26">
        <f t="shared" si="227"/>
        <v>235</v>
      </c>
      <c r="EP157" s="16">
        <f t="shared" si="252"/>
        <v>0.93161115208179757</v>
      </c>
      <c r="EQ157" s="29">
        <f t="shared" si="253"/>
        <v>431.19408906741512</v>
      </c>
      <c r="ER157" s="29">
        <f t="shared" si="254"/>
        <v>462.84771076844658</v>
      </c>
      <c r="ES157" s="34"/>
      <c r="ET157" s="4"/>
      <c r="EU157" s="5"/>
      <c r="EV157" s="6"/>
      <c r="EW157" s="32"/>
      <c r="EX157" s="3">
        <v>60</v>
      </c>
      <c r="EY157" s="4">
        <v>22</v>
      </c>
      <c r="EZ157" s="5">
        <v>25</v>
      </c>
      <c r="FA157" s="6">
        <v>14</v>
      </c>
      <c r="FB157" s="14">
        <v>0</v>
      </c>
      <c r="FC157" s="13"/>
      <c r="FD157" s="2">
        <v>7</v>
      </c>
      <c r="FE157" s="26">
        <f t="shared" si="209"/>
        <v>462</v>
      </c>
      <c r="FF157" s="26">
        <f t="shared" si="228"/>
        <v>125</v>
      </c>
      <c r="FG157" s="16">
        <f t="shared" si="255"/>
        <v>1.2175337979943219</v>
      </c>
      <c r="FH157" s="29">
        <f t="shared" si="256"/>
        <v>637.30048277488731</v>
      </c>
      <c r="FI157" s="29">
        <f t="shared" si="257"/>
        <v>523.43555786683748</v>
      </c>
      <c r="FJ157" s="34"/>
      <c r="FK157" s="4"/>
      <c r="FL157" s="5"/>
      <c r="FM157" s="6"/>
      <c r="FN157" s="32"/>
      <c r="FO157" s="3">
        <v>27</v>
      </c>
      <c r="FP157" s="4">
        <v>21</v>
      </c>
      <c r="FQ157" s="5">
        <v>16</v>
      </c>
      <c r="FR157" s="6">
        <v>2</v>
      </c>
      <c r="FS157" s="14">
        <v>0</v>
      </c>
      <c r="FT157" s="13"/>
      <c r="FU157" s="2">
        <v>7</v>
      </c>
      <c r="FV157" s="26">
        <f t="shared" si="210"/>
        <v>462</v>
      </c>
      <c r="FW157" s="26">
        <f t="shared" si="229"/>
        <v>138</v>
      </c>
      <c r="FX157" s="16">
        <f t="shared" si="258"/>
        <v>1.1053786089717463</v>
      </c>
      <c r="FY157" s="29">
        <f t="shared" si="259"/>
        <v>589.39095316319265</v>
      </c>
      <c r="FZ157" s="29">
        <f t="shared" si="260"/>
        <v>533.20278534380213</v>
      </c>
      <c r="GA157" s="34"/>
      <c r="GB157" s="4"/>
      <c r="GC157" s="5"/>
      <c r="GD157" s="6"/>
      <c r="GE157" s="32"/>
      <c r="GF157" s="3">
        <v>22</v>
      </c>
      <c r="GG157" s="4">
        <v>19</v>
      </c>
      <c r="GH157" s="5">
        <v>22</v>
      </c>
      <c r="GI157" s="6">
        <v>3</v>
      </c>
      <c r="GJ157" s="14">
        <v>0</v>
      </c>
      <c r="GK157" s="13"/>
      <c r="GL157" s="2">
        <v>5</v>
      </c>
      <c r="GM157" s="26">
        <f t="shared" si="211"/>
        <v>330</v>
      </c>
      <c r="GN157" s="26">
        <f t="shared" si="230"/>
        <v>88</v>
      </c>
      <c r="GO157" s="16">
        <f t="shared" si="261"/>
        <v>1.0638863061467452</v>
      </c>
      <c r="GP157" s="29">
        <f t="shared" si="262"/>
        <v>614.12626806666162</v>
      </c>
      <c r="GQ157" s="29">
        <f t="shared" si="263"/>
        <v>577.24802407782215</v>
      </c>
      <c r="GR157" s="34"/>
      <c r="GS157" s="4"/>
      <c r="GT157" s="5"/>
      <c r="GU157" s="6"/>
      <c r="GV157" s="32"/>
      <c r="GW157" s="3">
        <v>47</v>
      </c>
      <c r="GX157" s="4">
        <v>16</v>
      </c>
      <c r="GY157" s="5">
        <v>3</v>
      </c>
      <c r="GZ157" s="6">
        <v>0</v>
      </c>
      <c r="HA157" s="14">
        <v>0</v>
      </c>
      <c r="HB157" s="13"/>
      <c r="HC157" s="2">
        <v>3</v>
      </c>
      <c r="HD157" s="26">
        <f t="shared" si="212"/>
        <v>198</v>
      </c>
      <c r="HE157" s="26">
        <f t="shared" si="231"/>
        <v>124</v>
      </c>
      <c r="HF157" s="16">
        <f t="shared" si="264"/>
        <v>0.91280969548487467</v>
      </c>
      <c r="HG157" s="29">
        <f t="shared" si="265"/>
        <v>207.09856352415363</v>
      </c>
      <c r="HH157" s="29">
        <f t="shared" si="266"/>
        <v>226.88032845021996</v>
      </c>
      <c r="HI157" s="34"/>
      <c r="HJ157" s="4"/>
      <c r="HK157" s="5"/>
      <c r="HL157" s="6"/>
      <c r="HM157" s="32"/>
      <c r="HN157" s="3">
        <v>29</v>
      </c>
      <c r="HO157" s="4">
        <v>14</v>
      </c>
      <c r="HP157" s="5">
        <v>21</v>
      </c>
      <c r="HQ157" s="6">
        <v>1</v>
      </c>
      <c r="HR157" s="14">
        <v>0</v>
      </c>
      <c r="HS157" s="13"/>
      <c r="HT157" s="2"/>
      <c r="HU157" s="26">
        <f t="shared" si="213"/>
        <v>0</v>
      </c>
      <c r="HV157" s="26">
        <f t="shared" si="232"/>
        <v>0</v>
      </c>
      <c r="HW157" s="16">
        <f t="shared" si="267"/>
        <v>2.7342609305686086E-5</v>
      </c>
      <c r="HX157" s="29">
        <f t="shared" si="268"/>
        <v>2.6889710914984995E-5</v>
      </c>
      <c r="HY157" s="29">
        <f t="shared" si="269"/>
        <v>0.98343616786394605</v>
      </c>
      <c r="HZ157" s="34"/>
      <c r="IA157" s="4"/>
      <c r="IB157" s="5"/>
      <c r="IC157" s="6"/>
      <c r="ID157" s="32"/>
      <c r="IE157" s="3"/>
      <c r="IF157" s="4"/>
      <c r="IG157" s="5"/>
      <c r="IH157" s="6"/>
      <c r="II157" s="14"/>
      <c r="IJ157" s="13"/>
      <c r="IK157" s="2"/>
      <c r="IL157" s="26">
        <f t="shared" si="214"/>
        <v>0</v>
      </c>
      <c r="IM157" s="26">
        <f t="shared" si="215"/>
        <v>5258.5358896496109</v>
      </c>
      <c r="IN157" s="16">
        <f t="shared" si="270"/>
        <v>0.86534581877589545</v>
      </c>
      <c r="IO157" s="29">
        <f t="shared" si="271"/>
        <v>71.741226977315392</v>
      </c>
      <c r="IP157" s="29">
        <f t="shared" si="272"/>
        <v>82.904690148961947</v>
      </c>
      <c r="IQ157" s="34"/>
      <c r="IR157" s="4"/>
      <c r="IS157" s="5"/>
      <c r="IT157" s="6"/>
      <c r="IU157" s="32"/>
      <c r="IV157" s="3"/>
      <c r="IW157" s="4"/>
      <c r="IX157" s="5"/>
      <c r="IY157" s="6"/>
      <c r="IZ157" s="14"/>
      <c r="JA157" s="13"/>
      <c r="JB157" s="2"/>
      <c r="JC157" s="26">
        <f t="shared" si="180"/>
        <v>0</v>
      </c>
      <c r="JD157" s="26">
        <f t="shared" si="216"/>
        <v>4638.2402843839936</v>
      </c>
      <c r="JE157" s="16">
        <f t="shared" si="273"/>
        <v>0.33601485628604405</v>
      </c>
      <c r="JF157" s="29">
        <f t="shared" si="274"/>
        <v>7.206370085477829</v>
      </c>
      <c r="JG157" s="29">
        <f t="shared" si="275"/>
        <v>21.446581752751914</v>
      </c>
      <c r="JH157" s="34"/>
      <c r="JI157" s="4"/>
      <c r="JJ157" s="5"/>
      <c r="JK157" s="6"/>
      <c r="JL157" s="32"/>
      <c r="JM157" s="3"/>
      <c r="JN157" s="4"/>
      <c r="JO157" s="5"/>
      <c r="JP157" s="6"/>
      <c r="JQ157" s="14"/>
      <c r="JR157" s="99"/>
      <c r="JS157" s="99"/>
      <c r="JT157" s="99"/>
      <c r="JU157" s="99"/>
      <c r="JV157" s="99"/>
      <c r="JW157" s="99"/>
      <c r="JX157" s="99"/>
      <c r="JY157" s="99"/>
      <c r="JZ157" s="99"/>
      <c r="KA157" s="99"/>
      <c r="KB157" s="99"/>
      <c r="KC157" s="99"/>
      <c r="KD157" s="99"/>
      <c r="KE157" s="99"/>
      <c r="KF157" s="99"/>
      <c r="KG157" s="99"/>
      <c r="KH157" s="99"/>
      <c r="KI157" s="99"/>
      <c r="KJ157" s="99"/>
      <c r="KK157" s="99"/>
      <c r="KL157" s="99"/>
      <c r="KM157" s="99"/>
      <c r="KN157" s="99"/>
      <c r="KO157" s="99"/>
      <c r="KP157" s="99"/>
      <c r="KQ157" s="99"/>
      <c r="KR157" s="99"/>
      <c r="KS157" s="99"/>
      <c r="KT157" s="99"/>
      <c r="KU157" s="99"/>
      <c r="KV157" s="99"/>
      <c r="KW157" s="99"/>
      <c r="KX157" s="99"/>
      <c r="KY157" s="99"/>
      <c r="KZ157" s="99"/>
      <c r="LA157" s="99"/>
      <c r="LB157" s="99"/>
      <c r="LC157" s="99"/>
      <c r="LD157" s="99"/>
      <c r="LE157" s="99"/>
      <c r="LF157" s="99"/>
      <c r="LG157" s="99"/>
      <c r="LH157" s="99"/>
      <c r="LI157" s="99"/>
      <c r="LJ157" s="99"/>
      <c r="LK157" s="99"/>
      <c r="LL157" s="99"/>
      <c r="LM157" s="99"/>
      <c r="LN157" s="99"/>
      <c r="LO157" s="99"/>
      <c r="LP157" s="99"/>
      <c r="LQ157" s="99"/>
      <c r="LR157" s="99"/>
      <c r="LS157" s="99"/>
      <c r="LT157" s="99"/>
      <c r="LU157" s="99"/>
      <c r="LV157" s="99"/>
      <c r="LW157" s="99"/>
      <c r="LX157" s="99"/>
      <c r="LY157" s="99"/>
      <c r="LZ157" s="99"/>
      <c r="MA157" s="99"/>
      <c r="MB157" s="99"/>
      <c r="MC157" s="99"/>
      <c r="MD157" s="99"/>
      <c r="ME157" s="99"/>
      <c r="MF157" s="99"/>
    </row>
    <row r="158" spans="1:344" ht="17.25" customHeight="1" x14ac:dyDescent="0.25">
      <c r="A158" s="155" t="s">
        <v>28</v>
      </c>
      <c r="B158" s="79" t="s">
        <v>1</v>
      </c>
      <c r="C158" s="80">
        <v>45292</v>
      </c>
      <c r="D158" s="50">
        <v>11</v>
      </c>
      <c r="E158" s="39">
        <v>10</v>
      </c>
      <c r="F158" s="103">
        <v>61</v>
      </c>
      <c r="G158" s="36">
        <f t="shared" si="194"/>
        <v>6.4129999999999994</v>
      </c>
      <c r="H158" s="27">
        <f t="shared" si="195"/>
        <v>391.19299999999998</v>
      </c>
      <c r="I158" s="47"/>
      <c r="K158" s="105"/>
      <c r="L158" s="89">
        <f t="shared" si="196"/>
        <v>0</v>
      </c>
      <c r="M158" s="27">
        <f t="shared" si="217"/>
        <v>0</v>
      </c>
      <c r="N158" s="35">
        <f t="shared" si="218"/>
        <v>391.19299999999998</v>
      </c>
      <c r="O158" s="97">
        <f>SUM($Z158,$BH158,$AQ158,$BY158,$CP158,$DG158,$DX158,$EO158,$FF158,$FW158,$GN158)/E158</f>
        <v>148.6</v>
      </c>
      <c r="P158" s="149">
        <f t="shared" ref="P158" si="305">SUM(N158:N164)</f>
        <v>2934.7384545454543</v>
      </c>
      <c r="Q158" s="131">
        <f t="shared" si="300"/>
        <v>19.399999999999999</v>
      </c>
      <c r="R158" s="133">
        <f t="shared" si="301"/>
        <v>16.8</v>
      </c>
      <c r="S158" s="135">
        <f t="shared" si="302"/>
        <v>17.7</v>
      </c>
      <c r="T158" s="137">
        <f t="shared" si="303"/>
        <v>9.6</v>
      </c>
      <c r="U158" s="143">
        <f t="shared" si="304"/>
        <v>0.82</v>
      </c>
      <c r="W158" s="11">
        <v>6.5</v>
      </c>
      <c r="X158" s="1">
        <v>0</v>
      </c>
      <c r="Y158" s="27">
        <f t="shared" si="201"/>
        <v>396.5</v>
      </c>
      <c r="Z158" s="27">
        <f t="shared" si="220"/>
        <v>212</v>
      </c>
      <c r="AA158" s="15">
        <f t="shared" si="233"/>
        <v>1.0346871965620488</v>
      </c>
      <c r="AB158" s="43">
        <f t="shared" si="298"/>
        <v>534.7817113768217</v>
      </c>
      <c r="AC158" s="43">
        <f t="shared" si="299"/>
        <v>516.85351201188041</v>
      </c>
      <c r="AD158" s="33">
        <v>1</v>
      </c>
      <c r="AE158" s="8">
        <v>14</v>
      </c>
      <c r="AF158" s="9">
        <v>14</v>
      </c>
      <c r="AG158" s="10">
        <v>29</v>
      </c>
      <c r="AH158" s="31">
        <v>5</v>
      </c>
      <c r="AN158" s="11">
        <v>6.5</v>
      </c>
      <c r="AP158" s="27">
        <f t="shared" si="202"/>
        <v>396.5</v>
      </c>
      <c r="AQ158" s="27">
        <f t="shared" si="221"/>
        <v>125</v>
      </c>
      <c r="AR158" s="15">
        <f t="shared" si="234"/>
        <v>0.98725192775263015</v>
      </c>
      <c r="AS158" s="28">
        <f t="shared" si="235"/>
        <v>521.63640140354414</v>
      </c>
      <c r="AT158" s="28">
        <f t="shared" si="236"/>
        <v>528.3721274578736</v>
      </c>
      <c r="AU158" s="33">
        <v>26</v>
      </c>
      <c r="AV158" s="8">
        <v>19</v>
      </c>
      <c r="AW158" s="9">
        <v>15</v>
      </c>
      <c r="AX158" s="10">
        <v>4</v>
      </c>
      <c r="AY158" s="31">
        <v>0</v>
      </c>
      <c r="BE158" s="86"/>
      <c r="BF158" s="87"/>
      <c r="BG158" s="27">
        <f t="shared" si="203"/>
        <v>0</v>
      </c>
      <c r="BH158" s="27">
        <f t="shared" si="222"/>
        <v>0</v>
      </c>
      <c r="BI158" s="15">
        <f t="shared" si="237"/>
        <v>2.5470352991237446E-4</v>
      </c>
      <c r="BJ158" s="28">
        <f t="shared" si="238"/>
        <v>6.0633883918036844E-3</v>
      </c>
      <c r="BK158" s="28">
        <f t="shared" si="239"/>
        <v>23.805670827921659</v>
      </c>
      <c r="BL158" s="33"/>
      <c r="BP158" s="31"/>
      <c r="BV158" s="11">
        <v>5</v>
      </c>
      <c r="BX158" s="27">
        <f t="shared" si="204"/>
        <v>305</v>
      </c>
      <c r="BY158" s="27">
        <f t="shared" si="223"/>
        <v>175</v>
      </c>
      <c r="BZ158" s="15">
        <f t="shared" si="240"/>
        <v>1.1550092756180168</v>
      </c>
      <c r="CA158" s="28">
        <f t="shared" si="241"/>
        <v>510.30157432508599</v>
      </c>
      <c r="CB158" s="28">
        <f t="shared" si="242"/>
        <v>441.81599671746039</v>
      </c>
      <c r="CC158" s="33">
        <v>14</v>
      </c>
      <c r="CD158" s="8">
        <v>13</v>
      </c>
      <c r="CE158" s="9">
        <v>19</v>
      </c>
      <c r="CF158" s="10">
        <v>18</v>
      </c>
      <c r="CG158" s="31">
        <v>1.2</v>
      </c>
      <c r="CM158" s="11">
        <v>7.5</v>
      </c>
      <c r="CO158" s="27">
        <f t="shared" si="205"/>
        <v>457.5</v>
      </c>
      <c r="CP158" s="27">
        <f t="shared" si="224"/>
        <v>119</v>
      </c>
      <c r="CQ158" s="15">
        <f t="shared" si="243"/>
        <v>1.1213506654380041</v>
      </c>
      <c r="CR158" s="28">
        <f t="shared" si="244"/>
        <v>477.67246730106109</v>
      </c>
      <c r="CS158" s="28">
        <f t="shared" si="245"/>
        <v>425.97956377408519</v>
      </c>
      <c r="CT158" s="33">
        <v>30</v>
      </c>
      <c r="CU158" s="8">
        <v>19</v>
      </c>
      <c r="CV158" s="9">
        <v>13</v>
      </c>
      <c r="CW158" s="10">
        <v>3</v>
      </c>
      <c r="CX158" s="31">
        <v>0</v>
      </c>
      <c r="DD158" s="11">
        <v>4.7</v>
      </c>
      <c r="DF158" s="27">
        <f t="shared" si="206"/>
        <v>286.7</v>
      </c>
      <c r="DG158" s="27">
        <f t="shared" si="225"/>
        <v>152</v>
      </c>
      <c r="DH158" s="15">
        <f t="shared" si="246"/>
        <v>0.94620788225508079</v>
      </c>
      <c r="DI158" s="28">
        <f t="shared" si="247"/>
        <v>380.84711042133983</v>
      </c>
      <c r="DJ158" s="28">
        <f t="shared" si="248"/>
        <v>402.49834900304734</v>
      </c>
      <c r="DK158" s="33">
        <v>18</v>
      </c>
      <c r="DL158" s="8">
        <v>17</v>
      </c>
      <c r="DM158" s="9">
        <v>21</v>
      </c>
      <c r="DN158" s="10">
        <v>8</v>
      </c>
      <c r="DO158" s="31">
        <v>1</v>
      </c>
      <c r="DU158" s="11">
        <v>4.5</v>
      </c>
      <c r="DW158" s="27">
        <f t="shared" si="207"/>
        <v>274.5</v>
      </c>
      <c r="DX158" s="27">
        <f t="shared" si="226"/>
        <v>131</v>
      </c>
      <c r="DY158" s="15">
        <f t="shared" si="249"/>
        <v>0.94239375295738692</v>
      </c>
      <c r="DZ158" s="28">
        <f t="shared" si="250"/>
        <v>381.39026590666151</v>
      </c>
      <c r="EA158" s="28">
        <f t="shared" si="251"/>
        <v>404.70372889229793</v>
      </c>
      <c r="EB158" s="33">
        <v>20</v>
      </c>
      <c r="EC158" s="8">
        <v>24</v>
      </c>
      <c r="ED158" s="9">
        <v>17</v>
      </c>
      <c r="EE158" s="10">
        <v>3</v>
      </c>
      <c r="EF158" s="31">
        <v>0</v>
      </c>
      <c r="EL158" s="11">
        <v>6</v>
      </c>
      <c r="EN158" s="27">
        <f t="shared" si="208"/>
        <v>366</v>
      </c>
      <c r="EO158" s="27">
        <f t="shared" si="227"/>
        <v>174.5</v>
      </c>
      <c r="EP158" s="15">
        <f t="shared" si="252"/>
        <v>0.90952249831782006</v>
      </c>
      <c r="EQ158" s="28">
        <f t="shared" si="253"/>
        <v>414.89556680056137</v>
      </c>
      <c r="ER158" s="28">
        <f t="shared" si="254"/>
        <v>456.16855830165713</v>
      </c>
      <c r="ES158" s="33">
        <v>9</v>
      </c>
      <c r="ET158" s="8">
        <v>15</v>
      </c>
      <c r="EU158" s="9">
        <v>23</v>
      </c>
      <c r="EV158" s="10">
        <v>16</v>
      </c>
      <c r="EW158" s="31">
        <v>0.5</v>
      </c>
      <c r="FC158" s="11">
        <v>8</v>
      </c>
      <c r="FE158" s="27">
        <f t="shared" si="209"/>
        <v>488</v>
      </c>
      <c r="FF158" s="27">
        <f t="shared" si="228"/>
        <v>124</v>
      </c>
      <c r="FG158" s="15">
        <f t="shared" si="255"/>
        <v>1.1516024762117139</v>
      </c>
      <c r="FH158" s="28">
        <f t="shared" si="256"/>
        <v>599.97536208116549</v>
      </c>
      <c r="FI158" s="28">
        <f t="shared" si="257"/>
        <v>520.99172628981421</v>
      </c>
      <c r="FJ158" s="33">
        <v>30</v>
      </c>
      <c r="FK158" s="8">
        <v>14</v>
      </c>
      <c r="FL158" s="9">
        <v>18</v>
      </c>
      <c r="FM158" s="10">
        <v>3</v>
      </c>
      <c r="FN158" s="31">
        <v>0</v>
      </c>
      <c r="FT158" s="11">
        <v>8</v>
      </c>
      <c r="FV158" s="27">
        <f t="shared" si="210"/>
        <v>488</v>
      </c>
      <c r="FW158" s="27">
        <f t="shared" si="229"/>
        <v>170.5</v>
      </c>
      <c r="FX158" s="15">
        <f t="shared" si="258"/>
        <v>1.0640611231392607</v>
      </c>
      <c r="FY158" s="28">
        <f t="shared" si="259"/>
        <v>564.04321487239451</v>
      </c>
      <c r="FZ158" s="28">
        <f t="shared" si="260"/>
        <v>530.08535187181576</v>
      </c>
      <c r="GA158" s="33">
        <v>9</v>
      </c>
      <c r="GB158" s="8">
        <v>15</v>
      </c>
      <c r="GC158" s="9">
        <v>27</v>
      </c>
      <c r="GD158" s="10">
        <v>12</v>
      </c>
      <c r="GE158" s="31">
        <v>0.5</v>
      </c>
      <c r="GK158" s="11">
        <v>7.43</v>
      </c>
      <c r="GM158" s="27">
        <f t="shared" si="211"/>
        <v>453.22999999999996</v>
      </c>
      <c r="GN158" s="27">
        <f t="shared" si="230"/>
        <v>103</v>
      </c>
      <c r="GO158" s="15">
        <f t="shared" si="261"/>
        <v>1.0091563028142692</v>
      </c>
      <c r="GP158" s="28">
        <f t="shared" si="262"/>
        <v>573.90220104999617</v>
      </c>
      <c r="GQ158" s="28">
        <f t="shared" si="263"/>
        <v>568.69505690004132</v>
      </c>
      <c r="GR158" s="33">
        <v>37</v>
      </c>
      <c r="GS158" s="8">
        <v>18</v>
      </c>
      <c r="GT158" s="9">
        <v>10</v>
      </c>
      <c r="GU158" s="10">
        <v>0</v>
      </c>
      <c r="GV158" s="31">
        <v>0</v>
      </c>
      <c r="HD158" s="27">
        <f t="shared" si="212"/>
        <v>0</v>
      </c>
      <c r="HE158" s="27">
        <f t="shared" si="231"/>
        <v>0</v>
      </c>
      <c r="HF158" s="15">
        <f t="shared" si="264"/>
        <v>0.73531892136281574</v>
      </c>
      <c r="HG158" s="28">
        <f t="shared" si="265"/>
        <v>155.32392264311522</v>
      </c>
      <c r="HH158" s="28">
        <f t="shared" si="266"/>
        <v>211.23340924675651</v>
      </c>
      <c r="HI158" s="33"/>
      <c r="HM158" s="31"/>
      <c r="HU158" s="27">
        <f t="shared" si="213"/>
        <v>0</v>
      </c>
      <c r="HV158" s="27">
        <f t="shared" si="232"/>
        <v>0</v>
      </c>
      <c r="HW158" s="15">
        <f t="shared" si="267"/>
        <v>2.2025990829580458E-5</v>
      </c>
      <c r="HX158" s="28">
        <f t="shared" si="268"/>
        <v>2.0167283186238746E-5</v>
      </c>
      <c r="HY158" s="28">
        <f t="shared" si="269"/>
        <v>0.91561298387332901</v>
      </c>
      <c r="HZ158" s="33"/>
      <c r="ID158" s="31"/>
      <c r="II158" s="12"/>
      <c r="IL158" s="27">
        <f t="shared" si="214"/>
        <v>0</v>
      </c>
      <c r="IM158" s="27">
        <f t="shared" si="215"/>
        <v>5083.7513087144998</v>
      </c>
      <c r="IN158" s="15">
        <f t="shared" si="270"/>
        <v>0.6970841317916936</v>
      </c>
      <c r="IO158" s="28">
        <f t="shared" si="271"/>
        <v>53.805920232986544</v>
      </c>
      <c r="IP158" s="28">
        <f t="shared" si="272"/>
        <v>77.187125311102506</v>
      </c>
      <c r="IQ158" s="33"/>
      <c r="IU158" s="31"/>
      <c r="JC158" s="27">
        <f t="shared" si="180"/>
        <v>0</v>
      </c>
      <c r="JD158" s="27">
        <f t="shared" si="216"/>
        <v>4858.4517400709847</v>
      </c>
      <c r="JE158" s="15">
        <f t="shared" si="273"/>
        <v>0.27067863423042438</v>
      </c>
      <c r="JF158" s="28">
        <f t="shared" si="274"/>
        <v>5.4047775641083717</v>
      </c>
      <c r="JG158" s="28">
        <f t="shared" si="275"/>
        <v>19.96750714911385</v>
      </c>
      <c r="JH158" s="33"/>
      <c r="JL158" s="31"/>
      <c r="JR158" s="99"/>
      <c r="JS158" s="99"/>
      <c r="JT158" s="99"/>
      <c r="JU158" s="99"/>
      <c r="JV158" s="99"/>
      <c r="JW158" s="99"/>
      <c r="JX158" s="99"/>
      <c r="JY158" s="99"/>
      <c r="JZ158" s="99"/>
      <c r="KA158" s="99"/>
      <c r="KB158" s="99"/>
      <c r="KC158" s="99"/>
      <c r="KD158" s="99"/>
      <c r="KE158" s="99"/>
      <c r="KF158" s="99"/>
      <c r="KG158" s="99"/>
      <c r="KH158" s="99"/>
      <c r="KI158" s="99"/>
      <c r="KJ158" s="99"/>
      <c r="KK158" s="99"/>
      <c r="KL158" s="99"/>
      <c r="KM158" s="99"/>
      <c r="KN158" s="99"/>
      <c r="KO158" s="99"/>
      <c r="KP158" s="99"/>
      <c r="KQ158" s="99"/>
      <c r="KR158" s="99"/>
      <c r="KS158" s="99"/>
      <c r="KT158" s="99"/>
      <c r="KU158" s="99"/>
      <c r="KV158" s="99"/>
      <c r="KW158" s="99"/>
      <c r="KX158" s="99"/>
      <c r="KY158" s="99"/>
      <c r="KZ158" s="99"/>
      <c r="LA158" s="99"/>
      <c r="LB158" s="99"/>
      <c r="LC158" s="99"/>
      <c r="LD158" s="99"/>
      <c r="LE158" s="99"/>
      <c r="LF158" s="99"/>
      <c r="LG158" s="99"/>
      <c r="LH158" s="99"/>
      <c r="LI158" s="99"/>
      <c r="LJ158" s="99"/>
      <c r="LK158" s="99"/>
      <c r="LL158" s="99"/>
      <c r="LM158" s="99"/>
      <c r="LN158" s="99"/>
      <c r="LO158" s="99"/>
      <c r="LP158" s="99"/>
      <c r="LQ158" s="99"/>
      <c r="LR158" s="99"/>
      <c r="LS158" s="99"/>
      <c r="LT158" s="99"/>
      <c r="LU158" s="99"/>
      <c r="LV158" s="99"/>
      <c r="LW158" s="99"/>
      <c r="LX158" s="99"/>
      <c r="LY158" s="99"/>
      <c r="LZ158" s="99"/>
      <c r="MA158" s="99"/>
      <c r="MB158" s="99"/>
      <c r="MC158" s="99"/>
      <c r="MD158" s="99"/>
      <c r="ME158" s="99"/>
      <c r="MF158" s="99"/>
    </row>
    <row r="159" spans="1:344" ht="17.25" customHeight="1" x14ac:dyDescent="0.25">
      <c r="A159" s="156"/>
      <c r="B159" s="90" t="s">
        <v>2</v>
      </c>
      <c r="C159" s="91">
        <v>45293</v>
      </c>
      <c r="D159" s="49"/>
      <c r="G159" s="89">
        <f t="shared" si="194"/>
        <v>0</v>
      </c>
      <c r="H159" s="35">
        <f t="shared" si="195"/>
        <v>0</v>
      </c>
      <c r="I159" s="39">
        <v>11</v>
      </c>
      <c r="J159" s="39">
        <v>10</v>
      </c>
      <c r="K159" s="103">
        <v>100</v>
      </c>
      <c r="L159" s="89">
        <f t="shared" si="196"/>
        <v>8.3181818181818183</v>
      </c>
      <c r="M159" s="35">
        <f t="shared" si="217"/>
        <v>831.81818181818187</v>
      </c>
      <c r="N159" s="35">
        <f t="shared" si="218"/>
        <v>831.81818181818187</v>
      </c>
      <c r="O159" s="97">
        <f>SUM($Z159,$BH159,$AQ159,$BY159,$CP159,$DG159,$DX159,$EO159,$FF159,$FW159,$GN159)/J159</f>
        <v>0</v>
      </c>
      <c r="P159" s="150"/>
      <c r="Q159" s="132">
        <f t="shared" ref="Q159" si="306">SUM(AD159+AI159+AU159+AZ159+BL159+BQ159+CC159+CH159+CT159+CY159+DK159+DP159+EB159+EG159+ES159+EX159+FJ159+FO159+GA159+GF159+GR159+GW159)/10</f>
        <v>0</v>
      </c>
      <c r="R159" s="134">
        <f t="shared" ref="R159" si="307">SUM(AE159+AJ159+AV159+BA159+BM159+BR159+CD159+CI159+CU159+CZ159+DL159+DQ159+EC159+EH159+ET159+EY159+FK159+FP159+GB159+GG159+GS159+GX159)/10</f>
        <v>0</v>
      </c>
      <c r="S159" s="136">
        <f t="shared" ref="S159" si="308">SUM(AF159+AK159+AW159+BB159+BN159+BS159+CE159+CJ159+CV159+DA159+DM159+DR159+ED159+EI159+EU159+EZ159+FL159+FQ159+GC159+GH159+GT159+GY159)/10</f>
        <v>0</v>
      </c>
      <c r="T159" s="138">
        <f t="shared" ref="T159" si="309">SUM(AG159+AL159+AX159+BC159+BO159+BT159+CF159+CK159+CW159+DB159+DN159+DS159+EE159+EJ159+EV159+FA159+FM159+FR159+GD159+GI159+GU159+GZ159)/10</f>
        <v>0</v>
      </c>
      <c r="U159" s="144">
        <f t="shared" ref="U159" si="310">SUM(AH159+AM159+AY159+BD159+BP159+BU159+CG159+CL159+CX159+DC159+DO159+DT159+EF159+EK159+EW159+FB159+FN159+FS159+GE159+GJ159+GV159+HA159)/10</f>
        <v>0</v>
      </c>
      <c r="W159" s="11">
        <v>0</v>
      </c>
      <c r="X159" s="1">
        <v>9</v>
      </c>
      <c r="Y159" s="35">
        <f t="shared" si="201"/>
        <v>900</v>
      </c>
      <c r="Z159" s="35">
        <f t="shared" si="220"/>
        <v>0</v>
      </c>
      <c r="AA159" s="15">
        <f t="shared" si="233"/>
        <v>1.152424663014479</v>
      </c>
      <c r="AB159" s="43">
        <f t="shared" si="298"/>
        <v>626.08628353261633</v>
      </c>
      <c r="AC159" s="43">
        <f t="shared" si="299"/>
        <v>543.27740773519895</v>
      </c>
      <c r="AD159" s="33"/>
      <c r="AH159" s="31"/>
      <c r="AO159" s="1">
        <v>9</v>
      </c>
      <c r="AP159" s="35">
        <f t="shared" si="202"/>
        <v>900</v>
      </c>
      <c r="AQ159" s="35">
        <f t="shared" si="221"/>
        <v>0</v>
      </c>
      <c r="AR159" s="15">
        <f t="shared" si="234"/>
        <v>1.1123203635337611</v>
      </c>
      <c r="AS159" s="28">
        <f t="shared" si="235"/>
        <v>616.22730105265805</v>
      </c>
      <c r="AT159" s="28">
        <f t="shared" si="236"/>
        <v>554.0016359090547</v>
      </c>
      <c r="AU159" s="33"/>
      <c r="AY159" s="31"/>
      <c r="BF159" s="1">
        <v>2</v>
      </c>
      <c r="BG159" s="35">
        <f t="shared" si="203"/>
        <v>200</v>
      </c>
      <c r="BH159" s="35">
        <f t="shared" si="222"/>
        <v>0</v>
      </c>
      <c r="BI159" s="15">
        <f t="shared" si="237"/>
        <v>1.390676145213348</v>
      </c>
      <c r="BJ159" s="28">
        <f t="shared" si="238"/>
        <v>50.004547541293853</v>
      </c>
      <c r="BK159" s="28">
        <f t="shared" si="239"/>
        <v>35.957003874271891</v>
      </c>
      <c r="BL159" s="33"/>
      <c r="BP159" s="31"/>
      <c r="BW159" s="1">
        <v>8</v>
      </c>
      <c r="BX159" s="35">
        <f t="shared" si="204"/>
        <v>800</v>
      </c>
      <c r="BY159" s="35">
        <f t="shared" si="223"/>
        <v>0</v>
      </c>
      <c r="BZ159" s="15">
        <f t="shared" si="240"/>
        <v>1.2490959702273015</v>
      </c>
      <c r="CA159" s="28">
        <f t="shared" si="241"/>
        <v>582.72618074381444</v>
      </c>
      <c r="CB159" s="28">
        <f t="shared" si="242"/>
        <v>466.5183417714286</v>
      </c>
      <c r="CC159" s="33"/>
      <c r="CG159" s="31"/>
      <c r="CN159" s="1">
        <v>8</v>
      </c>
      <c r="CO159" s="35">
        <f t="shared" si="205"/>
        <v>800</v>
      </c>
      <c r="CP159" s="35">
        <f t="shared" si="224"/>
        <v>0</v>
      </c>
      <c r="CQ159" s="15">
        <f t="shared" si="243"/>
        <v>1.2356936339858993</v>
      </c>
      <c r="CR159" s="28">
        <f t="shared" si="244"/>
        <v>558.25435047579583</v>
      </c>
      <c r="CS159" s="28">
        <f t="shared" si="245"/>
        <v>451.77407661725169</v>
      </c>
      <c r="CT159" s="33"/>
      <c r="CX159" s="31"/>
      <c r="DE159" s="1">
        <v>8.5</v>
      </c>
      <c r="DF159" s="35">
        <f t="shared" si="206"/>
        <v>850</v>
      </c>
      <c r="DG159" s="35">
        <f t="shared" si="225"/>
        <v>0</v>
      </c>
      <c r="DH159" s="15">
        <f t="shared" si="246"/>
        <v>1.1494709283099371</v>
      </c>
      <c r="DI159" s="28">
        <f t="shared" si="247"/>
        <v>498.13533281600485</v>
      </c>
      <c r="DJ159" s="28">
        <f t="shared" si="248"/>
        <v>433.36053183042338</v>
      </c>
      <c r="DK159" s="33"/>
      <c r="DO159" s="31"/>
      <c r="DV159" s="1">
        <v>8.5</v>
      </c>
      <c r="DW159" s="35">
        <f t="shared" si="207"/>
        <v>850</v>
      </c>
      <c r="DX159" s="35">
        <f t="shared" si="226"/>
        <v>0</v>
      </c>
      <c r="DY159" s="15">
        <f t="shared" si="249"/>
        <v>1.1449859431990226</v>
      </c>
      <c r="DZ159" s="28">
        <f t="shared" si="250"/>
        <v>498.54269942999611</v>
      </c>
      <c r="EA159" s="28">
        <f t="shared" si="251"/>
        <v>435.41381655489806</v>
      </c>
      <c r="EB159" s="33"/>
      <c r="EF159" s="31"/>
      <c r="EM159" s="1">
        <v>10</v>
      </c>
      <c r="EN159" s="35">
        <f t="shared" si="208"/>
        <v>1000</v>
      </c>
      <c r="EO159" s="35">
        <f t="shared" si="227"/>
        <v>0</v>
      </c>
      <c r="EP159" s="15">
        <f t="shared" si="252"/>
        <v>1.1367247945144081</v>
      </c>
      <c r="EQ159" s="28">
        <f t="shared" si="253"/>
        <v>561.171675100421</v>
      </c>
      <c r="ER159" s="28">
        <f t="shared" si="254"/>
        <v>493.67417497050832</v>
      </c>
      <c r="ES159" s="33"/>
      <c r="EW159" s="31"/>
      <c r="FD159" s="1">
        <v>10</v>
      </c>
      <c r="FE159" s="35">
        <f t="shared" si="209"/>
        <v>1000</v>
      </c>
      <c r="FF159" s="35">
        <f t="shared" si="228"/>
        <v>0</v>
      </c>
      <c r="FG159" s="15">
        <f t="shared" si="255"/>
        <v>1.2634434783173647</v>
      </c>
      <c r="FH159" s="28">
        <f t="shared" si="256"/>
        <v>699.98152156087417</v>
      </c>
      <c r="FI159" s="28">
        <f t="shared" si="257"/>
        <v>554.02677964913732</v>
      </c>
      <c r="FJ159" s="33"/>
      <c r="FN159" s="31"/>
      <c r="FU159" s="1">
        <v>9</v>
      </c>
      <c r="FV159" s="35">
        <f t="shared" si="210"/>
        <v>900</v>
      </c>
      <c r="FW159" s="35">
        <f t="shared" si="229"/>
        <v>0</v>
      </c>
      <c r="FX159" s="15">
        <f t="shared" si="258"/>
        <v>1.166371944053433</v>
      </c>
      <c r="FY159" s="28">
        <f t="shared" si="259"/>
        <v>648.03241115429591</v>
      </c>
      <c r="FZ159" s="28">
        <f t="shared" si="260"/>
        <v>555.59670691513884</v>
      </c>
      <c r="GA159" s="33"/>
      <c r="GE159" s="31"/>
      <c r="GL159" s="1">
        <v>9.5</v>
      </c>
      <c r="GM159" s="35">
        <f t="shared" si="211"/>
        <v>950</v>
      </c>
      <c r="GN159" s="35">
        <f t="shared" si="230"/>
        <v>0</v>
      </c>
      <c r="GO159" s="15">
        <f t="shared" si="261"/>
        <v>1.1225809883945097</v>
      </c>
      <c r="GP159" s="28">
        <f t="shared" si="262"/>
        <v>667.92665078749712</v>
      </c>
      <c r="GQ159" s="28">
        <f t="shared" si="263"/>
        <v>594.99194952762468</v>
      </c>
      <c r="GR159" s="33"/>
      <c r="GV159" s="31"/>
      <c r="HD159" s="35">
        <f t="shared" si="212"/>
        <v>0</v>
      </c>
      <c r="HE159" s="35">
        <f t="shared" si="231"/>
        <v>0</v>
      </c>
      <c r="HF159" s="15">
        <f t="shared" si="264"/>
        <v>0.592340242208935</v>
      </c>
      <c r="HG159" s="28">
        <f t="shared" si="265"/>
        <v>116.49294198233642</v>
      </c>
      <c r="HH159" s="28">
        <f t="shared" si="266"/>
        <v>196.66558791939397</v>
      </c>
      <c r="HI159" s="33"/>
      <c r="HM159" s="31"/>
      <c r="HU159" s="35">
        <f t="shared" si="213"/>
        <v>0</v>
      </c>
      <c r="HV159" s="35">
        <f t="shared" si="232"/>
        <v>0</v>
      </c>
      <c r="HW159" s="15">
        <f t="shared" si="267"/>
        <v>1.7743159279384261E-5</v>
      </c>
      <c r="HX159" s="28">
        <f t="shared" si="268"/>
        <v>1.512546238967906E-5</v>
      </c>
      <c r="HY159" s="28">
        <f t="shared" si="269"/>
        <v>0.85246726084758218</v>
      </c>
      <c r="HZ159" s="33"/>
      <c r="ID159" s="31"/>
      <c r="II159" s="12"/>
      <c r="IL159" s="35">
        <f t="shared" si="214"/>
        <v>0</v>
      </c>
      <c r="IM159" s="35">
        <f t="shared" si="215"/>
        <v>5467.2437197430827</v>
      </c>
      <c r="IN159" s="15">
        <f t="shared" si="270"/>
        <v>0.56153999505441987</v>
      </c>
      <c r="IO159" s="28">
        <f t="shared" si="271"/>
        <v>40.354440174739906</v>
      </c>
      <c r="IP159" s="28">
        <f t="shared" si="272"/>
        <v>71.863875289647154</v>
      </c>
      <c r="IQ159" s="33"/>
      <c r="IU159" s="31"/>
      <c r="JC159" s="35">
        <f t="shared" si="180"/>
        <v>0</v>
      </c>
      <c r="JD159" s="35">
        <f t="shared" si="216"/>
        <v>5295.5948658914003</v>
      </c>
      <c r="JE159" s="15">
        <f t="shared" si="273"/>
        <v>0.21804667757450852</v>
      </c>
      <c r="JF159" s="28">
        <f t="shared" si="274"/>
        <v>4.0535831730812788</v>
      </c>
      <c r="JG159" s="28">
        <f t="shared" si="275"/>
        <v>18.590437690554275</v>
      </c>
      <c r="JH159" s="33"/>
      <c r="JL159" s="31"/>
      <c r="JR159" s="99"/>
      <c r="JS159" s="99"/>
      <c r="JT159" s="99"/>
      <c r="JU159" s="99"/>
      <c r="JV159" s="99"/>
      <c r="JW159" s="99"/>
      <c r="JX159" s="99"/>
      <c r="JY159" s="99"/>
      <c r="JZ159" s="99"/>
      <c r="KA159" s="99"/>
      <c r="KB159" s="99"/>
      <c r="KC159" s="99"/>
      <c r="KD159" s="99"/>
      <c r="KE159" s="99"/>
      <c r="KF159" s="99"/>
      <c r="KG159" s="99"/>
      <c r="KH159" s="99"/>
      <c r="KI159" s="99"/>
      <c r="KJ159" s="99"/>
      <c r="KK159" s="99"/>
      <c r="KL159" s="99"/>
      <c r="KM159" s="99"/>
      <c r="KN159" s="99"/>
      <c r="KO159" s="99"/>
      <c r="KP159" s="99"/>
      <c r="KQ159" s="99"/>
      <c r="KR159" s="99"/>
      <c r="KS159" s="99"/>
      <c r="KT159" s="99"/>
      <c r="KU159" s="99"/>
      <c r="KV159" s="99"/>
      <c r="KW159" s="99"/>
      <c r="KX159" s="99"/>
      <c r="KY159" s="99"/>
      <c r="KZ159" s="99"/>
      <c r="LA159" s="99"/>
      <c r="LB159" s="99"/>
      <c r="LC159" s="99"/>
      <c r="LD159" s="99"/>
      <c r="LE159" s="99"/>
      <c r="LF159" s="99"/>
      <c r="LG159" s="99"/>
      <c r="LH159" s="99"/>
      <c r="LI159" s="99"/>
      <c r="LJ159" s="99"/>
      <c r="LK159" s="99"/>
      <c r="LL159" s="99"/>
      <c r="LM159" s="99"/>
      <c r="LN159" s="99"/>
      <c r="LO159" s="99"/>
      <c r="LP159" s="99"/>
      <c r="LQ159" s="99"/>
      <c r="LR159" s="99"/>
      <c r="LS159" s="99"/>
      <c r="LT159" s="99"/>
      <c r="LU159" s="99"/>
      <c r="LV159" s="99"/>
      <c r="LW159" s="99"/>
      <c r="LX159" s="99"/>
      <c r="LY159" s="99"/>
      <c r="LZ159" s="99"/>
      <c r="MA159" s="99"/>
      <c r="MB159" s="99"/>
      <c r="MC159" s="99"/>
      <c r="MD159" s="99"/>
      <c r="ME159" s="99"/>
      <c r="MF159" s="99"/>
    </row>
    <row r="160" spans="1:344" ht="17.25" customHeight="1" x14ac:dyDescent="0.25">
      <c r="A160" s="156"/>
      <c r="B160" s="81" t="s">
        <v>3</v>
      </c>
      <c r="C160" s="82">
        <v>45294</v>
      </c>
      <c r="D160" s="49"/>
      <c r="G160" s="89">
        <f t="shared" si="194"/>
        <v>0</v>
      </c>
      <c r="H160" s="35">
        <f t="shared" si="195"/>
        <v>0</v>
      </c>
      <c r="I160" s="39"/>
      <c r="L160" s="89">
        <f t="shared" si="196"/>
        <v>4</v>
      </c>
      <c r="M160" s="35">
        <f t="shared" si="217"/>
        <v>0</v>
      </c>
      <c r="N160" s="35">
        <f t="shared" si="218"/>
        <v>0</v>
      </c>
      <c r="O160" s="97" t="e">
        <f>SUM($Z160,$BH160,$AQ160,$BY160,$CP160,$DG160,$DX160,$EO160,$FF160,$FW160,$GN160)/D160</f>
        <v>#DIV/0!</v>
      </c>
      <c r="P160" s="150"/>
      <c r="Q160" s="132">
        <f t="shared" ref="Q160:Q162" si="311">SUM(AD160+AI160+AU160+AZ160+BL160+BQ160+CC160+CH160+CT160+CY160+DK160+DP160+EB160+EG160+ES160+EX160+FJ160+FO160+GA160+GF160+GR160+GW160)/11</f>
        <v>0</v>
      </c>
      <c r="R160" s="134">
        <f t="shared" ref="R160:R162" si="312">SUM(AE160+AJ160+AV160+BA160+BM160+BR160+CD160+CI160+CU160+CZ160+DL160+DQ160+EC160+EH160+ET160+EY160+FK160+FP160+GB160+GG160+GS160+GX160)/11</f>
        <v>0</v>
      </c>
      <c r="S160" s="136">
        <f t="shared" ref="S160:S162" si="313">SUM(AF160+AK160+AW160+BB160+BN160+BS160+CE160+CJ160+CV160+DA160+DM160+DR160+ED160+EI160+EU160+EZ160+FL160+FQ160+GC160+GH160+GT160+GY160)/11</f>
        <v>0</v>
      </c>
      <c r="T160" s="138">
        <f t="shared" ref="T160:T162" si="314">SUM(AG160+AL160+AX160+BC160+BO160+BT160+CF160+CK160+CW160+DB160+DN160+DS160+EE160+EJ160+EV160+FA160+FM160+FR160+GD160+GI160+GU160+GZ160)/11</f>
        <v>0</v>
      </c>
      <c r="U160" s="144">
        <f t="shared" ref="U160:U162" si="315">SUM(AH160+AM160+AY160+BD160+BP160+BU160+CG160+CL160+CX160+DC160+DO160+DT160+EF160+EK160+EW160+FB160+FN160+FS160+GE160+GJ160+GV160+HA160)/11</f>
        <v>0</v>
      </c>
      <c r="W160" s="11">
        <v>0</v>
      </c>
      <c r="X160" s="1">
        <v>0</v>
      </c>
      <c r="Y160" s="35">
        <f t="shared" si="201"/>
        <v>0</v>
      </c>
      <c r="Z160" s="35">
        <f t="shared" si="220"/>
        <v>0</v>
      </c>
      <c r="AA160" s="15">
        <f t="shared" si="233"/>
        <v>0.92834208965055254</v>
      </c>
      <c r="AB160" s="43">
        <f t="shared" si="298"/>
        <v>469.56471264946225</v>
      </c>
      <c r="AC160" s="43">
        <f t="shared" si="299"/>
        <v>505.81000030518521</v>
      </c>
      <c r="AD160" s="33"/>
      <c r="AH160" s="31"/>
      <c r="AP160" s="35">
        <f t="shared" si="202"/>
        <v>0</v>
      </c>
      <c r="AQ160" s="35">
        <f t="shared" si="221"/>
        <v>0</v>
      </c>
      <c r="AR160" s="15">
        <f t="shared" si="234"/>
        <v>0.89603584840219652</v>
      </c>
      <c r="AS160" s="28">
        <f t="shared" si="235"/>
        <v>462.17047578949354</v>
      </c>
      <c r="AT160" s="28">
        <f t="shared" si="236"/>
        <v>515.79462653601638</v>
      </c>
      <c r="AU160" s="33"/>
      <c r="AY160" s="31"/>
      <c r="BF160" s="1">
        <v>8</v>
      </c>
      <c r="BG160" s="35">
        <f>BF160*60</f>
        <v>480</v>
      </c>
      <c r="BH160" s="35">
        <f t="shared" si="222"/>
        <v>0</v>
      </c>
      <c r="BI160" s="15">
        <f t="shared" si="237"/>
        <v>2.3656030676656239</v>
      </c>
      <c r="BJ160" s="28">
        <f t="shared" si="238"/>
        <v>157.50341065597038</v>
      </c>
      <c r="BK160" s="28">
        <f t="shared" si="239"/>
        <v>66.580658779494513</v>
      </c>
      <c r="BL160" s="33"/>
      <c r="BP160" s="31"/>
      <c r="BX160" s="35">
        <f t="shared" si="204"/>
        <v>0</v>
      </c>
      <c r="BY160" s="35">
        <f t="shared" si="223"/>
        <v>0</v>
      </c>
      <c r="BZ160" s="15">
        <f t="shared" si="240"/>
        <v>1.0062161982386595</v>
      </c>
      <c r="CA160" s="28">
        <f t="shared" si="241"/>
        <v>437.04463555786083</v>
      </c>
      <c r="CB160" s="28">
        <f t="shared" si="242"/>
        <v>434.34466302857146</v>
      </c>
      <c r="CC160" s="33"/>
      <c r="CG160" s="31"/>
      <c r="CO160" s="35">
        <f t="shared" si="205"/>
        <v>0</v>
      </c>
      <c r="CP160" s="35">
        <f t="shared" si="224"/>
        <v>0</v>
      </c>
      <c r="CQ160" s="15">
        <f t="shared" si="243"/>
        <v>0.99541987182197444</v>
      </c>
      <c r="CR160" s="28">
        <f t="shared" si="244"/>
        <v>418.69076285684685</v>
      </c>
      <c r="CS160" s="28">
        <f t="shared" si="245"/>
        <v>420.61724374709638</v>
      </c>
      <c r="CT160" s="33"/>
      <c r="CX160" s="31"/>
      <c r="DF160" s="35">
        <f t="shared" si="206"/>
        <v>0</v>
      </c>
      <c r="DG160" s="35">
        <f t="shared" si="225"/>
        <v>0</v>
      </c>
      <c r="DH160" s="15">
        <f t="shared" si="246"/>
        <v>0.92596269224967165</v>
      </c>
      <c r="DI160" s="28">
        <f t="shared" si="247"/>
        <v>373.60149961200364</v>
      </c>
      <c r="DJ160" s="28">
        <f t="shared" si="248"/>
        <v>403.47359860073902</v>
      </c>
      <c r="DK160" s="33"/>
      <c r="DO160" s="31"/>
      <c r="DW160" s="35">
        <f t="shared" si="207"/>
        <v>0</v>
      </c>
      <c r="DX160" s="35">
        <f t="shared" si="226"/>
        <v>0</v>
      </c>
      <c r="DY160" s="15">
        <f t="shared" si="249"/>
        <v>0.92234978757699038</v>
      </c>
      <c r="DZ160" s="28">
        <f t="shared" si="250"/>
        <v>373.90702457249711</v>
      </c>
      <c r="EA160" s="28">
        <f t="shared" si="251"/>
        <v>405.38527748214648</v>
      </c>
      <c r="EB160" s="33"/>
      <c r="EF160" s="31"/>
      <c r="EN160" s="35">
        <f t="shared" si="208"/>
        <v>0</v>
      </c>
      <c r="EO160" s="35">
        <f t="shared" si="227"/>
        <v>0</v>
      </c>
      <c r="EP160" s="15">
        <f t="shared" si="252"/>
        <v>0.91569497335882877</v>
      </c>
      <c r="EQ160" s="28">
        <f t="shared" si="253"/>
        <v>420.87875632531575</v>
      </c>
      <c r="ER160" s="28">
        <f t="shared" si="254"/>
        <v>459.627680144956</v>
      </c>
      <c r="ES160" s="33"/>
      <c r="EW160" s="31"/>
      <c r="FE160" s="35">
        <f t="shared" si="209"/>
        <v>0</v>
      </c>
      <c r="FF160" s="35">
        <f t="shared" si="228"/>
        <v>0</v>
      </c>
      <c r="FG160" s="15">
        <f t="shared" si="255"/>
        <v>1.017773913088988</v>
      </c>
      <c r="FH160" s="28">
        <f t="shared" si="256"/>
        <v>524.98614117065563</v>
      </c>
      <c r="FI160" s="28">
        <f t="shared" si="257"/>
        <v>515.8180362250589</v>
      </c>
      <c r="FJ160" s="33"/>
      <c r="FN160" s="31"/>
      <c r="FV160" s="35">
        <f t="shared" si="210"/>
        <v>0</v>
      </c>
      <c r="FW160" s="35">
        <f t="shared" si="229"/>
        <v>0</v>
      </c>
      <c r="FX160" s="15">
        <f t="shared" si="258"/>
        <v>0.93957739937637663</v>
      </c>
      <c r="FY160" s="28">
        <f t="shared" si="259"/>
        <v>486.02430836572194</v>
      </c>
      <c r="FZ160" s="28">
        <f t="shared" si="260"/>
        <v>517.27969264512922</v>
      </c>
      <c r="GA160" s="33"/>
      <c r="GE160" s="31"/>
      <c r="GM160" s="35">
        <f t="shared" si="211"/>
        <v>0</v>
      </c>
      <c r="GN160" s="35">
        <f t="shared" si="230"/>
        <v>0</v>
      </c>
      <c r="GO160" s="15">
        <f t="shared" si="261"/>
        <v>0.9043013517622438</v>
      </c>
      <c r="GP160" s="28">
        <f t="shared" si="262"/>
        <v>500.94498809062281</v>
      </c>
      <c r="GQ160" s="28">
        <f t="shared" si="263"/>
        <v>553.95802197399541</v>
      </c>
      <c r="GR160" s="33"/>
      <c r="GV160" s="31"/>
      <c r="HD160" s="35">
        <f t="shared" si="212"/>
        <v>0</v>
      </c>
      <c r="HE160" s="35">
        <f t="shared" si="231"/>
        <v>0</v>
      </c>
      <c r="HF160" s="15">
        <f t="shared" si="264"/>
        <v>0.47716297289053089</v>
      </c>
      <c r="HG160" s="28">
        <f t="shared" si="265"/>
        <v>87.369706486752307</v>
      </c>
      <c r="HH160" s="28">
        <f t="shared" si="266"/>
        <v>183.10244392495301</v>
      </c>
      <c r="HI160" s="33"/>
      <c r="HM160" s="31"/>
      <c r="HU160" s="35">
        <f t="shared" si="213"/>
        <v>0</v>
      </c>
      <c r="HV160" s="35">
        <f t="shared" si="232"/>
        <v>0</v>
      </c>
      <c r="HW160" s="15">
        <f t="shared" si="267"/>
        <v>1.42931005306151E-5</v>
      </c>
      <c r="HX160" s="28">
        <f t="shared" si="268"/>
        <v>1.1344096792259295E-5</v>
      </c>
      <c r="HY160" s="28">
        <f t="shared" si="269"/>
        <v>0.79367641527188681</v>
      </c>
      <c r="HZ160" s="33"/>
      <c r="ID160" s="31"/>
      <c r="II160" s="12"/>
      <c r="IL160" s="35">
        <f t="shared" si="214"/>
        <v>0</v>
      </c>
      <c r="IM160" s="35">
        <f t="shared" si="215"/>
        <v>3922.9205059690166</v>
      </c>
      <c r="IN160" s="15">
        <f t="shared" si="270"/>
        <v>0.45235166268272708</v>
      </c>
      <c r="IO160" s="28">
        <f t="shared" si="271"/>
        <v>30.26583013105493</v>
      </c>
      <c r="IP160" s="28">
        <f t="shared" si="272"/>
        <v>66.907745959326661</v>
      </c>
      <c r="IQ160" s="33"/>
      <c r="IU160" s="31"/>
      <c r="JC160" s="35">
        <f t="shared" si="180"/>
        <v>0</v>
      </c>
      <c r="JD160" s="35">
        <f t="shared" si="216"/>
        <v>3780.8355297783355</v>
      </c>
      <c r="JE160" s="15">
        <f t="shared" si="273"/>
        <v>0.17564871249057634</v>
      </c>
      <c r="JF160" s="28">
        <f t="shared" si="274"/>
        <v>3.0401873798109591</v>
      </c>
      <c r="JG160" s="28">
        <f t="shared" si="275"/>
        <v>17.308338539481564</v>
      </c>
      <c r="JH160" s="33"/>
      <c r="JL160" s="31"/>
      <c r="JR160" s="99"/>
      <c r="JS160" s="99"/>
      <c r="JT160" s="99"/>
      <c r="JU160" s="99"/>
      <c r="JV160" s="99"/>
      <c r="JW160" s="99"/>
      <c r="JX160" s="99"/>
      <c r="JY160" s="99"/>
      <c r="JZ160" s="99"/>
      <c r="KA160" s="99"/>
      <c r="KB160" s="99"/>
      <c r="KC160" s="99"/>
      <c r="KD160" s="99"/>
      <c r="KE160" s="99"/>
      <c r="KF160" s="99"/>
      <c r="KG160" s="99"/>
      <c r="KH160" s="99"/>
      <c r="KI160" s="99"/>
      <c r="KJ160" s="99"/>
      <c r="KK160" s="99"/>
      <c r="KL160" s="99"/>
      <c r="KM160" s="99"/>
      <c r="KN160" s="99"/>
      <c r="KO160" s="99"/>
      <c r="KP160" s="99"/>
      <c r="KQ160" s="99"/>
      <c r="KR160" s="99"/>
      <c r="KS160" s="99"/>
      <c r="KT160" s="99"/>
      <c r="KU160" s="99"/>
      <c r="KV160" s="99"/>
      <c r="KW160" s="99"/>
      <c r="KX160" s="99"/>
      <c r="KY160" s="99"/>
      <c r="KZ160" s="99"/>
      <c r="LA160" s="99"/>
      <c r="LB160" s="99"/>
      <c r="LC160" s="99"/>
      <c r="LD160" s="99"/>
      <c r="LE160" s="99"/>
      <c r="LF160" s="99"/>
      <c r="LG160" s="99"/>
      <c r="LH160" s="99"/>
      <c r="LI160" s="99"/>
      <c r="LJ160" s="99"/>
      <c r="LK160" s="99"/>
      <c r="LL160" s="99"/>
      <c r="LM160" s="99"/>
      <c r="LN160" s="99"/>
      <c r="LO160" s="99"/>
      <c r="LP160" s="99"/>
      <c r="LQ160" s="99"/>
      <c r="LR160" s="99"/>
      <c r="LS160" s="99"/>
      <c r="LT160" s="99"/>
      <c r="LU160" s="99"/>
      <c r="LV160" s="99"/>
      <c r="LW160" s="99"/>
      <c r="LX160" s="99"/>
      <c r="LY160" s="99"/>
      <c r="LZ160" s="99"/>
      <c r="MA160" s="99"/>
      <c r="MB160" s="99"/>
      <c r="MC160" s="99"/>
      <c r="MD160" s="99"/>
      <c r="ME160" s="99"/>
      <c r="MF160" s="99"/>
    </row>
    <row r="161" spans="1:344" ht="17.25" customHeight="1" x14ac:dyDescent="0.25">
      <c r="A161" s="156"/>
      <c r="B161" s="81" t="s">
        <v>4</v>
      </c>
      <c r="C161" s="82">
        <v>45295</v>
      </c>
      <c r="D161" s="49">
        <v>13</v>
      </c>
      <c r="E161" s="39">
        <v>11</v>
      </c>
      <c r="F161" s="103">
        <v>70</v>
      </c>
      <c r="G161" s="89">
        <f t="shared" si="194"/>
        <v>7.5</v>
      </c>
      <c r="H161" s="35">
        <f t="shared" si="195"/>
        <v>525</v>
      </c>
      <c r="I161" s="39"/>
      <c r="L161" s="89">
        <f t="shared" si="196"/>
        <v>0</v>
      </c>
      <c r="M161" s="35">
        <f t="shared" si="217"/>
        <v>0</v>
      </c>
      <c r="N161" s="35">
        <f t="shared" si="218"/>
        <v>525</v>
      </c>
      <c r="O161" s="97">
        <f>SUM($Z161,$BH161,$AQ161,$BY161,$CP161,$DG161,$DX161,$EO161,$FF161,$FW161,$GN161)/E161</f>
        <v>180.63636363636363</v>
      </c>
      <c r="P161" s="150"/>
      <c r="Q161" s="132">
        <f t="shared" si="311"/>
        <v>18.363636363636363</v>
      </c>
      <c r="R161" s="134">
        <f t="shared" si="312"/>
        <v>15.545454545454545</v>
      </c>
      <c r="S161" s="136">
        <f t="shared" si="313"/>
        <v>18.727272727272727</v>
      </c>
      <c r="T161" s="138">
        <f t="shared" si="314"/>
        <v>16.818181818181817</v>
      </c>
      <c r="U161" s="144">
        <f t="shared" si="315"/>
        <v>1.5454545454545454</v>
      </c>
      <c r="W161" s="11">
        <v>7.5</v>
      </c>
      <c r="X161" s="1">
        <v>0</v>
      </c>
      <c r="Y161" s="35">
        <f t="shared" si="201"/>
        <v>525</v>
      </c>
      <c r="Z161" s="35">
        <f t="shared" si="220"/>
        <v>227</v>
      </c>
      <c r="AA161" s="15">
        <f t="shared" si="233"/>
        <v>0.95324718939319153</v>
      </c>
      <c r="AB161" s="43">
        <f t="shared" si="298"/>
        <v>483.42353448709667</v>
      </c>
      <c r="AC161" s="43">
        <f t="shared" si="299"/>
        <v>507.13344855999998</v>
      </c>
      <c r="AD161" s="33">
        <v>8</v>
      </c>
      <c r="AE161" s="8">
        <v>13</v>
      </c>
      <c r="AF161" s="9">
        <v>17</v>
      </c>
      <c r="AG161" s="10">
        <v>28</v>
      </c>
      <c r="AH161" s="31">
        <v>6</v>
      </c>
      <c r="AN161" s="11">
        <v>9.1999999999999993</v>
      </c>
      <c r="AP161" s="35">
        <f t="shared" si="202"/>
        <v>644</v>
      </c>
      <c r="AQ161" s="35">
        <f t="shared" si="221"/>
        <v>176</v>
      </c>
      <c r="AR161" s="15">
        <f t="shared" si="234"/>
        <v>0.96758036546436332</v>
      </c>
      <c r="AS161" s="28">
        <f t="shared" si="235"/>
        <v>507.62785684212014</v>
      </c>
      <c r="AT161" s="28">
        <f t="shared" si="236"/>
        <v>524.63637643008417</v>
      </c>
      <c r="AU161" s="33">
        <v>16</v>
      </c>
      <c r="AV161" s="8">
        <v>22</v>
      </c>
      <c r="AW161" s="9">
        <v>19</v>
      </c>
      <c r="AX161" s="10">
        <v>11</v>
      </c>
      <c r="AY161" s="31">
        <v>3</v>
      </c>
      <c r="BE161" s="11">
        <v>6.5</v>
      </c>
      <c r="BG161" s="35">
        <f t="shared" si="203"/>
        <v>455</v>
      </c>
      <c r="BH161" s="35">
        <f t="shared" si="222"/>
        <v>128</v>
      </c>
      <c r="BI161" s="15">
        <f t="shared" si="237"/>
        <v>2.4834746637644303</v>
      </c>
      <c r="BJ161" s="28">
        <f t="shared" si="238"/>
        <v>231.8775579919778</v>
      </c>
      <c r="BK161" s="28">
        <f t="shared" si="239"/>
        <v>93.368199553322484</v>
      </c>
      <c r="BL161" s="33">
        <v>44</v>
      </c>
      <c r="BM161" s="8">
        <v>5</v>
      </c>
      <c r="BN161" s="9">
        <v>14</v>
      </c>
      <c r="BO161" s="10">
        <v>8</v>
      </c>
      <c r="BP161" s="31">
        <v>0</v>
      </c>
      <c r="BV161" s="11">
        <v>8</v>
      </c>
      <c r="BX161" s="35">
        <f t="shared" si="204"/>
        <v>560</v>
      </c>
      <c r="BY161" s="35">
        <f t="shared" si="223"/>
        <v>194</v>
      </c>
      <c r="BZ161" s="15">
        <f t="shared" si="240"/>
        <v>1.0559194999406831</v>
      </c>
      <c r="CA161" s="28">
        <f t="shared" si="241"/>
        <v>467.78347666839562</v>
      </c>
      <c r="CB161" s="28">
        <f t="shared" si="242"/>
        <v>443.01054833694582</v>
      </c>
      <c r="CC161" s="33">
        <v>14</v>
      </c>
      <c r="CD161" s="8">
        <v>16</v>
      </c>
      <c r="CE161" s="9">
        <v>16</v>
      </c>
      <c r="CF161" s="10">
        <v>25</v>
      </c>
      <c r="CG161" s="31">
        <v>0</v>
      </c>
      <c r="CM161" s="11">
        <v>8</v>
      </c>
      <c r="CO161" s="35">
        <f t="shared" si="205"/>
        <v>560</v>
      </c>
      <c r="CP161" s="35">
        <f t="shared" si="224"/>
        <v>208.5</v>
      </c>
      <c r="CQ161" s="15">
        <f t="shared" si="243"/>
        <v>1.0552918972201895</v>
      </c>
      <c r="CR161" s="28">
        <f t="shared" si="244"/>
        <v>454.01807214263511</v>
      </c>
      <c r="CS161" s="28">
        <f t="shared" si="245"/>
        <v>430.22984762660701</v>
      </c>
      <c r="CT161" s="33">
        <v>13</v>
      </c>
      <c r="CU161" s="8">
        <v>12</v>
      </c>
      <c r="CV161" s="9">
        <v>13</v>
      </c>
      <c r="CW161" s="10">
        <v>30</v>
      </c>
      <c r="CX161" s="31">
        <v>2.5</v>
      </c>
      <c r="DD161" s="11">
        <v>5.8</v>
      </c>
      <c r="DF161" s="35">
        <f t="shared" si="206"/>
        <v>406</v>
      </c>
      <c r="DG161" s="35">
        <f t="shared" si="225"/>
        <v>188</v>
      </c>
      <c r="DH161" s="15">
        <f t="shared" si="246"/>
        <v>0.945629069037492</v>
      </c>
      <c r="DI161" s="28">
        <f t="shared" si="247"/>
        <v>381.70112470900273</v>
      </c>
      <c r="DJ161" s="28">
        <f t="shared" si="248"/>
        <v>403.64783317999837</v>
      </c>
      <c r="DK161" s="33">
        <v>16</v>
      </c>
      <c r="DL161" s="8">
        <v>15</v>
      </c>
      <c r="DM161" s="9">
        <v>18</v>
      </c>
      <c r="DN161" s="10">
        <v>22</v>
      </c>
      <c r="DO161" s="31">
        <v>0</v>
      </c>
      <c r="DU161" s="11">
        <v>5.5</v>
      </c>
      <c r="DW161" s="35">
        <f t="shared" si="207"/>
        <v>385</v>
      </c>
      <c r="DX161" s="35">
        <f t="shared" si="226"/>
        <v>161</v>
      </c>
      <c r="DY161" s="15">
        <f t="shared" si="249"/>
        <v>0.93242445506199778</v>
      </c>
      <c r="DZ161" s="28">
        <f t="shared" si="250"/>
        <v>376.68026842937286</v>
      </c>
      <c r="EA161" s="28">
        <f t="shared" si="251"/>
        <v>403.97939627648122</v>
      </c>
      <c r="EB161" s="33">
        <v>20</v>
      </c>
      <c r="EC161" s="8">
        <v>19</v>
      </c>
      <c r="ED161" s="9">
        <v>25</v>
      </c>
      <c r="EE161" s="10">
        <v>7</v>
      </c>
      <c r="EF161" s="31">
        <v>0</v>
      </c>
      <c r="EL161" s="11">
        <v>7</v>
      </c>
      <c r="EN161" s="35">
        <f t="shared" si="208"/>
        <v>490</v>
      </c>
      <c r="EO161" s="35">
        <f t="shared" si="227"/>
        <v>166.5</v>
      </c>
      <c r="EP161" s="15">
        <f t="shared" si="252"/>
        <v>0.94896660940730837</v>
      </c>
      <c r="EQ161" s="28">
        <f t="shared" si="253"/>
        <v>438.15906724398678</v>
      </c>
      <c r="ER161" s="28">
        <f t="shared" si="254"/>
        <v>461.7223228935797</v>
      </c>
      <c r="ES161" s="33">
        <v>20</v>
      </c>
      <c r="ET161" s="8">
        <v>17</v>
      </c>
      <c r="EU161" s="9">
        <v>22</v>
      </c>
      <c r="EV161" s="10">
        <v>11</v>
      </c>
      <c r="EW161" s="31">
        <v>0.5</v>
      </c>
      <c r="FC161" s="11">
        <v>8</v>
      </c>
      <c r="FE161" s="35">
        <f t="shared" si="209"/>
        <v>560</v>
      </c>
      <c r="FF161" s="35">
        <f t="shared" si="228"/>
        <v>160</v>
      </c>
      <c r="FG161" s="15">
        <f t="shared" si="255"/>
        <v>1.0286674485907907</v>
      </c>
      <c r="FH161" s="28">
        <f t="shared" si="256"/>
        <v>533.73960587799172</v>
      </c>
      <c r="FI161" s="28">
        <f t="shared" si="257"/>
        <v>518.86506820953764</v>
      </c>
      <c r="FJ161" s="33">
        <v>22</v>
      </c>
      <c r="FK161" s="8">
        <v>20</v>
      </c>
      <c r="FL161" s="9">
        <v>18</v>
      </c>
      <c r="FM161" s="10">
        <v>11</v>
      </c>
      <c r="FN161" s="31">
        <v>0</v>
      </c>
      <c r="FT161" s="11">
        <v>8.5</v>
      </c>
      <c r="FV161" s="35">
        <f t="shared" si="210"/>
        <v>595</v>
      </c>
      <c r="FW161" s="35">
        <f t="shared" si="229"/>
        <v>221</v>
      </c>
      <c r="FX161" s="15">
        <f t="shared" si="258"/>
        <v>0.98206894286920154</v>
      </c>
      <c r="FY161" s="28">
        <f t="shared" si="259"/>
        <v>513.26823127429145</v>
      </c>
      <c r="FZ161" s="28">
        <f t="shared" si="260"/>
        <v>522.63971384201682</v>
      </c>
      <c r="GA161" s="33">
        <v>6</v>
      </c>
      <c r="GB161" s="8">
        <v>17</v>
      </c>
      <c r="GC161" s="9">
        <v>16</v>
      </c>
      <c r="GD161" s="10">
        <v>27</v>
      </c>
      <c r="GE161" s="31">
        <v>5</v>
      </c>
      <c r="GK161" s="11">
        <v>8.5</v>
      </c>
      <c r="GM161" s="35">
        <f t="shared" si="211"/>
        <v>595</v>
      </c>
      <c r="GN161" s="35">
        <f t="shared" si="230"/>
        <v>157</v>
      </c>
      <c r="GO161" s="15">
        <f t="shared" si="261"/>
        <v>0.94193529147531418</v>
      </c>
      <c r="GP161" s="28">
        <f t="shared" si="262"/>
        <v>524.45874106796714</v>
      </c>
      <c r="GQ161" s="28">
        <f t="shared" si="263"/>
        <v>556.78850321716811</v>
      </c>
      <c r="GR161" s="33">
        <v>23</v>
      </c>
      <c r="GS161" s="8">
        <v>15</v>
      </c>
      <c r="GT161" s="9">
        <v>28</v>
      </c>
      <c r="GU161" s="10">
        <v>5</v>
      </c>
      <c r="GV161" s="31">
        <v>0</v>
      </c>
      <c r="HB161" s="11">
        <v>6.5</v>
      </c>
      <c r="HD161" s="35">
        <f t="shared" si="212"/>
        <v>455</v>
      </c>
      <c r="HE161" s="35">
        <f t="shared" si="231"/>
        <v>0</v>
      </c>
      <c r="HF161" s="15">
        <f t="shared" si="264"/>
        <v>0.88815322111344019</v>
      </c>
      <c r="HG161" s="28">
        <f t="shared" si="265"/>
        <v>179.27727986506423</v>
      </c>
      <c r="HH161" s="28">
        <f t="shared" si="266"/>
        <v>201.85399951633556</v>
      </c>
      <c r="HI161" s="33"/>
      <c r="HM161" s="31"/>
      <c r="HU161" s="35">
        <f t="shared" si="213"/>
        <v>0</v>
      </c>
      <c r="HV161" s="35">
        <f t="shared" si="232"/>
        <v>0</v>
      </c>
      <c r="HW161" s="15">
        <f t="shared" si="267"/>
        <v>1.1513886538551051E-5</v>
      </c>
      <c r="HX161" s="28">
        <f t="shared" si="268"/>
        <v>8.5080725941944705E-6</v>
      </c>
      <c r="HY161" s="28">
        <f t="shared" si="269"/>
        <v>0.73894011077037736</v>
      </c>
      <c r="HZ161" s="33"/>
      <c r="ID161" s="31"/>
      <c r="II161" s="12"/>
      <c r="IL161" s="35">
        <f t="shared" si="214"/>
        <v>0</v>
      </c>
      <c r="IM161" s="35">
        <f t="shared" si="215"/>
        <v>5231.3544068581341</v>
      </c>
      <c r="IN161" s="15">
        <f t="shared" si="270"/>
        <v>0.36439439493886355</v>
      </c>
      <c r="IO161" s="28">
        <f t="shared" si="271"/>
        <v>22.699372598291198</v>
      </c>
      <c r="IP161" s="28">
        <f t="shared" si="272"/>
        <v>62.293418651786887</v>
      </c>
      <c r="IQ161" s="33"/>
      <c r="IU161" s="31"/>
      <c r="JC161" s="35">
        <f t="shared" si="180"/>
        <v>0</v>
      </c>
      <c r="JD161" s="35">
        <f t="shared" si="216"/>
        <v>5155.8874023952358</v>
      </c>
      <c r="JE161" s="15">
        <f t="shared" si="273"/>
        <v>0.14149479617296429</v>
      </c>
      <c r="JF161" s="28">
        <f t="shared" si="274"/>
        <v>2.2801405348582193</v>
      </c>
      <c r="JG161" s="28">
        <f t="shared" si="275"/>
        <v>16.114660019517316</v>
      </c>
      <c r="JH161" s="33"/>
      <c r="JL161" s="31"/>
      <c r="JR161" s="99"/>
      <c r="JS161" s="99"/>
      <c r="JT161" s="99"/>
      <c r="JU161" s="99"/>
      <c r="JV161" s="99"/>
      <c r="JW161" s="99"/>
      <c r="JX161" s="99"/>
      <c r="JY161" s="99"/>
      <c r="JZ161" s="99"/>
      <c r="KA161" s="99"/>
      <c r="KB161" s="99"/>
      <c r="KC161" s="99"/>
      <c r="KD161" s="99"/>
      <c r="KE161" s="99"/>
      <c r="KF161" s="99"/>
      <c r="KG161" s="99"/>
      <c r="KH161" s="99"/>
      <c r="KI161" s="99"/>
      <c r="KJ161" s="99"/>
      <c r="KK161" s="99"/>
      <c r="KL161" s="99"/>
      <c r="KM161" s="99"/>
      <c r="KN161" s="99"/>
      <c r="KO161" s="99"/>
      <c r="KP161" s="99"/>
      <c r="KQ161" s="99"/>
      <c r="KR161" s="99"/>
      <c r="KS161" s="99"/>
      <c r="KT161" s="99"/>
      <c r="KU161" s="99"/>
      <c r="KV161" s="99"/>
      <c r="KW161" s="99"/>
      <c r="KX161" s="99"/>
      <c r="KY161" s="99"/>
      <c r="KZ161" s="99"/>
      <c r="LA161" s="99"/>
      <c r="LB161" s="99"/>
      <c r="LC161" s="99"/>
      <c r="LD161" s="99"/>
      <c r="LE161" s="99"/>
      <c r="LF161" s="99"/>
      <c r="LG161" s="99"/>
      <c r="LH161" s="99"/>
      <c r="LI161" s="99"/>
      <c r="LJ161" s="99"/>
      <c r="LK161" s="99"/>
      <c r="LL161" s="99"/>
      <c r="LM161" s="99"/>
      <c r="LN161" s="99"/>
      <c r="LO161" s="99"/>
      <c r="LP161" s="99"/>
      <c r="LQ161" s="99"/>
      <c r="LR161" s="99"/>
      <c r="LS161" s="99"/>
      <c r="LT161" s="99"/>
      <c r="LU161" s="99"/>
      <c r="LV161" s="99"/>
      <c r="LW161" s="99"/>
      <c r="LX161" s="99"/>
      <c r="LY161" s="99"/>
      <c r="LZ161" s="99"/>
      <c r="MA161" s="99"/>
      <c r="MB161" s="99"/>
      <c r="MC161" s="99"/>
      <c r="MD161" s="99"/>
      <c r="ME161" s="99"/>
      <c r="MF161" s="99"/>
    </row>
    <row r="162" spans="1:344" ht="17.25" customHeight="1" x14ac:dyDescent="0.25">
      <c r="A162" s="156"/>
      <c r="B162" s="81" t="s">
        <v>5</v>
      </c>
      <c r="C162" s="82">
        <v>45296</v>
      </c>
      <c r="D162" s="49">
        <v>13</v>
      </c>
      <c r="E162" s="39">
        <v>11</v>
      </c>
      <c r="F162" s="103">
        <v>62</v>
      </c>
      <c r="G162" s="89">
        <f t="shared" si="194"/>
        <v>6.0909090909090908</v>
      </c>
      <c r="H162" s="35">
        <f t="shared" si="195"/>
        <v>377.63636363636363</v>
      </c>
      <c r="I162" s="39"/>
      <c r="L162" s="89">
        <f t="shared" si="196"/>
        <v>0</v>
      </c>
      <c r="M162" s="35">
        <f t="shared" si="217"/>
        <v>0</v>
      </c>
      <c r="N162" s="35">
        <f t="shared" si="218"/>
        <v>377.63636363636363</v>
      </c>
      <c r="O162" s="97">
        <f>SUM($Z162,$BH162,$AQ162,$BY162,$CP162,$DG162,$DX162,$EO162,$FF162,$FW162,$GN162)/E162</f>
        <v>159.54545454545453</v>
      </c>
      <c r="P162" s="150"/>
      <c r="Q162" s="132">
        <f t="shared" si="311"/>
        <v>24.727272727272727</v>
      </c>
      <c r="R162" s="134">
        <f t="shared" si="312"/>
        <v>15.909090909090908</v>
      </c>
      <c r="S162" s="136">
        <f t="shared" si="313"/>
        <v>14.181818181818182</v>
      </c>
      <c r="T162" s="138">
        <f t="shared" si="314"/>
        <v>11.818181818181818</v>
      </c>
      <c r="U162" s="144">
        <f t="shared" si="315"/>
        <v>2.6363636363636362</v>
      </c>
      <c r="W162" s="11">
        <v>6</v>
      </c>
      <c r="X162" s="1">
        <v>0</v>
      </c>
      <c r="Y162" s="35">
        <f t="shared" si="201"/>
        <v>372</v>
      </c>
      <c r="Z162" s="35">
        <f t="shared" si="220"/>
        <v>218</v>
      </c>
      <c r="AA162" s="15">
        <f t="shared" si="233"/>
        <v>0.91513646066213705</v>
      </c>
      <c r="AB162" s="43">
        <f t="shared" si="298"/>
        <v>455.56765086532249</v>
      </c>
      <c r="AC162" s="43">
        <f t="shared" si="299"/>
        <v>497.81390038344824</v>
      </c>
      <c r="AD162" s="33">
        <v>7</v>
      </c>
      <c r="AE162" s="8">
        <v>16</v>
      </c>
      <c r="AF162" s="9">
        <v>18</v>
      </c>
      <c r="AG162" s="10">
        <v>15</v>
      </c>
      <c r="AH162" s="31">
        <v>13</v>
      </c>
      <c r="AN162" s="11">
        <v>7</v>
      </c>
      <c r="AP162" s="35">
        <f t="shared" si="202"/>
        <v>434</v>
      </c>
      <c r="AQ162" s="35">
        <f t="shared" si="221"/>
        <v>145</v>
      </c>
      <c r="AR162" s="15">
        <f t="shared" si="234"/>
        <v>0.94373937147230513</v>
      </c>
      <c r="AS162" s="28">
        <f t="shared" si="235"/>
        <v>489.22089263159012</v>
      </c>
      <c r="AT162" s="28">
        <f t="shared" si="236"/>
        <v>518.38559184869905</v>
      </c>
      <c r="AU162" s="33">
        <v>35</v>
      </c>
      <c r="AV162" s="8">
        <v>11</v>
      </c>
      <c r="AW162" s="9">
        <v>11</v>
      </c>
      <c r="AX162" s="10">
        <v>10</v>
      </c>
      <c r="AY162" s="31">
        <v>3</v>
      </c>
      <c r="BE162" s="11">
        <v>4.5</v>
      </c>
      <c r="BG162" s="35">
        <f t="shared" si="203"/>
        <v>279</v>
      </c>
      <c r="BH162" s="35">
        <f t="shared" si="222"/>
        <v>110</v>
      </c>
      <c r="BI162" s="15">
        <f t="shared" si="237"/>
        <v>2.2949728481365583</v>
      </c>
      <c r="BJ162" s="28">
        <f t="shared" si="238"/>
        <v>243.65816849398334</v>
      </c>
      <c r="BK162" s="28">
        <f t="shared" si="239"/>
        <v>106.1703926875761</v>
      </c>
      <c r="BL162" s="33">
        <v>41</v>
      </c>
      <c r="BM162" s="8">
        <v>18</v>
      </c>
      <c r="BN162" s="9">
        <v>7</v>
      </c>
      <c r="BO162" s="10">
        <v>3</v>
      </c>
      <c r="BP162" s="31">
        <v>0</v>
      </c>
      <c r="BV162" s="11">
        <v>5</v>
      </c>
      <c r="BX162" s="35">
        <f t="shared" si="204"/>
        <v>310</v>
      </c>
      <c r="BY162" s="35">
        <f t="shared" si="223"/>
        <v>161</v>
      </c>
      <c r="BZ162" s="15">
        <f t="shared" si="240"/>
        <v>0.98732290143409607</v>
      </c>
      <c r="CA162" s="28">
        <f t="shared" si="241"/>
        <v>428.3376075012967</v>
      </c>
      <c r="CB162" s="28">
        <f t="shared" si="242"/>
        <v>433.8374070723288</v>
      </c>
      <c r="CC162" s="33">
        <v>27</v>
      </c>
      <c r="CD162" s="8">
        <v>15</v>
      </c>
      <c r="CE162" s="9">
        <v>9</v>
      </c>
      <c r="CF162" s="10">
        <v>13</v>
      </c>
      <c r="CG162" s="31">
        <v>5</v>
      </c>
      <c r="CM162" s="11">
        <v>7</v>
      </c>
      <c r="CO162" s="35">
        <f t="shared" si="205"/>
        <v>434</v>
      </c>
      <c r="CP162" s="35">
        <f t="shared" si="224"/>
        <v>150</v>
      </c>
      <c r="CQ162" s="15">
        <f t="shared" si="243"/>
        <v>1.043029343483501</v>
      </c>
      <c r="CR162" s="28">
        <f t="shared" si="244"/>
        <v>449.01355410697636</v>
      </c>
      <c r="CS162" s="28">
        <f t="shared" si="245"/>
        <v>430.48985813511683</v>
      </c>
      <c r="CT162" s="33">
        <v>28</v>
      </c>
      <c r="CU162" s="8">
        <v>18</v>
      </c>
      <c r="CV162" s="9">
        <v>12</v>
      </c>
      <c r="CW162" s="10">
        <v>10</v>
      </c>
      <c r="CX162" s="31">
        <v>2</v>
      </c>
      <c r="DD162" s="11">
        <v>5</v>
      </c>
      <c r="DF162" s="35">
        <f t="shared" si="206"/>
        <v>310</v>
      </c>
      <c r="DG162" s="35">
        <f t="shared" si="225"/>
        <v>146</v>
      </c>
      <c r="DH162" s="15">
        <f t="shared" si="246"/>
        <v>0.91587509234282749</v>
      </c>
      <c r="DI162" s="28">
        <f t="shared" si="247"/>
        <v>363.77584353175206</v>
      </c>
      <c r="DJ162" s="28">
        <f t="shared" si="248"/>
        <v>397.18936192620538</v>
      </c>
      <c r="DK162" s="33">
        <v>31</v>
      </c>
      <c r="DL162" s="8">
        <v>15</v>
      </c>
      <c r="DM162" s="9">
        <v>12</v>
      </c>
      <c r="DN162" s="10">
        <v>11</v>
      </c>
      <c r="DO162" s="31">
        <v>1</v>
      </c>
      <c r="DU162" s="11">
        <v>5</v>
      </c>
      <c r="DW162" s="35">
        <f t="shared" si="207"/>
        <v>310</v>
      </c>
      <c r="DX162" s="35">
        <f t="shared" si="226"/>
        <v>156</v>
      </c>
      <c r="DY162" s="15">
        <f t="shared" si="249"/>
        <v>0.9056904644716165</v>
      </c>
      <c r="DZ162" s="28">
        <f t="shared" si="250"/>
        <v>360.01020132202962</v>
      </c>
      <c r="EA162" s="28">
        <f t="shared" si="251"/>
        <v>397.49805860224114</v>
      </c>
      <c r="EB162" s="33">
        <v>24</v>
      </c>
      <c r="EC162" s="8">
        <v>15</v>
      </c>
      <c r="ED162" s="9">
        <v>18</v>
      </c>
      <c r="EE162" s="10">
        <v>12</v>
      </c>
      <c r="EF162" s="31">
        <v>0</v>
      </c>
      <c r="EL162" s="11">
        <v>6</v>
      </c>
      <c r="EN162" s="35">
        <f t="shared" si="208"/>
        <v>372</v>
      </c>
      <c r="EO162" s="35">
        <f t="shared" si="227"/>
        <v>182</v>
      </c>
      <c r="EP162" s="15">
        <f t="shared" si="252"/>
        <v>0.92554840443578423</v>
      </c>
      <c r="EQ162" s="28">
        <f t="shared" si="253"/>
        <v>421.61930043299009</v>
      </c>
      <c r="ER162" s="28">
        <f t="shared" si="254"/>
        <v>455.53457648712589</v>
      </c>
      <c r="ES162" s="33">
        <v>13</v>
      </c>
      <c r="ET162" s="8">
        <v>16</v>
      </c>
      <c r="EU162" s="9">
        <v>23</v>
      </c>
      <c r="EV162" s="10">
        <v>17</v>
      </c>
      <c r="EW162" s="31">
        <v>0</v>
      </c>
      <c r="FC162" s="11">
        <v>7.5</v>
      </c>
      <c r="FE162" s="35">
        <f t="shared" si="209"/>
        <v>465</v>
      </c>
      <c r="FF162" s="35">
        <f t="shared" si="228"/>
        <v>140</v>
      </c>
      <c r="FG162" s="15">
        <f t="shared" si="255"/>
        <v>1.002726327955112</v>
      </c>
      <c r="FH162" s="28">
        <f t="shared" si="256"/>
        <v>516.55470440849376</v>
      </c>
      <c r="FI162" s="28">
        <f t="shared" si="257"/>
        <v>515.15023591922466</v>
      </c>
      <c r="FJ162" s="33">
        <v>30</v>
      </c>
      <c r="FK162" s="8">
        <v>14</v>
      </c>
      <c r="FL162" s="9">
        <v>18</v>
      </c>
      <c r="FM162" s="10">
        <v>7</v>
      </c>
      <c r="FN162" s="31">
        <v>0</v>
      </c>
      <c r="FT162" s="11">
        <v>7</v>
      </c>
      <c r="FV162" s="35">
        <f t="shared" si="210"/>
        <v>434</v>
      </c>
      <c r="FW162" s="35">
        <f t="shared" si="229"/>
        <v>171</v>
      </c>
      <c r="FX162" s="15">
        <f t="shared" si="258"/>
        <v>0.95532571734529392</v>
      </c>
      <c r="FY162" s="28">
        <f t="shared" si="259"/>
        <v>493.45117345571862</v>
      </c>
      <c r="FZ162" s="28">
        <f t="shared" si="260"/>
        <v>516.52663012877429</v>
      </c>
      <c r="GA162" s="33">
        <v>18</v>
      </c>
      <c r="GB162" s="8">
        <v>20</v>
      </c>
      <c r="GC162" s="9">
        <v>13</v>
      </c>
      <c r="GD162" s="10">
        <v>16</v>
      </c>
      <c r="GE162" s="31">
        <v>2</v>
      </c>
      <c r="GK162" s="11">
        <v>7</v>
      </c>
      <c r="GM162" s="35">
        <f t="shared" si="211"/>
        <v>434</v>
      </c>
      <c r="GN162" s="35">
        <f t="shared" si="230"/>
        <v>176</v>
      </c>
      <c r="GO162" s="15">
        <f t="shared" si="261"/>
        <v>0.91523882630571574</v>
      </c>
      <c r="GP162" s="28">
        <f t="shared" si="262"/>
        <v>501.84405580097535</v>
      </c>
      <c r="GQ162" s="28">
        <f t="shared" si="263"/>
        <v>548.32033058150137</v>
      </c>
      <c r="GR162" s="33">
        <v>18</v>
      </c>
      <c r="GS162" s="8">
        <v>17</v>
      </c>
      <c r="GT162" s="9">
        <v>15</v>
      </c>
      <c r="GU162" s="10">
        <v>16</v>
      </c>
      <c r="GV162" s="31">
        <v>3</v>
      </c>
      <c r="HB162" s="11">
        <v>5.5</v>
      </c>
      <c r="HD162" s="35">
        <f t="shared" si="212"/>
        <v>341</v>
      </c>
      <c r="HE162" s="35">
        <f t="shared" si="231"/>
        <v>93</v>
      </c>
      <c r="HF162" s="15">
        <f t="shared" si="264"/>
        <v>1.0390526069117534</v>
      </c>
      <c r="HG162" s="28">
        <f t="shared" si="265"/>
        <v>219.70795989879818</v>
      </c>
      <c r="HH162" s="28">
        <f t="shared" si="266"/>
        <v>211.45027541176069</v>
      </c>
      <c r="HI162" s="33">
        <v>51</v>
      </c>
      <c r="HJ162" s="8">
        <v>9</v>
      </c>
      <c r="HK162" s="9">
        <v>8</v>
      </c>
      <c r="HL162" s="10">
        <v>0</v>
      </c>
      <c r="HM162" s="31">
        <v>0</v>
      </c>
      <c r="HU162" s="35">
        <f t="shared" si="213"/>
        <v>0</v>
      </c>
      <c r="HV162" s="35">
        <f t="shared" si="232"/>
        <v>0</v>
      </c>
      <c r="HW162" s="15">
        <f t="shared" si="267"/>
        <v>9.2750752671661249E-6</v>
      </c>
      <c r="HX162" s="28">
        <f t="shared" si="268"/>
        <v>6.3810544456458529E-6</v>
      </c>
      <c r="HY162" s="28">
        <f t="shared" si="269"/>
        <v>0.68797872382069614</v>
      </c>
      <c r="HZ162" s="33"/>
      <c r="ID162" s="31"/>
      <c r="II162" s="12"/>
      <c r="IL162" s="35">
        <f t="shared" si="214"/>
        <v>0</v>
      </c>
      <c r="IM162" s="35">
        <f t="shared" si="215"/>
        <v>4678.4994340711328</v>
      </c>
      <c r="IN162" s="15">
        <f t="shared" si="270"/>
        <v>0.29353992925630673</v>
      </c>
      <c r="IO162" s="28">
        <f t="shared" si="271"/>
        <v>17.024529448718397</v>
      </c>
      <c r="IP162" s="28">
        <f t="shared" si="272"/>
        <v>57.997320813732614</v>
      </c>
      <c r="IQ162" s="33"/>
      <c r="IU162" s="31"/>
      <c r="JC162" s="35">
        <f t="shared" si="180"/>
        <v>0</v>
      </c>
      <c r="JD162" s="35">
        <f t="shared" si="216"/>
        <v>4835.6325951339404</v>
      </c>
      <c r="JE162" s="15">
        <f t="shared" si="273"/>
        <v>0.11398191913933234</v>
      </c>
      <c r="JF162" s="28">
        <f t="shared" si="274"/>
        <v>1.7101054011436645</v>
      </c>
      <c r="JG162" s="28">
        <f t="shared" si="275"/>
        <v>15.003304156102329</v>
      </c>
      <c r="JH162" s="33"/>
      <c r="JL162" s="31"/>
      <c r="JR162" s="99"/>
      <c r="JS162" s="99"/>
      <c r="JT162" s="99"/>
      <c r="JU162" s="99"/>
      <c r="JV162" s="99"/>
      <c r="JW162" s="99"/>
      <c r="JX162" s="99"/>
      <c r="JY162" s="99"/>
      <c r="JZ162" s="99"/>
      <c r="KA162" s="99"/>
      <c r="KB162" s="99"/>
      <c r="KC162" s="99"/>
      <c r="KD162" s="99"/>
      <c r="KE162" s="99"/>
      <c r="KF162" s="99"/>
      <c r="KG162" s="99"/>
      <c r="KH162" s="99"/>
      <c r="KI162" s="99"/>
      <c r="KJ162" s="99"/>
      <c r="KK162" s="99"/>
      <c r="KL162" s="99"/>
      <c r="KM162" s="99"/>
      <c r="KN162" s="99"/>
      <c r="KO162" s="99"/>
      <c r="KP162" s="99"/>
      <c r="KQ162" s="99"/>
      <c r="KR162" s="99"/>
      <c r="KS162" s="99"/>
      <c r="KT162" s="99"/>
      <c r="KU162" s="99"/>
      <c r="KV162" s="99"/>
      <c r="KW162" s="99"/>
      <c r="KX162" s="99"/>
      <c r="KY162" s="99"/>
      <c r="KZ162" s="99"/>
      <c r="LA162" s="99"/>
      <c r="LB162" s="99"/>
      <c r="LC162" s="99"/>
      <c r="LD162" s="99"/>
      <c r="LE162" s="99"/>
      <c r="LF162" s="99"/>
      <c r="LG162" s="99"/>
      <c r="LH162" s="99"/>
      <c r="LI162" s="99"/>
      <c r="LJ162" s="99"/>
      <c r="LK162" s="99"/>
      <c r="LL162" s="99"/>
      <c r="LM162" s="99"/>
      <c r="LN162" s="99"/>
      <c r="LO162" s="99"/>
      <c r="LP162" s="99"/>
      <c r="LQ162" s="99"/>
      <c r="LR162" s="99"/>
      <c r="LS162" s="99"/>
      <c r="LT162" s="99"/>
      <c r="LU162" s="99"/>
      <c r="LV162" s="99"/>
      <c r="LW162" s="99"/>
      <c r="LX162" s="99"/>
      <c r="LY162" s="99"/>
      <c r="LZ162" s="99"/>
      <c r="MA162" s="99"/>
      <c r="MB162" s="99"/>
      <c r="MC162" s="99"/>
      <c r="MD162" s="99"/>
      <c r="ME162" s="99"/>
      <c r="MF162" s="99"/>
    </row>
    <row r="163" spans="1:344" ht="17.25" customHeight="1" x14ac:dyDescent="0.25">
      <c r="A163" s="156"/>
      <c r="B163" s="90" t="s">
        <v>6</v>
      </c>
      <c r="C163" s="91">
        <v>45297</v>
      </c>
      <c r="D163" s="49"/>
      <c r="G163" s="89">
        <f t="shared" si="194"/>
        <v>0</v>
      </c>
      <c r="H163" s="35">
        <f t="shared" si="195"/>
        <v>0</v>
      </c>
      <c r="I163" s="39">
        <v>12</v>
      </c>
      <c r="J163" s="39">
        <v>11</v>
      </c>
      <c r="K163" s="103">
        <v>100</v>
      </c>
      <c r="L163" s="89">
        <f t="shared" si="196"/>
        <v>8.0909090909090917</v>
      </c>
      <c r="M163" s="35">
        <f t="shared" si="217"/>
        <v>809.09090909090912</v>
      </c>
      <c r="N163" s="35">
        <f t="shared" si="218"/>
        <v>809.09090909090912</v>
      </c>
      <c r="O163" s="97">
        <f>SUM($Z163,$BH163,$AQ163,$BY163,$CP163,$DG163,$DX163,$EO163,$FF163,$FW163,$GN163)/J163</f>
        <v>0</v>
      </c>
      <c r="P163" s="150"/>
      <c r="Q163" s="132">
        <f t="shared" ref="Q163:Q164" si="316">SUM(AD163+AI163+AU163+AZ163+BL163+BQ163+CC163+CH163+CT163+CY163+DK163+DP163+EB163+EG163+ES163+EX163+FJ163+FO163+GA163+GF163+GR163+GW163)/10</f>
        <v>0</v>
      </c>
      <c r="R163" s="134">
        <f t="shared" ref="R163:R164" si="317">SUM(AE163+AJ163+AV163+BA163+BM163+BR163+CD163+CI163+CU163+CZ163+DL163+DQ163+EC163+EH163+ET163+EY163+FK163+FP163+GB163+GG163+GS163+GX163)/10</f>
        <v>0</v>
      </c>
      <c r="S163" s="136">
        <f t="shared" ref="S163:S164" si="318">SUM(AF163+AK163+AW163+BB163+BN163+BS163+CE163+CJ163+CV163+DA163+DM163+DR163+ED163+EI163+EU163+EZ163+FL163+FQ163+GC163+GH163+GT163+GY163)/10</f>
        <v>0</v>
      </c>
      <c r="T163" s="138">
        <f t="shared" ref="T163:T164" si="319">SUM(AG163+AL163+AX163+BC163+BO163+BT163+CF163+CK163+CW163+DB163+DN163+DS163+EE163+EJ163+EV163+FA163+FM163+FR163+GD163+GI163+GU163+GZ163)/10</f>
        <v>0</v>
      </c>
      <c r="U163" s="144">
        <f t="shared" ref="U163:U164" si="320">SUM(AH163+AM163+AY163+BD163+BP163+BU163+CG163+CL163+CX163+DC163+DO163+DT163+EF163+EK163+EW163+FB163+FN163+FS163+GE163+GJ163+GV163+HA163)/10</f>
        <v>0</v>
      </c>
      <c r="W163" s="11">
        <v>0</v>
      </c>
      <c r="X163" s="1">
        <v>9</v>
      </c>
      <c r="Y163" s="35">
        <f t="shared" si="201"/>
        <v>900</v>
      </c>
      <c r="Z163" s="35">
        <f t="shared" si="220"/>
        <v>0</v>
      </c>
      <c r="AA163" s="15">
        <f t="shared" si="233"/>
        <v>1.07825096961856</v>
      </c>
      <c r="AB163" s="43">
        <f t="shared" si="298"/>
        <v>566.67573814899185</v>
      </c>
      <c r="AC163" s="43">
        <f t="shared" si="299"/>
        <v>525.55087277079656</v>
      </c>
      <c r="AD163" s="33"/>
      <c r="AH163" s="31"/>
      <c r="AO163" s="1">
        <v>9</v>
      </c>
      <c r="AP163" s="35">
        <f t="shared" si="202"/>
        <v>900</v>
      </c>
      <c r="AQ163" s="35">
        <f t="shared" si="221"/>
        <v>0</v>
      </c>
      <c r="AR163" s="15">
        <f t="shared" si="234"/>
        <v>1.086674336123761</v>
      </c>
      <c r="AS163" s="28">
        <f t="shared" si="235"/>
        <v>591.91566947369256</v>
      </c>
      <c r="AT163" s="28">
        <f t="shared" si="236"/>
        <v>544.70382689361634</v>
      </c>
      <c r="AU163" s="33"/>
      <c r="AY163" s="31"/>
      <c r="BF163" s="1">
        <v>1</v>
      </c>
      <c r="BG163" s="35">
        <f t="shared" si="203"/>
        <v>100</v>
      </c>
      <c r="BH163" s="35">
        <f t="shared" si="222"/>
        <v>0</v>
      </c>
      <c r="BI163" s="15">
        <f t="shared" si="237"/>
        <v>1.9645744410621582</v>
      </c>
      <c r="BJ163" s="28">
        <f t="shared" si="238"/>
        <v>207.7436263704875</v>
      </c>
      <c r="BK163" s="28">
        <f t="shared" si="239"/>
        <v>105.744848364295</v>
      </c>
      <c r="BL163" s="33"/>
      <c r="BP163" s="31"/>
      <c r="BW163" s="1">
        <v>9</v>
      </c>
      <c r="BX163" s="35">
        <f t="shared" si="204"/>
        <v>900</v>
      </c>
      <c r="BY163" s="35">
        <f t="shared" si="223"/>
        <v>0</v>
      </c>
      <c r="BZ163" s="15">
        <f t="shared" si="240"/>
        <v>1.1722510101859314</v>
      </c>
      <c r="CA163" s="28">
        <f t="shared" si="241"/>
        <v>546.25320562597256</v>
      </c>
      <c r="CB163" s="28">
        <f t="shared" si="242"/>
        <v>465.98655141216818</v>
      </c>
      <c r="CC163" s="33"/>
      <c r="CG163" s="31"/>
      <c r="CN163" s="1">
        <v>8</v>
      </c>
      <c r="CO163" s="35">
        <f t="shared" si="205"/>
        <v>800</v>
      </c>
      <c r="CP163" s="35">
        <f t="shared" si="224"/>
        <v>0</v>
      </c>
      <c r="CQ163" s="15">
        <f t="shared" si="243"/>
        <v>1.1771745111307372</v>
      </c>
      <c r="CR163" s="28">
        <f t="shared" si="244"/>
        <v>536.7601655802323</v>
      </c>
      <c r="CS163" s="28">
        <f t="shared" si="245"/>
        <v>455.97331619476392</v>
      </c>
      <c r="CT163" s="33"/>
      <c r="CX163" s="31"/>
      <c r="DE163" s="1">
        <v>8.1999999999999993</v>
      </c>
      <c r="DF163" s="35">
        <f t="shared" si="206"/>
        <v>819.99999999999989</v>
      </c>
      <c r="DG163" s="35">
        <f t="shared" si="225"/>
        <v>0</v>
      </c>
      <c r="DH163" s="15">
        <f t="shared" si="246"/>
        <v>1.1207536563552098</v>
      </c>
      <c r="DI163" s="28">
        <f t="shared" si="247"/>
        <v>477.83188264881403</v>
      </c>
      <c r="DJ163" s="28">
        <f t="shared" si="248"/>
        <v>426.34871627612227</v>
      </c>
      <c r="DK163" s="33"/>
      <c r="DO163" s="31"/>
      <c r="DV163" s="1">
        <v>8.3000000000000007</v>
      </c>
      <c r="DW163" s="35">
        <f t="shared" si="207"/>
        <v>830.00000000000011</v>
      </c>
      <c r="DX163" s="35">
        <f t="shared" si="226"/>
        <v>0</v>
      </c>
      <c r="DY163" s="15">
        <f t="shared" si="249"/>
        <v>1.117432354410506</v>
      </c>
      <c r="DZ163" s="28">
        <f t="shared" si="250"/>
        <v>477.50765099152227</v>
      </c>
      <c r="EA163" s="28">
        <f t="shared" si="251"/>
        <v>427.32577869863832</v>
      </c>
      <c r="EB163" s="33"/>
      <c r="EF163" s="31"/>
      <c r="EM163" s="1">
        <v>8</v>
      </c>
      <c r="EN163" s="35">
        <f t="shared" si="208"/>
        <v>800</v>
      </c>
      <c r="EO163" s="35">
        <f t="shared" si="227"/>
        <v>0</v>
      </c>
      <c r="EP163" s="15">
        <f t="shared" si="252"/>
        <v>1.0770381191611815</v>
      </c>
      <c r="EQ163" s="28">
        <f t="shared" si="253"/>
        <v>516.21447532474258</v>
      </c>
      <c r="ER163" s="28">
        <f t="shared" si="254"/>
        <v>479.29081259146199</v>
      </c>
      <c r="ES163" s="33"/>
      <c r="EW163" s="31"/>
      <c r="FD163" s="1">
        <v>9</v>
      </c>
      <c r="FE163" s="35">
        <f t="shared" si="209"/>
        <v>900</v>
      </c>
      <c r="FF163" s="35">
        <f t="shared" si="228"/>
        <v>0</v>
      </c>
      <c r="FG163" s="15">
        <f t="shared" si="255"/>
        <v>1.1305621676300153</v>
      </c>
      <c r="FH163" s="28">
        <f t="shared" si="256"/>
        <v>612.41602830637032</v>
      </c>
      <c r="FI163" s="28">
        <f t="shared" si="257"/>
        <v>541.69159895927805</v>
      </c>
      <c r="FJ163" s="33"/>
      <c r="FN163" s="31"/>
      <c r="FU163" s="1">
        <v>10</v>
      </c>
      <c r="FV163" s="35">
        <f t="shared" si="210"/>
        <v>1000</v>
      </c>
      <c r="FW163" s="35">
        <f t="shared" si="229"/>
        <v>0</v>
      </c>
      <c r="FX163" s="15">
        <f t="shared" si="258"/>
        <v>1.1277007425687533</v>
      </c>
      <c r="FY163" s="28">
        <f t="shared" si="259"/>
        <v>620.08838009178896</v>
      </c>
      <c r="FZ163" s="28">
        <f t="shared" si="260"/>
        <v>549.86962115437609</v>
      </c>
      <c r="GA163" s="33"/>
      <c r="GE163" s="31"/>
      <c r="GL163" s="1">
        <v>9.5</v>
      </c>
      <c r="GM163" s="35">
        <f t="shared" si="211"/>
        <v>950</v>
      </c>
      <c r="GN163" s="35">
        <f t="shared" si="230"/>
        <v>0</v>
      </c>
      <c r="GO163" s="15">
        <f t="shared" si="261"/>
        <v>1.0657277679318022</v>
      </c>
      <c r="GP163" s="28">
        <f t="shared" si="262"/>
        <v>613.8830418507315</v>
      </c>
      <c r="GQ163" s="28">
        <f t="shared" si="263"/>
        <v>576.02237674829439</v>
      </c>
      <c r="GR163" s="33"/>
      <c r="GV163" s="31"/>
      <c r="HD163" s="35">
        <f t="shared" si="212"/>
        <v>0</v>
      </c>
      <c r="HE163" s="35">
        <f t="shared" si="231"/>
        <v>0</v>
      </c>
      <c r="HF163" s="15">
        <f t="shared" si="264"/>
        <v>0.83701460001224581</v>
      </c>
      <c r="HG163" s="28">
        <f t="shared" si="265"/>
        <v>164.78096992409863</v>
      </c>
      <c r="HH163" s="28">
        <f t="shared" si="266"/>
        <v>196.86749779715649</v>
      </c>
      <c r="HI163" s="33"/>
      <c r="HM163" s="31"/>
      <c r="HU163" s="35">
        <f t="shared" si="213"/>
        <v>0</v>
      </c>
      <c r="HV163" s="35">
        <f t="shared" si="232"/>
        <v>0</v>
      </c>
      <c r="HW163" s="15">
        <f t="shared" si="267"/>
        <v>7.4715884096616009E-6</v>
      </c>
      <c r="HX163" s="28">
        <f t="shared" si="268"/>
        <v>4.7857908342343897E-6</v>
      </c>
      <c r="HY163" s="28">
        <f t="shared" si="269"/>
        <v>0.64053191528133779</v>
      </c>
      <c r="HZ163" s="33"/>
      <c r="ID163" s="31"/>
      <c r="II163" s="12"/>
      <c r="IL163" s="35">
        <f t="shared" si="214"/>
        <v>0</v>
      </c>
      <c r="IM163" s="35">
        <f t="shared" si="215"/>
        <v>5418.4623325952889</v>
      </c>
      <c r="IN163" s="15">
        <f t="shared" si="270"/>
        <v>0.23646272078980266</v>
      </c>
      <c r="IO163" s="28">
        <f t="shared" si="271"/>
        <v>12.768397086538798</v>
      </c>
      <c r="IP163" s="28">
        <f t="shared" si="272"/>
        <v>53.997505585199328</v>
      </c>
      <c r="IQ163" s="33"/>
      <c r="IU163" s="31"/>
      <c r="JC163" s="35">
        <f t="shared" si="180"/>
        <v>0</v>
      </c>
      <c r="JD163" s="35">
        <f t="shared" si="216"/>
        <v>5230.4387668281415</v>
      </c>
      <c r="JE163" s="15">
        <f t="shared" si="273"/>
        <v>9.1818768195573275E-2</v>
      </c>
      <c r="JF163" s="28">
        <f t="shared" si="274"/>
        <v>1.2825790508577484</v>
      </c>
      <c r="JG163" s="28">
        <f t="shared" si="275"/>
        <v>13.968593524646996</v>
      </c>
      <c r="JH163" s="33"/>
      <c r="JL163" s="31"/>
      <c r="JR163" s="99"/>
      <c r="JS163" s="99"/>
      <c r="JT163" s="99"/>
      <c r="JU163" s="99"/>
      <c r="JV163" s="99"/>
      <c r="JW163" s="99"/>
      <c r="JX163" s="99"/>
      <c r="JY163" s="99"/>
      <c r="JZ163" s="99"/>
      <c r="KA163" s="99"/>
      <c r="KB163" s="99"/>
      <c r="KC163" s="99"/>
      <c r="KD163" s="99"/>
      <c r="KE163" s="99"/>
      <c r="KF163" s="99"/>
      <c r="KG163" s="99"/>
      <c r="KH163" s="99"/>
      <c r="KI163" s="99"/>
      <c r="KJ163" s="99"/>
      <c r="KK163" s="99"/>
      <c r="KL163" s="99"/>
      <c r="KM163" s="99"/>
      <c r="KN163" s="99"/>
      <c r="KO163" s="99"/>
      <c r="KP163" s="99"/>
      <c r="KQ163" s="99"/>
      <c r="KR163" s="99"/>
      <c r="KS163" s="99"/>
      <c r="KT163" s="99"/>
      <c r="KU163" s="99"/>
      <c r="KV163" s="99"/>
      <c r="KW163" s="99"/>
      <c r="KX163" s="99"/>
      <c r="KY163" s="99"/>
      <c r="KZ163" s="99"/>
      <c r="LA163" s="99"/>
      <c r="LB163" s="99"/>
      <c r="LC163" s="99"/>
      <c r="LD163" s="99"/>
      <c r="LE163" s="99"/>
      <c r="LF163" s="99"/>
      <c r="LG163" s="99"/>
      <c r="LH163" s="99"/>
      <c r="LI163" s="99"/>
      <c r="LJ163" s="99"/>
      <c r="LK163" s="99"/>
      <c r="LL163" s="99"/>
      <c r="LM163" s="99"/>
      <c r="LN163" s="99"/>
      <c r="LO163" s="99"/>
      <c r="LP163" s="99"/>
      <c r="LQ163" s="99"/>
      <c r="LR163" s="99"/>
      <c r="LS163" s="99"/>
      <c r="LT163" s="99"/>
      <c r="LU163" s="99"/>
      <c r="LV163" s="99"/>
      <c r="LW163" s="99"/>
      <c r="LX163" s="99"/>
      <c r="LY163" s="99"/>
      <c r="LZ163" s="99"/>
      <c r="MA163" s="99"/>
      <c r="MB163" s="99"/>
      <c r="MC163" s="99"/>
      <c r="MD163" s="99"/>
      <c r="ME163" s="99"/>
      <c r="MF163" s="99"/>
    </row>
    <row r="164" spans="1:344" ht="17.25" customHeight="1" x14ac:dyDescent="0.25">
      <c r="A164" s="157"/>
      <c r="B164" s="83" t="s">
        <v>7</v>
      </c>
      <c r="C164" s="84">
        <v>45298</v>
      </c>
      <c r="D164" s="51"/>
      <c r="E164" s="48"/>
      <c r="F164" s="104"/>
      <c r="G164" s="37">
        <f t="shared" si="194"/>
        <v>0</v>
      </c>
      <c r="H164" s="26">
        <f t="shared" si="195"/>
        <v>0</v>
      </c>
      <c r="I164" s="48"/>
      <c r="J164" s="48"/>
      <c r="K164" s="104"/>
      <c r="L164" s="37">
        <f t="shared" si="196"/>
        <v>0</v>
      </c>
      <c r="M164" s="26">
        <f t="shared" si="217"/>
        <v>0</v>
      </c>
      <c r="N164" s="26">
        <f t="shared" si="218"/>
        <v>0</v>
      </c>
      <c r="O164" s="98" t="e">
        <f>SUM($Z164,$BH164,$AQ164,$BY164,$CP164,$DG164,$DX164,$EO164,$FF164,$FW164,$GN164)/D164</f>
        <v>#DIV/0!</v>
      </c>
      <c r="P164" s="151"/>
      <c r="Q164" s="139">
        <f t="shared" si="316"/>
        <v>0</v>
      </c>
      <c r="R164" s="140">
        <f t="shared" si="317"/>
        <v>0</v>
      </c>
      <c r="S164" s="141">
        <f t="shared" si="318"/>
        <v>0</v>
      </c>
      <c r="T164" s="142">
        <f t="shared" si="319"/>
        <v>0</v>
      </c>
      <c r="U164" s="145">
        <f t="shared" si="320"/>
        <v>0</v>
      </c>
      <c r="V164" s="23"/>
      <c r="W164" s="13">
        <v>0</v>
      </c>
      <c r="X164" s="2">
        <v>0</v>
      </c>
      <c r="Y164" s="26">
        <f t="shared" si="201"/>
        <v>0</v>
      </c>
      <c r="Z164" s="26">
        <f t="shared" si="220"/>
        <v>0</v>
      </c>
      <c r="AA164" s="16">
        <f t="shared" si="233"/>
        <v>0.86859105885939558</v>
      </c>
      <c r="AB164" s="44">
        <f t="shared" si="298"/>
        <v>425.00680361174386</v>
      </c>
      <c r="AC164" s="44">
        <f t="shared" si="299"/>
        <v>489.3059849935002</v>
      </c>
      <c r="AD164" s="34"/>
      <c r="AE164" s="4"/>
      <c r="AF164" s="5"/>
      <c r="AG164" s="6"/>
      <c r="AH164" s="32"/>
      <c r="AI164" s="3"/>
      <c r="AJ164" s="4"/>
      <c r="AK164" s="5"/>
      <c r="AL164" s="6"/>
      <c r="AM164" s="14"/>
      <c r="AN164" s="13"/>
      <c r="AO164" s="2"/>
      <c r="AP164" s="26">
        <f t="shared" si="202"/>
        <v>0</v>
      </c>
      <c r="AQ164" s="26">
        <f t="shared" si="221"/>
        <v>0</v>
      </c>
      <c r="AR164" s="16">
        <f t="shared" si="234"/>
        <v>0.87537654854414082</v>
      </c>
      <c r="AS164" s="29">
        <f t="shared" si="235"/>
        <v>443.93675210526942</v>
      </c>
      <c r="AT164" s="29">
        <f t="shared" si="236"/>
        <v>507.13804572853934</v>
      </c>
      <c r="AU164" s="34"/>
      <c r="AV164" s="4"/>
      <c r="AW164" s="5"/>
      <c r="AX164" s="6"/>
      <c r="AY164" s="32"/>
      <c r="AZ164" s="3"/>
      <c r="BA164" s="4"/>
      <c r="BB164" s="5"/>
      <c r="BC164" s="6"/>
      <c r="BD164" s="14"/>
      <c r="BE164" s="13"/>
      <c r="BF164" s="2"/>
      <c r="BG164" s="26">
        <f t="shared" si="203"/>
        <v>0</v>
      </c>
      <c r="BH164" s="26">
        <f t="shared" si="222"/>
        <v>0</v>
      </c>
      <c r="BI164" s="16">
        <f t="shared" si="237"/>
        <v>1.5825738553000717</v>
      </c>
      <c r="BJ164" s="29">
        <f t="shared" si="238"/>
        <v>155.80771977786563</v>
      </c>
      <c r="BK164" s="29">
        <f t="shared" si="239"/>
        <v>98.452100201240171</v>
      </c>
      <c r="BL164" s="34"/>
      <c r="BM164" s="4"/>
      <c r="BN164" s="5"/>
      <c r="BO164" s="6"/>
      <c r="BP164" s="32"/>
      <c r="BQ164" s="3"/>
      <c r="BR164" s="4"/>
      <c r="BS164" s="5"/>
      <c r="BT164" s="6"/>
      <c r="BU164" s="14"/>
      <c r="BV164" s="13"/>
      <c r="BW164" s="2"/>
      <c r="BX164" s="26">
        <f t="shared" si="204"/>
        <v>0</v>
      </c>
      <c r="BY164" s="26">
        <f t="shared" si="223"/>
        <v>0</v>
      </c>
      <c r="BZ164" s="16">
        <f t="shared" si="240"/>
        <v>0.94431331376088923</v>
      </c>
      <c r="CA164" s="29">
        <f t="shared" si="241"/>
        <v>409.68990421947944</v>
      </c>
      <c r="CB164" s="29">
        <f t="shared" si="242"/>
        <v>433.84954786650138</v>
      </c>
      <c r="CC164" s="34"/>
      <c r="CD164" s="4"/>
      <c r="CE164" s="5"/>
      <c r="CF164" s="6"/>
      <c r="CG164" s="32"/>
      <c r="CH164" s="3"/>
      <c r="CI164" s="4"/>
      <c r="CJ164" s="5"/>
      <c r="CK164" s="6"/>
      <c r="CL164" s="14"/>
      <c r="CM164" s="13"/>
      <c r="CN164" s="2"/>
      <c r="CO164" s="26">
        <f t="shared" si="205"/>
        <v>0</v>
      </c>
      <c r="CP164" s="26">
        <f t="shared" si="224"/>
        <v>0</v>
      </c>
      <c r="CQ164" s="16">
        <f t="shared" si="243"/>
        <v>0.94827946729976054</v>
      </c>
      <c r="CR164" s="29">
        <f t="shared" si="244"/>
        <v>402.57012418517422</v>
      </c>
      <c r="CS164" s="29">
        <f t="shared" si="245"/>
        <v>424.52688059512502</v>
      </c>
      <c r="CT164" s="34"/>
      <c r="CU164" s="4"/>
      <c r="CV164" s="5"/>
      <c r="CW164" s="6"/>
      <c r="CX164" s="32"/>
      <c r="CY164" s="3"/>
      <c r="CZ164" s="4"/>
      <c r="DA164" s="5"/>
      <c r="DB164" s="6"/>
      <c r="DC164" s="14"/>
      <c r="DD164" s="13"/>
      <c r="DE164" s="2"/>
      <c r="DF164" s="26">
        <f t="shared" si="206"/>
        <v>0</v>
      </c>
      <c r="DG164" s="26">
        <f t="shared" si="225"/>
        <v>0</v>
      </c>
      <c r="DH164" s="16">
        <f t="shared" si="246"/>
        <v>0.90282933428614143</v>
      </c>
      <c r="DI164" s="29">
        <f t="shared" si="247"/>
        <v>358.37391198661055</v>
      </c>
      <c r="DJ164" s="29">
        <f t="shared" si="248"/>
        <v>396.94535653294139</v>
      </c>
      <c r="DK164" s="34"/>
      <c r="DL164" s="4"/>
      <c r="DM164" s="5"/>
      <c r="DN164" s="6"/>
      <c r="DO164" s="32"/>
      <c r="DP164" s="3"/>
      <c r="DQ164" s="4"/>
      <c r="DR164" s="5"/>
      <c r="DS164" s="6"/>
      <c r="DT164" s="14"/>
      <c r="DU164" s="13"/>
      <c r="DV164" s="2"/>
      <c r="DW164" s="26">
        <f t="shared" si="207"/>
        <v>0</v>
      </c>
      <c r="DX164" s="26">
        <f t="shared" si="226"/>
        <v>0</v>
      </c>
      <c r="DY164" s="16">
        <f t="shared" si="249"/>
        <v>0.90015384105290774</v>
      </c>
      <c r="DZ164" s="29">
        <f t="shared" si="250"/>
        <v>358.1307382436417</v>
      </c>
      <c r="EA164" s="29">
        <f t="shared" si="251"/>
        <v>397.8550353401115</v>
      </c>
      <c r="EB164" s="34"/>
      <c r="EC164" s="4"/>
      <c r="ED164" s="5"/>
      <c r="EE164" s="6"/>
      <c r="EF164" s="32"/>
      <c r="EG164" s="3"/>
      <c r="EH164" s="4"/>
      <c r="EI164" s="5"/>
      <c r="EJ164" s="6"/>
      <c r="EK164" s="14"/>
      <c r="EL164" s="13"/>
      <c r="EM164" s="2"/>
      <c r="EN164" s="26">
        <f t="shared" si="208"/>
        <v>0</v>
      </c>
      <c r="EO164" s="26">
        <f t="shared" si="227"/>
        <v>0</v>
      </c>
      <c r="EP164" s="16">
        <f t="shared" si="252"/>
        <v>0.86761404043539636</v>
      </c>
      <c r="EQ164" s="29">
        <f t="shared" si="253"/>
        <v>387.16085649355693</v>
      </c>
      <c r="ER164" s="29">
        <f t="shared" si="254"/>
        <v>446.23627379205078</v>
      </c>
      <c r="ES164" s="34"/>
      <c r="ET164" s="4"/>
      <c r="EU164" s="5"/>
      <c r="EV164" s="6"/>
      <c r="EW164" s="32"/>
      <c r="EX164" s="3"/>
      <c r="EY164" s="4"/>
      <c r="EZ164" s="5"/>
      <c r="FA164" s="6"/>
      <c r="FB164" s="14"/>
      <c r="FC164" s="13"/>
      <c r="FD164" s="2"/>
      <c r="FE164" s="26">
        <f t="shared" si="209"/>
        <v>0</v>
      </c>
      <c r="FF164" s="26">
        <f t="shared" si="228"/>
        <v>0</v>
      </c>
      <c r="FG164" s="16">
        <f t="shared" si="255"/>
        <v>0.91073063503529017</v>
      </c>
      <c r="FH164" s="29">
        <f t="shared" si="256"/>
        <v>459.31202122977777</v>
      </c>
      <c r="FI164" s="29">
        <f t="shared" si="257"/>
        <v>504.33355765174161</v>
      </c>
      <c r="FJ164" s="34"/>
      <c r="FK164" s="4"/>
      <c r="FL164" s="5"/>
      <c r="FM164" s="6"/>
      <c r="FN164" s="32"/>
      <c r="FO164" s="3"/>
      <c r="FP164" s="4"/>
      <c r="FQ164" s="5"/>
      <c r="FR164" s="6"/>
      <c r="FS164" s="14"/>
      <c r="FT164" s="13"/>
      <c r="FU164" s="2"/>
      <c r="FV164" s="26">
        <f t="shared" si="210"/>
        <v>0</v>
      </c>
      <c r="FW164" s="26">
        <f t="shared" si="229"/>
        <v>0</v>
      </c>
      <c r="FX164" s="16">
        <f t="shared" si="258"/>
        <v>0.9084255981803846</v>
      </c>
      <c r="FY164" s="29">
        <f t="shared" si="259"/>
        <v>465.06628506884169</v>
      </c>
      <c r="FZ164" s="29">
        <f t="shared" si="260"/>
        <v>511.94757831614322</v>
      </c>
      <c r="GA164" s="34"/>
      <c r="GB164" s="4"/>
      <c r="GC164" s="5"/>
      <c r="GD164" s="6"/>
      <c r="GE164" s="32"/>
      <c r="GF164" s="3"/>
      <c r="GG164" s="4"/>
      <c r="GH164" s="5"/>
      <c r="GI164" s="6"/>
      <c r="GJ164" s="14"/>
      <c r="GK164" s="13"/>
      <c r="GL164" s="2"/>
      <c r="GM164" s="26">
        <f t="shared" si="211"/>
        <v>0</v>
      </c>
      <c r="GN164" s="26">
        <f t="shared" si="230"/>
        <v>0</v>
      </c>
      <c r="GO164" s="16">
        <f t="shared" si="261"/>
        <v>0.85850292416728524</v>
      </c>
      <c r="GP164" s="29">
        <f t="shared" si="262"/>
        <v>460.41228138804865</v>
      </c>
      <c r="GQ164" s="29">
        <f t="shared" si="263"/>
        <v>536.29669559323963</v>
      </c>
      <c r="GR164" s="34"/>
      <c r="GS164" s="4"/>
      <c r="GT164" s="5"/>
      <c r="GU164" s="6"/>
      <c r="GV164" s="32"/>
      <c r="GW164" s="3"/>
      <c r="GX164" s="4"/>
      <c r="GY164" s="5"/>
      <c r="GZ164" s="6"/>
      <c r="HA164" s="14"/>
      <c r="HB164" s="13"/>
      <c r="HC164" s="2"/>
      <c r="HD164" s="26">
        <f t="shared" si="212"/>
        <v>0</v>
      </c>
      <c r="HE164" s="26">
        <f t="shared" si="231"/>
        <v>0</v>
      </c>
      <c r="HF164" s="16">
        <f t="shared" si="264"/>
        <v>0.67426176112097591</v>
      </c>
      <c r="HG164" s="29">
        <f t="shared" si="265"/>
        <v>123.58572744307398</v>
      </c>
      <c r="HH164" s="29">
        <f t="shared" si="266"/>
        <v>183.29042898355948</v>
      </c>
      <c r="HI164" s="34"/>
      <c r="HJ164" s="4"/>
      <c r="HK164" s="5"/>
      <c r="HL164" s="6"/>
      <c r="HM164" s="32"/>
      <c r="HN164" s="3"/>
      <c r="HO164" s="4"/>
      <c r="HP164" s="5"/>
      <c r="HQ164" s="6"/>
      <c r="HR164" s="14"/>
      <c r="HS164" s="13"/>
      <c r="HT164" s="2"/>
      <c r="HU164" s="26">
        <f t="shared" si="213"/>
        <v>0</v>
      </c>
      <c r="HV164" s="26">
        <f t="shared" si="232"/>
        <v>0</v>
      </c>
      <c r="HW164" s="16">
        <f t="shared" si="267"/>
        <v>6.0187795522274006E-6</v>
      </c>
      <c r="HX164" s="29">
        <f t="shared" si="268"/>
        <v>3.5893431256757923E-6</v>
      </c>
      <c r="HY164" s="29">
        <f t="shared" si="269"/>
        <v>0.59635730043434898</v>
      </c>
      <c r="HZ164" s="34"/>
      <c r="IA164" s="4"/>
      <c r="IB164" s="5"/>
      <c r="IC164" s="6"/>
      <c r="ID164" s="32"/>
      <c r="IE164" s="3"/>
      <c r="IF164" s="4"/>
      <c r="IG164" s="5"/>
      <c r="IH164" s="6"/>
      <c r="II164" s="14"/>
      <c r="IJ164" s="13"/>
      <c r="IK164" s="2"/>
      <c r="IL164" s="26">
        <f t="shared" si="214"/>
        <v>0</v>
      </c>
      <c r="IM164" s="26">
        <f t="shared" si="215"/>
        <v>3810.8402961517077</v>
      </c>
      <c r="IN164" s="16">
        <f t="shared" si="270"/>
        <v>0.1904838584140077</v>
      </c>
      <c r="IO164" s="29">
        <f t="shared" si="271"/>
        <v>9.5762978149040983</v>
      </c>
      <c r="IP164" s="29">
        <f t="shared" si="272"/>
        <v>50.273539682771784</v>
      </c>
      <c r="IQ164" s="34"/>
      <c r="IR164" s="4"/>
      <c r="IS164" s="5"/>
      <c r="IT164" s="6"/>
      <c r="IU164" s="32"/>
      <c r="IV164" s="3"/>
      <c r="IW164" s="4"/>
      <c r="IX164" s="5"/>
      <c r="IY164" s="6"/>
      <c r="IZ164" s="14"/>
      <c r="JA164" s="13"/>
      <c r="JB164" s="2"/>
      <c r="JC164" s="26">
        <f t="shared" si="180"/>
        <v>0</v>
      </c>
      <c r="JD164" s="26">
        <f t="shared" si="216"/>
        <v>3735.7597381182213</v>
      </c>
      <c r="JE164" s="16">
        <f t="shared" si="273"/>
        <v>7.3965118824211806E-2</v>
      </c>
      <c r="JF164" s="29">
        <f t="shared" si="274"/>
        <v>0.96193428814331128</v>
      </c>
      <c r="JG164" s="29">
        <f t="shared" si="275"/>
        <v>13.005242247085134</v>
      </c>
      <c r="JH164" s="34"/>
      <c r="JI164" s="4"/>
      <c r="JJ164" s="5"/>
      <c r="JK164" s="6"/>
      <c r="JL164" s="32"/>
      <c r="JM164" s="3"/>
      <c r="JN164" s="4"/>
      <c r="JO164" s="5"/>
      <c r="JP164" s="6"/>
      <c r="JQ164" s="14"/>
      <c r="JR164" s="99"/>
      <c r="JS164" s="99"/>
      <c r="JT164" s="99"/>
      <c r="JU164" s="99"/>
      <c r="JV164" s="99"/>
      <c r="JW164" s="99"/>
      <c r="JX164" s="99"/>
      <c r="JY164" s="99"/>
      <c r="JZ164" s="99"/>
      <c r="KA164" s="99"/>
      <c r="KB164" s="99"/>
      <c r="KC164" s="99"/>
      <c r="KD164" s="99"/>
      <c r="KE164" s="99"/>
      <c r="KF164" s="99"/>
      <c r="KG164" s="99"/>
      <c r="KH164" s="99"/>
      <c r="KI164" s="99"/>
      <c r="KJ164" s="99"/>
      <c r="KK164" s="99"/>
      <c r="KL164" s="99"/>
      <c r="KM164" s="99"/>
      <c r="KN164" s="99"/>
      <c r="KO164" s="99"/>
      <c r="KP164" s="99"/>
      <c r="KQ164" s="99"/>
      <c r="KR164" s="99"/>
      <c r="KS164" s="99"/>
      <c r="KT164" s="99"/>
      <c r="KU164" s="99"/>
      <c r="KV164" s="99"/>
      <c r="KW164" s="99"/>
      <c r="KX164" s="99"/>
      <c r="KY164" s="99"/>
      <c r="KZ164" s="99"/>
      <c r="LA164" s="99"/>
      <c r="LB164" s="99"/>
      <c r="LC164" s="99"/>
      <c r="LD164" s="99"/>
      <c r="LE164" s="99"/>
      <c r="LF164" s="99"/>
      <c r="LG164" s="99"/>
      <c r="LH164" s="99"/>
      <c r="LI164" s="99"/>
      <c r="LJ164" s="99"/>
      <c r="LK164" s="99"/>
      <c r="LL164" s="99"/>
      <c r="LM164" s="99"/>
      <c r="LN164" s="99"/>
      <c r="LO164" s="99"/>
      <c r="LP164" s="99"/>
      <c r="LQ164" s="99"/>
      <c r="LR164" s="99"/>
      <c r="LS164" s="99"/>
      <c r="LT164" s="99"/>
      <c r="LU164" s="99"/>
      <c r="LV164" s="99"/>
      <c r="LW164" s="99"/>
      <c r="LX164" s="99"/>
      <c r="LY164" s="99"/>
      <c r="LZ164" s="99"/>
      <c r="MA164" s="99"/>
      <c r="MB164" s="99"/>
      <c r="MC164" s="99"/>
      <c r="MD164" s="99"/>
      <c r="ME164" s="99"/>
      <c r="MF164" s="99"/>
    </row>
    <row r="165" spans="1:344" ht="17.25" customHeight="1" x14ac:dyDescent="0.25">
      <c r="A165" s="155" t="s">
        <v>29</v>
      </c>
      <c r="B165" s="79" t="s">
        <v>1</v>
      </c>
      <c r="C165" s="80">
        <v>45299</v>
      </c>
      <c r="D165" s="50"/>
      <c r="G165" s="36">
        <f t="shared" si="194"/>
        <v>0</v>
      </c>
      <c r="H165" s="27">
        <f t="shared" si="195"/>
        <v>0</v>
      </c>
      <c r="I165" s="47">
        <v>13</v>
      </c>
      <c r="J165" s="39">
        <v>11</v>
      </c>
      <c r="K165" s="105">
        <v>72</v>
      </c>
      <c r="L165" s="89">
        <f t="shared" si="196"/>
        <v>7.1018181818181825</v>
      </c>
      <c r="M165" s="27">
        <f t="shared" si="217"/>
        <v>511.33090909090913</v>
      </c>
      <c r="N165" s="35">
        <f t="shared" si="218"/>
        <v>511.33090909090913</v>
      </c>
      <c r="O165" s="97">
        <f>SUM($Z165,$BH165,$AQ165,$BY165,$CP165,$DG165,$DX165,$EO165,$FF165,$FW165,$GN165)/J165</f>
        <v>188.95454545454547</v>
      </c>
      <c r="P165" s="149">
        <f t="shared" ref="P165" si="321">SUM(N165:N171)</f>
        <v>4604.0606363636361</v>
      </c>
      <c r="Q165" s="131">
        <f t="shared" ref="Q165:Q169" si="322">SUM(AD165+AI165+AU165+AZ165+BL165+BQ165+CC165+CH165+CT165+CY165+DK165+DP165+EB165+EG165+ES165+EX165+FJ165+FO165+GA165+GF165+GR165+GW165)/11</f>
        <v>20.90909090909091</v>
      </c>
      <c r="R165" s="133">
        <f t="shared" ref="R165:R169" si="323">SUM(AE165+AJ165+AV165+BA165+BM165+BR165+CD165+CI165+CU165+CZ165+DL165+DQ165+EC165+EH165+ET165+EY165+FK165+FP165+GB165+GG165+GS165+GX165)/11</f>
        <v>17.727272727272727</v>
      </c>
      <c r="S165" s="135">
        <f t="shared" ref="S165:S169" si="324">SUM(AF165+AK165+AW165+BB165+BN165+BS165+CE165+CJ165+CV165+DA165+DM165+DR165+ED165+EI165+EU165+EZ165+FL165+FQ165+GC165+GH165+GT165+GY165)/11</f>
        <v>18.727272727272727</v>
      </c>
      <c r="T165" s="137">
        <f t="shared" ref="T165:T169" si="325">SUM(AG165+AL165+AX165+BC165+BO165+BT165+CF165+CK165+CW165+DB165+DN165+DS165+EE165+EJ165+EV165+FA165+FM165+FR165+GD165+GI165+GU165+GZ165)/11</f>
        <v>16</v>
      </c>
      <c r="U165" s="143">
        <f t="shared" ref="U165:U169" si="326">SUM(AH165+AM165+AY165+BD165+BP165+BU165+CG165+CL165+CX165+DC165+DO165+DT165+EF165+EK165+EW165+FB165+FN165+FS165+GE165+GJ165+GV165+HA165)/11</f>
        <v>2.4818181818181819</v>
      </c>
      <c r="W165" s="11">
        <v>0</v>
      </c>
      <c r="X165" s="1">
        <v>8</v>
      </c>
      <c r="Y165" s="27">
        <f t="shared" si="201"/>
        <v>576</v>
      </c>
      <c r="Z165" s="27">
        <f t="shared" si="220"/>
        <v>185.5</v>
      </c>
      <c r="AA165" s="15">
        <f t="shared" si="233"/>
        <v>0.93432107254740826</v>
      </c>
      <c r="AB165" s="43">
        <f t="shared" si="298"/>
        <v>462.7551027088079</v>
      </c>
      <c r="AC165" s="43">
        <f t="shared" si="299"/>
        <v>495.28488258015534</v>
      </c>
      <c r="AD165" s="33"/>
      <c r="AH165" s="31"/>
      <c r="AI165" s="7">
        <v>21</v>
      </c>
      <c r="AJ165" s="8">
        <v>20</v>
      </c>
      <c r="AK165" s="9">
        <v>22</v>
      </c>
      <c r="AL165" s="10">
        <v>14</v>
      </c>
      <c r="AM165" s="12">
        <v>0.5</v>
      </c>
      <c r="AO165" s="1">
        <v>7</v>
      </c>
      <c r="AP165" s="27">
        <f t="shared" si="202"/>
        <v>504</v>
      </c>
      <c r="AQ165" s="27">
        <f t="shared" si="221"/>
        <v>152</v>
      </c>
      <c r="AR165" s="15">
        <f t="shared" si="234"/>
        <v>0.90537183268728771</v>
      </c>
      <c r="AS165" s="28">
        <f t="shared" si="235"/>
        <v>458.95256407895204</v>
      </c>
      <c r="AT165" s="28">
        <f t="shared" si="236"/>
        <v>506.92162878174349</v>
      </c>
      <c r="AU165" s="33"/>
      <c r="AY165" s="31"/>
      <c r="AZ165" s="7">
        <v>35</v>
      </c>
      <c r="BA165" s="8">
        <v>19</v>
      </c>
      <c r="BB165" s="9">
        <v>18</v>
      </c>
      <c r="BC165" s="10">
        <v>6</v>
      </c>
      <c r="BD165" s="12">
        <v>0.2</v>
      </c>
      <c r="BF165" s="1">
        <v>6.5</v>
      </c>
      <c r="BG165" s="27">
        <f t="shared" si="203"/>
        <v>468</v>
      </c>
      <c r="BH165" s="27">
        <f t="shared" si="222"/>
        <v>178.5</v>
      </c>
      <c r="BI165" s="15">
        <f t="shared" si="237"/>
        <v>1.8868747573466693</v>
      </c>
      <c r="BJ165" s="28">
        <f t="shared" si="238"/>
        <v>233.85578983339923</v>
      </c>
      <c r="BK165" s="28">
        <f t="shared" si="239"/>
        <v>123.93816225632705</v>
      </c>
      <c r="BL165" s="33"/>
      <c r="BP165" s="31"/>
      <c r="BQ165" s="7">
        <v>22</v>
      </c>
      <c r="BR165" s="8">
        <v>24</v>
      </c>
      <c r="BS165" s="9">
        <v>17</v>
      </c>
      <c r="BT165" s="10">
        <v>13</v>
      </c>
      <c r="BU165" s="12">
        <v>1.1000000000000001</v>
      </c>
      <c r="BW165" s="1">
        <v>9</v>
      </c>
      <c r="BX165" s="27">
        <f t="shared" si="204"/>
        <v>648</v>
      </c>
      <c r="BY165" s="27">
        <f t="shared" si="223"/>
        <v>188</v>
      </c>
      <c r="BZ165" s="15">
        <f t="shared" si="240"/>
        <v>1.0460277085051211</v>
      </c>
      <c r="CA165" s="28">
        <f t="shared" si="241"/>
        <v>469.26742816460956</v>
      </c>
      <c r="CB165" s="28">
        <f t="shared" si="242"/>
        <v>448.61854456536332</v>
      </c>
      <c r="CC165" s="33"/>
      <c r="CG165" s="31"/>
      <c r="CH165" s="7">
        <v>12</v>
      </c>
      <c r="CI165" s="8">
        <v>1</v>
      </c>
      <c r="CJ165" s="9">
        <v>21</v>
      </c>
      <c r="CK165" s="10">
        <v>24</v>
      </c>
      <c r="CL165" s="12">
        <v>3</v>
      </c>
      <c r="CN165" s="1">
        <v>7.5</v>
      </c>
      <c r="CO165" s="27">
        <f t="shared" si="205"/>
        <v>540</v>
      </c>
      <c r="CP165" s="27">
        <f t="shared" si="224"/>
        <v>171.5</v>
      </c>
      <c r="CQ165" s="15">
        <f t="shared" si="243"/>
        <v>1.0102592974529836</v>
      </c>
      <c r="CR165" s="28">
        <f t="shared" si="244"/>
        <v>436.92759313888064</v>
      </c>
      <c r="CS165" s="28">
        <f t="shared" si="245"/>
        <v>432.49054400235775</v>
      </c>
      <c r="CT165" s="33"/>
      <c r="CX165" s="31"/>
      <c r="CY165" s="7">
        <v>27</v>
      </c>
      <c r="CZ165" s="8">
        <v>22</v>
      </c>
      <c r="DA165" s="9">
        <v>11</v>
      </c>
      <c r="DB165" s="10">
        <v>15</v>
      </c>
      <c r="DC165" s="12">
        <v>1.5</v>
      </c>
      <c r="DE165" s="1">
        <v>5.5</v>
      </c>
      <c r="DF165" s="27">
        <f t="shared" si="206"/>
        <v>396</v>
      </c>
      <c r="DG165" s="27">
        <f t="shared" si="225"/>
        <v>213</v>
      </c>
      <c r="DH165" s="15">
        <f t="shared" si="246"/>
        <v>0.92667881010952147</v>
      </c>
      <c r="DI165" s="28">
        <f t="shared" si="247"/>
        <v>367.78043398995794</v>
      </c>
      <c r="DJ165" s="28">
        <f t="shared" si="248"/>
        <v>396.88015953066957</v>
      </c>
      <c r="DK165" s="33"/>
      <c r="DO165" s="31"/>
      <c r="DP165" s="7">
        <v>15</v>
      </c>
      <c r="DQ165" s="8">
        <v>18</v>
      </c>
      <c r="DR165" s="9">
        <v>20</v>
      </c>
      <c r="DS165" s="10">
        <v>23</v>
      </c>
      <c r="DT165" s="12">
        <v>2</v>
      </c>
      <c r="DV165" s="1">
        <v>5.5</v>
      </c>
      <c r="DW165" s="27">
        <f t="shared" si="207"/>
        <v>396</v>
      </c>
      <c r="DX165" s="27">
        <f t="shared" si="226"/>
        <v>154</v>
      </c>
      <c r="DY165" s="15">
        <f t="shared" si="249"/>
        <v>0.92424693201918373</v>
      </c>
      <c r="DZ165" s="28">
        <f t="shared" si="250"/>
        <v>367.59805368273129</v>
      </c>
      <c r="EA165" s="28">
        <f t="shared" si="251"/>
        <v>397.72710186837969</v>
      </c>
      <c r="EB165" s="33"/>
      <c r="EF165" s="31"/>
      <c r="EG165" s="7">
        <v>29</v>
      </c>
      <c r="EH165" s="8">
        <v>23</v>
      </c>
      <c r="EI165" s="9">
        <v>21</v>
      </c>
      <c r="EJ165" s="10">
        <v>4</v>
      </c>
      <c r="EK165" s="12">
        <v>0</v>
      </c>
      <c r="EM165" s="1">
        <v>7</v>
      </c>
      <c r="EN165" s="27">
        <f t="shared" si="208"/>
        <v>504</v>
      </c>
      <c r="EO165" s="27">
        <f t="shared" si="227"/>
        <v>215</v>
      </c>
      <c r="EP165" s="15">
        <f t="shared" si="252"/>
        <v>0.92481600494674621</v>
      </c>
      <c r="EQ165" s="28">
        <f t="shared" si="253"/>
        <v>416.37064237016773</v>
      </c>
      <c r="ER165" s="28">
        <f t="shared" si="254"/>
        <v>450.2199790477714</v>
      </c>
      <c r="ES165" s="33"/>
      <c r="EW165" s="31"/>
      <c r="EX165" s="7">
        <v>12</v>
      </c>
      <c r="EY165" s="8">
        <v>15</v>
      </c>
      <c r="EZ165" s="9">
        <v>27</v>
      </c>
      <c r="FA165" s="10">
        <v>23</v>
      </c>
      <c r="FB165" s="12">
        <v>0</v>
      </c>
      <c r="FD165" s="1">
        <v>8</v>
      </c>
      <c r="FE165" s="27">
        <f t="shared" si="209"/>
        <v>576</v>
      </c>
      <c r="FF165" s="27">
        <f t="shared" si="228"/>
        <v>151</v>
      </c>
      <c r="FG165" s="15">
        <f t="shared" si="255"/>
        <v>0.95917331250737614</v>
      </c>
      <c r="FH165" s="28">
        <f t="shared" si="256"/>
        <v>488.48401592233336</v>
      </c>
      <c r="FI165" s="28">
        <f t="shared" si="257"/>
        <v>509.27607091713872</v>
      </c>
      <c r="FJ165" s="33"/>
      <c r="FN165" s="31"/>
      <c r="FO165" s="7">
        <v>28</v>
      </c>
      <c r="FP165" s="8">
        <v>26</v>
      </c>
      <c r="FQ165" s="9">
        <v>21</v>
      </c>
      <c r="FR165" s="10">
        <v>2</v>
      </c>
      <c r="FS165" s="12">
        <v>0</v>
      </c>
      <c r="FU165" s="1">
        <v>6</v>
      </c>
      <c r="FV165" s="27">
        <f t="shared" si="210"/>
        <v>432</v>
      </c>
      <c r="FW165" s="27">
        <f t="shared" si="229"/>
        <v>235</v>
      </c>
      <c r="FX165" s="15">
        <f t="shared" si="258"/>
        <v>0.90199267208361444</v>
      </c>
      <c r="FY165" s="28">
        <f t="shared" si="259"/>
        <v>456.79971380163124</v>
      </c>
      <c r="FZ165" s="28">
        <f t="shared" si="260"/>
        <v>506.4339522253747</v>
      </c>
      <c r="GA165" s="33"/>
      <c r="GE165" s="31"/>
      <c r="GF165" s="7">
        <v>16</v>
      </c>
      <c r="GG165" s="8">
        <v>12</v>
      </c>
      <c r="GH165" s="9">
        <v>14</v>
      </c>
      <c r="GI165" s="10">
        <v>27</v>
      </c>
      <c r="GJ165" s="12">
        <v>9</v>
      </c>
      <c r="GL165" s="1">
        <v>8.1199999999999992</v>
      </c>
      <c r="GM165" s="27">
        <f t="shared" si="211"/>
        <v>584.64</v>
      </c>
      <c r="GN165" s="27">
        <f t="shared" si="230"/>
        <v>235</v>
      </c>
      <c r="GO165" s="15">
        <f t="shared" si="261"/>
        <v>0.91075099310432761</v>
      </c>
      <c r="GP165" s="28">
        <f t="shared" si="262"/>
        <v>491.46921104103649</v>
      </c>
      <c r="GQ165" s="28">
        <f t="shared" si="263"/>
        <v>539.63071658680929</v>
      </c>
      <c r="GR165" s="33"/>
      <c r="GV165" s="31"/>
      <c r="GW165" s="7">
        <v>13</v>
      </c>
      <c r="GX165" s="8">
        <v>15</v>
      </c>
      <c r="GY165" s="9">
        <v>14</v>
      </c>
      <c r="GZ165" s="10">
        <v>25</v>
      </c>
      <c r="HA165" s="12">
        <v>10</v>
      </c>
      <c r="HC165" s="1">
        <v>7</v>
      </c>
      <c r="HD165" s="27">
        <f t="shared" si="212"/>
        <v>504</v>
      </c>
      <c r="HE165" s="27">
        <f t="shared" si="231"/>
        <v>130</v>
      </c>
      <c r="HF165" s="15">
        <f t="shared" si="264"/>
        <v>1.0646564096078386</v>
      </c>
      <c r="HG165" s="28">
        <f t="shared" si="265"/>
        <v>218.68929558230548</v>
      </c>
      <c r="HH165" s="28">
        <f t="shared" si="266"/>
        <v>205.40833043296917</v>
      </c>
      <c r="HI165" s="33"/>
      <c r="HM165" s="31"/>
      <c r="HN165" s="7">
        <v>46</v>
      </c>
      <c r="HO165" s="8">
        <v>13</v>
      </c>
      <c r="HP165" s="9">
        <v>14</v>
      </c>
      <c r="HQ165" s="10">
        <v>4</v>
      </c>
      <c r="HR165" s="12">
        <v>0</v>
      </c>
      <c r="HU165" s="27">
        <f t="shared" si="213"/>
        <v>0</v>
      </c>
      <c r="HV165" s="27">
        <f t="shared" si="232"/>
        <v>0</v>
      </c>
      <c r="HW165" s="15">
        <f t="shared" si="267"/>
        <v>4.8484613059609614E-6</v>
      </c>
      <c r="HX165" s="28">
        <f t="shared" si="268"/>
        <v>2.6920073442568443E-6</v>
      </c>
      <c r="HY165" s="28">
        <f t="shared" si="269"/>
        <v>0.55522921074922149</v>
      </c>
      <c r="HZ165" s="33"/>
      <c r="ID165" s="31"/>
      <c r="II165" s="12"/>
      <c r="IL165" s="27">
        <f t="shared" si="214"/>
        <v>0</v>
      </c>
      <c r="IM165" s="27">
        <f t="shared" si="215"/>
        <v>5147.3005186107703</v>
      </c>
      <c r="IN165" s="15">
        <f t="shared" si="270"/>
        <v>0.15344533038906177</v>
      </c>
      <c r="IO165" s="28">
        <f t="shared" si="271"/>
        <v>7.1822233611780737</v>
      </c>
      <c r="IP165" s="28">
        <f t="shared" si="272"/>
        <v>46.806399014994419</v>
      </c>
      <c r="IQ165" s="33"/>
      <c r="IU165" s="31"/>
      <c r="JC165" s="27">
        <f t="shared" si="180"/>
        <v>0</v>
      </c>
      <c r="JD165" s="27">
        <f t="shared" si="216"/>
        <v>4796.1938704596705</v>
      </c>
      <c r="JE165" s="15">
        <f t="shared" si="273"/>
        <v>5.9583012386170621E-2</v>
      </c>
      <c r="JF165" s="28">
        <f t="shared" si="274"/>
        <v>0.72145071610748346</v>
      </c>
      <c r="JG165" s="28">
        <f t="shared" si="275"/>
        <v>12.10832898866547</v>
      </c>
      <c r="JH165" s="33"/>
      <c r="JL165" s="31"/>
      <c r="JR165" s="99"/>
      <c r="JS165" s="99"/>
      <c r="JT165" s="99"/>
      <c r="JU165" s="99"/>
      <c r="JV165" s="99"/>
      <c r="JW165" s="99"/>
      <c r="JX165" s="99"/>
      <c r="JY165" s="99"/>
      <c r="JZ165" s="99"/>
      <c r="KA165" s="99"/>
      <c r="KB165" s="99"/>
      <c r="KC165" s="99"/>
      <c r="KD165" s="99"/>
      <c r="KE165" s="99"/>
      <c r="KF165" s="99"/>
      <c r="KG165" s="99"/>
      <c r="KH165" s="99"/>
      <c r="KI165" s="99"/>
      <c r="KJ165" s="99"/>
      <c r="KK165" s="99"/>
      <c r="KL165" s="99"/>
      <c r="KM165" s="99"/>
      <c r="KN165" s="99"/>
      <c r="KO165" s="99"/>
      <c r="KP165" s="99"/>
      <c r="KQ165" s="99"/>
      <c r="KR165" s="99"/>
      <c r="KS165" s="99"/>
      <c r="KT165" s="99"/>
      <c r="KU165" s="99"/>
      <c r="KV165" s="99"/>
      <c r="KW165" s="99"/>
      <c r="KX165" s="99"/>
      <c r="KY165" s="99"/>
      <c r="KZ165" s="99"/>
      <c r="LA165" s="99"/>
      <c r="LB165" s="99"/>
      <c r="LC165" s="99"/>
      <c r="LD165" s="99"/>
      <c r="LE165" s="99"/>
      <c r="LF165" s="99"/>
      <c r="LG165" s="99"/>
      <c r="LH165" s="99"/>
      <c r="LI165" s="99"/>
      <c r="LJ165" s="99"/>
      <c r="LK165" s="99"/>
      <c r="LL165" s="99"/>
      <c r="LM165" s="99"/>
      <c r="LN165" s="99"/>
      <c r="LO165" s="99"/>
      <c r="LP165" s="99"/>
      <c r="LQ165" s="99"/>
      <c r="LR165" s="99"/>
      <c r="LS165" s="99"/>
      <c r="LT165" s="99"/>
      <c r="LU165" s="99"/>
      <c r="LV165" s="99"/>
      <c r="LW165" s="99"/>
      <c r="LX165" s="99"/>
      <c r="LY165" s="99"/>
      <c r="LZ165" s="99"/>
      <c r="MA165" s="99"/>
      <c r="MB165" s="99"/>
      <c r="MC165" s="99"/>
      <c r="MD165" s="99"/>
      <c r="ME165" s="99"/>
      <c r="MF165" s="99"/>
    </row>
    <row r="166" spans="1:344" ht="17.25" customHeight="1" x14ac:dyDescent="0.25">
      <c r="A166" s="156"/>
      <c r="B166" s="81" t="s">
        <v>2</v>
      </c>
      <c r="C166" s="82">
        <v>45300</v>
      </c>
      <c r="D166" s="49">
        <v>13</v>
      </c>
      <c r="E166" s="39">
        <v>11</v>
      </c>
      <c r="F166" s="103">
        <v>45</v>
      </c>
      <c r="G166" s="89">
        <f t="shared" si="194"/>
        <v>4</v>
      </c>
      <c r="H166" s="35">
        <f t="shared" si="195"/>
        <v>180</v>
      </c>
      <c r="I166" s="39">
        <v>13</v>
      </c>
      <c r="J166" s="39">
        <v>11</v>
      </c>
      <c r="K166" s="103">
        <v>86</v>
      </c>
      <c r="L166" s="89">
        <f t="shared" si="196"/>
        <v>7.7909090909090901</v>
      </c>
      <c r="M166" s="35">
        <f t="shared" si="217"/>
        <v>670.0181818181818</v>
      </c>
      <c r="N166" s="35">
        <f t="shared" si="218"/>
        <v>850.0181818181818</v>
      </c>
      <c r="O166" s="97">
        <f t="shared" ref="O166" si="327">SUM($Z166,$BH166,$AQ166,$BY166,$CP166,$DG166,$DX166,$EO166,$FF166,$FW166,$GN166)/J166</f>
        <v>201.72727272727272</v>
      </c>
      <c r="P166" s="150"/>
      <c r="Q166" s="132">
        <f t="shared" si="322"/>
        <v>24.272727272727273</v>
      </c>
      <c r="R166" s="134">
        <f t="shared" si="323"/>
        <v>17.09090909090909</v>
      </c>
      <c r="S166" s="136">
        <f t="shared" si="324"/>
        <v>18</v>
      </c>
      <c r="T166" s="138">
        <f t="shared" si="325"/>
        <v>18.454545454545453</v>
      </c>
      <c r="U166" s="144">
        <f t="shared" si="326"/>
        <v>3.0909090909090908</v>
      </c>
      <c r="W166" s="11">
        <v>4</v>
      </c>
      <c r="X166" s="1">
        <v>8.5</v>
      </c>
      <c r="Y166" s="35">
        <f t="shared" si="201"/>
        <v>911</v>
      </c>
      <c r="Z166" s="35">
        <f t="shared" si="220"/>
        <v>0</v>
      </c>
      <c r="AA166" s="15">
        <f t="shared" si="233"/>
        <v>1.0970721664372822</v>
      </c>
      <c r="AB166" s="43">
        <f t="shared" si="298"/>
        <v>574.81632703160585</v>
      </c>
      <c r="AC166" s="43">
        <f t="shared" si="299"/>
        <v>523.95489067807569</v>
      </c>
      <c r="AD166" s="33"/>
      <c r="AH166" s="31"/>
      <c r="AN166" s="11">
        <v>4</v>
      </c>
      <c r="AO166" s="1">
        <v>6</v>
      </c>
      <c r="AP166" s="35">
        <f t="shared" si="202"/>
        <v>696</v>
      </c>
      <c r="AQ166" s="35">
        <f t="shared" si="221"/>
        <v>198</v>
      </c>
      <c r="AR166" s="15">
        <f t="shared" si="234"/>
        <v>0.99663995634777836</v>
      </c>
      <c r="AS166" s="28">
        <f t="shared" si="235"/>
        <v>518.21442305921403</v>
      </c>
      <c r="AT166" s="28">
        <f t="shared" si="236"/>
        <v>519.96151645196801</v>
      </c>
      <c r="AU166" s="33"/>
      <c r="AY166" s="31"/>
      <c r="AZ166" s="7">
        <v>36</v>
      </c>
      <c r="BA166" s="8">
        <v>17</v>
      </c>
      <c r="BB166" s="9">
        <v>19</v>
      </c>
      <c r="BC166" s="10">
        <v>14</v>
      </c>
      <c r="BD166" s="12">
        <v>3</v>
      </c>
      <c r="BE166" s="11">
        <v>4</v>
      </c>
      <c r="BF166" s="1">
        <v>9</v>
      </c>
      <c r="BG166" s="35">
        <f t="shared" si="203"/>
        <v>954</v>
      </c>
      <c r="BH166" s="35">
        <f t="shared" si="222"/>
        <v>251</v>
      </c>
      <c r="BI166" s="15">
        <f t="shared" si="237"/>
        <v>2.2843754691293148</v>
      </c>
      <c r="BJ166" s="28">
        <f t="shared" si="238"/>
        <v>413.89184237504941</v>
      </c>
      <c r="BK166" s="28">
        <f t="shared" si="239"/>
        <v>181.18380623864931</v>
      </c>
      <c r="BL166" s="33"/>
      <c r="BP166" s="31"/>
      <c r="BQ166" s="7">
        <v>20</v>
      </c>
      <c r="BR166" s="8">
        <v>19</v>
      </c>
      <c r="BS166" s="9">
        <v>14</v>
      </c>
      <c r="BT166" s="10">
        <v>29</v>
      </c>
      <c r="BU166" s="12">
        <v>7</v>
      </c>
      <c r="BV166" s="11">
        <v>4</v>
      </c>
      <c r="BW166" s="1">
        <v>8</v>
      </c>
      <c r="BX166" s="35">
        <f t="shared" si="204"/>
        <v>868</v>
      </c>
      <c r="BY166" s="35">
        <f t="shared" si="223"/>
        <v>231</v>
      </c>
      <c r="BZ166" s="15">
        <f t="shared" si="240"/>
        <v>1.1914162141355622</v>
      </c>
      <c r="CA166" s="28">
        <f t="shared" si="241"/>
        <v>568.95057112345717</v>
      </c>
      <c r="CB166" s="28">
        <f t="shared" si="242"/>
        <v>477.54140356085554</v>
      </c>
      <c r="CC166" s="33"/>
      <c r="CG166" s="31"/>
      <c r="CH166" s="7">
        <v>26</v>
      </c>
      <c r="CI166" s="8">
        <v>16</v>
      </c>
      <c r="CJ166" s="9">
        <v>16</v>
      </c>
      <c r="CK166" s="10">
        <v>30</v>
      </c>
      <c r="CL166" s="12">
        <v>1</v>
      </c>
      <c r="CM166" s="11">
        <v>4</v>
      </c>
      <c r="CN166" s="1">
        <v>9.5</v>
      </c>
      <c r="CO166" s="35">
        <f t="shared" si="205"/>
        <v>997</v>
      </c>
      <c r="CP166" s="35">
        <f t="shared" si="224"/>
        <v>205</v>
      </c>
      <c r="CQ166" s="15">
        <f t="shared" si="243"/>
        <v>1.2238406620999793</v>
      </c>
      <c r="CR166" s="28">
        <f t="shared" si="244"/>
        <v>576.94569485416048</v>
      </c>
      <c r="CS166" s="28">
        <f t="shared" si="245"/>
        <v>471.4222306228848</v>
      </c>
      <c r="CT166" s="33"/>
      <c r="CX166" s="31"/>
      <c r="CY166" s="7">
        <v>35</v>
      </c>
      <c r="CZ166" s="8">
        <v>17</v>
      </c>
      <c r="DA166" s="9">
        <v>14</v>
      </c>
      <c r="DB166" s="10">
        <v>21</v>
      </c>
      <c r="DC166" s="12">
        <v>2</v>
      </c>
      <c r="DD166" s="11">
        <v>4</v>
      </c>
      <c r="DE166" s="1">
        <v>5.8</v>
      </c>
      <c r="DF166" s="35">
        <f t="shared" si="206"/>
        <v>678.8</v>
      </c>
      <c r="DG166" s="35">
        <f t="shared" si="225"/>
        <v>206</v>
      </c>
      <c r="DH166" s="15">
        <f t="shared" si="246"/>
        <v>1.0701676939740243</v>
      </c>
      <c r="DI166" s="28">
        <f t="shared" si="247"/>
        <v>445.53532549246842</v>
      </c>
      <c r="DJ166" s="28">
        <f t="shared" si="248"/>
        <v>416.32290714924409</v>
      </c>
      <c r="DK166" s="33"/>
      <c r="DO166" s="31"/>
      <c r="DP166" s="7">
        <v>30</v>
      </c>
      <c r="DQ166" s="8">
        <v>18</v>
      </c>
      <c r="DR166" s="9">
        <v>24</v>
      </c>
      <c r="DS166" s="10">
        <v>17</v>
      </c>
      <c r="DT166" s="12">
        <v>0</v>
      </c>
      <c r="DU166" s="11">
        <v>4</v>
      </c>
      <c r="DV166" s="1">
        <v>5.9</v>
      </c>
      <c r="DW166" s="35">
        <f t="shared" si="207"/>
        <v>687.40000000000009</v>
      </c>
      <c r="DX166" s="35">
        <f t="shared" si="226"/>
        <v>160</v>
      </c>
      <c r="DY166" s="15">
        <f t="shared" si="249"/>
        <v>1.0714476240080579</v>
      </c>
      <c r="DZ166" s="28">
        <f t="shared" si="250"/>
        <v>447.5485402620485</v>
      </c>
      <c r="EA166" s="28">
        <f t="shared" si="251"/>
        <v>417.70454311883623</v>
      </c>
      <c r="EB166" s="33"/>
      <c r="EF166" s="31"/>
      <c r="EG166" s="7">
        <v>44</v>
      </c>
      <c r="EH166" s="8">
        <v>23</v>
      </c>
      <c r="EI166" s="9">
        <v>18</v>
      </c>
      <c r="EJ166" s="10">
        <v>4</v>
      </c>
      <c r="EK166" s="12">
        <v>0</v>
      </c>
      <c r="EL166" s="11">
        <v>4</v>
      </c>
      <c r="EM166" s="1">
        <v>7.5</v>
      </c>
      <c r="EN166" s="35">
        <f t="shared" si="208"/>
        <v>825</v>
      </c>
      <c r="EO166" s="35">
        <f t="shared" si="227"/>
        <v>228</v>
      </c>
      <c r="EP166" s="15">
        <f t="shared" si="252"/>
        <v>1.0891914703176924</v>
      </c>
      <c r="EQ166" s="28">
        <f t="shared" si="253"/>
        <v>518.52798177762577</v>
      </c>
      <c r="ER166" s="28">
        <f t="shared" si="254"/>
        <v>476.06687704447677</v>
      </c>
      <c r="ES166" s="33"/>
      <c r="EW166" s="31"/>
      <c r="EX166" s="7">
        <v>21</v>
      </c>
      <c r="EY166" s="8">
        <v>13</v>
      </c>
      <c r="EZ166" s="9">
        <v>32</v>
      </c>
      <c r="FA166" s="10">
        <v>20</v>
      </c>
      <c r="FB166" s="12">
        <v>1</v>
      </c>
      <c r="FC166" s="11">
        <v>4</v>
      </c>
      <c r="FD166" s="1">
        <v>9</v>
      </c>
      <c r="FE166" s="35">
        <f t="shared" si="209"/>
        <v>954</v>
      </c>
      <c r="FF166" s="35">
        <f t="shared" si="228"/>
        <v>184</v>
      </c>
      <c r="FG166" s="15">
        <f t="shared" si="255"/>
        <v>1.1202272869209087</v>
      </c>
      <c r="FH166" s="28">
        <f t="shared" si="256"/>
        <v>604.86301194175007</v>
      </c>
      <c r="FI166" s="28">
        <f t="shared" si="257"/>
        <v>539.94668671595673</v>
      </c>
      <c r="FJ166" s="33"/>
      <c r="FN166" s="31"/>
      <c r="FO166" s="7">
        <v>36</v>
      </c>
      <c r="FP166" s="8">
        <v>22</v>
      </c>
      <c r="FQ166" s="9">
        <v>20</v>
      </c>
      <c r="FR166" s="10">
        <v>11</v>
      </c>
      <c r="FS166" s="12">
        <v>0</v>
      </c>
      <c r="FT166" s="11">
        <v>4</v>
      </c>
      <c r="FU166" s="1">
        <v>7.5</v>
      </c>
      <c r="FV166" s="35">
        <f t="shared" si="210"/>
        <v>825</v>
      </c>
      <c r="FW166" s="35">
        <f t="shared" si="229"/>
        <v>282</v>
      </c>
      <c r="FX166" s="15">
        <f t="shared" si="258"/>
        <v>1.038693423816047</v>
      </c>
      <c r="FY166" s="28">
        <f t="shared" si="259"/>
        <v>548.84978535122343</v>
      </c>
      <c r="FZ166" s="28">
        <f t="shared" si="260"/>
        <v>528.40402448569364</v>
      </c>
      <c r="GA166" s="33"/>
      <c r="GE166" s="31"/>
      <c r="GF166" s="7">
        <v>7</v>
      </c>
      <c r="GG166" s="8">
        <v>24</v>
      </c>
      <c r="GH166" s="9">
        <v>19</v>
      </c>
      <c r="GI166" s="10">
        <v>30</v>
      </c>
      <c r="GJ166" s="12">
        <v>10</v>
      </c>
      <c r="GK166" s="11">
        <v>4</v>
      </c>
      <c r="GL166" s="1">
        <v>9</v>
      </c>
      <c r="GM166" s="35">
        <f t="shared" si="211"/>
        <v>954</v>
      </c>
      <c r="GN166" s="35">
        <f t="shared" si="230"/>
        <v>274</v>
      </c>
      <c r="GO166" s="15">
        <f t="shared" si="261"/>
        <v>1.0684502963606071</v>
      </c>
      <c r="GP166" s="28">
        <f t="shared" si="262"/>
        <v>607.10190828077737</v>
      </c>
      <c r="GQ166" s="28">
        <f t="shared" si="263"/>
        <v>568.2079085463397</v>
      </c>
      <c r="GR166" s="33"/>
      <c r="GV166" s="31"/>
      <c r="GW166" s="7">
        <v>12</v>
      </c>
      <c r="GX166" s="8">
        <v>19</v>
      </c>
      <c r="GY166" s="9">
        <v>22</v>
      </c>
      <c r="GZ166" s="10">
        <v>27</v>
      </c>
      <c r="HA166" s="12">
        <v>10</v>
      </c>
      <c r="HB166" s="11">
        <v>4</v>
      </c>
      <c r="HC166" s="1">
        <v>7.8</v>
      </c>
      <c r="HD166" s="35">
        <f t="shared" si="212"/>
        <v>850.8</v>
      </c>
      <c r="HE166" s="35">
        <f t="shared" si="231"/>
        <v>206</v>
      </c>
      <c r="HF166" s="15">
        <f t="shared" si="264"/>
        <v>1.507361693928202</v>
      </c>
      <c r="HG166" s="28">
        <f t="shared" si="265"/>
        <v>376.7169716867291</v>
      </c>
      <c r="HH166" s="28">
        <f t="shared" si="266"/>
        <v>249.91810074793682</v>
      </c>
      <c r="HI166" s="33"/>
      <c r="HM166" s="31"/>
      <c r="HN166" s="7">
        <v>33</v>
      </c>
      <c r="HO166" s="8">
        <v>17</v>
      </c>
      <c r="HP166" s="9">
        <v>17</v>
      </c>
      <c r="HQ166" s="10">
        <v>22</v>
      </c>
      <c r="HR166" s="12">
        <v>0</v>
      </c>
      <c r="HU166" s="35">
        <f t="shared" si="213"/>
        <v>0</v>
      </c>
      <c r="HV166" s="35">
        <f t="shared" si="232"/>
        <v>0</v>
      </c>
      <c r="HW166" s="15">
        <f t="shared" si="267"/>
        <v>3.9057049409129968E-6</v>
      </c>
      <c r="HX166" s="28">
        <f t="shared" si="268"/>
        <v>2.0190055081926332E-6</v>
      </c>
      <c r="HY166" s="28">
        <f t="shared" si="269"/>
        <v>0.51693754104237866</v>
      </c>
      <c r="HZ166" s="33"/>
      <c r="ID166" s="31"/>
      <c r="II166" s="12"/>
      <c r="IL166" s="35">
        <f t="shared" si="214"/>
        <v>0</v>
      </c>
      <c r="IM166" s="35">
        <f t="shared" si="215"/>
        <v>5997.0835509405133</v>
      </c>
      <c r="IN166" s="15">
        <f t="shared" si="270"/>
        <v>0.12360873836896641</v>
      </c>
      <c r="IO166" s="28">
        <f t="shared" si="271"/>
        <v>5.386667520883555</v>
      </c>
      <c r="IP166" s="28">
        <f t="shared" si="272"/>
        <v>43.578371496718944</v>
      </c>
      <c r="IQ166" s="33"/>
      <c r="IU166" s="31"/>
      <c r="JC166" s="35">
        <f t="shared" si="180"/>
        <v>0</v>
      </c>
      <c r="JD166" s="35">
        <f t="shared" si="216"/>
        <v>6075.5654545173657</v>
      </c>
      <c r="JE166" s="15">
        <f t="shared" si="273"/>
        <v>4.7997426644415218E-2</v>
      </c>
      <c r="JF166" s="28">
        <f t="shared" si="274"/>
        <v>0.54108803708061259</v>
      </c>
      <c r="JG166" s="28">
        <f t="shared" si="275"/>
        <v>11.273271817033368</v>
      </c>
      <c r="JH166" s="33"/>
      <c r="JL166" s="31"/>
      <c r="JR166" s="99"/>
      <c r="JS166" s="99"/>
      <c r="JT166" s="99"/>
      <c r="JU166" s="99"/>
      <c r="JV166" s="99"/>
      <c r="JW166" s="99"/>
      <c r="JX166" s="99"/>
      <c r="JY166" s="99"/>
      <c r="JZ166" s="99"/>
      <c r="KA166" s="99"/>
      <c r="KB166" s="99"/>
      <c r="KC166" s="99"/>
      <c r="KD166" s="99"/>
      <c r="KE166" s="99"/>
      <c r="KF166" s="99"/>
      <c r="KG166" s="99"/>
      <c r="KH166" s="99"/>
      <c r="KI166" s="99"/>
      <c r="KJ166" s="99"/>
      <c r="KK166" s="99"/>
      <c r="KL166" s="99"/>
      <c r="KM166" s="99"/>
      <c r="KN166" s="99"/>
      <c r="KO166" s="99"/>
      <c r="KP166" s="99"/>
      <c r="KQ166" s="99"/>
      <c r="KR166" s="99"/>
      <c r="KS166" s="99"/>
      <c r="KT166" s="99"/>
      <c r="KU166" s="99"/>
      <c r="KV166" s="99"/>
      <c r="KW166" s="99"/>
      <c r="KX166" s="99"/>
      <c r="KY166" s="99"/>
      <c r="KZ166" s="99"/>
      <c r="LA166" s="99"/>
      <c r="LB166" s="99"/>
      <c r="LC166" s="99"/>
      <c r="LD166" s="99"/>
      <c r="LE166" s="99"/>
      <c r="LF166" s="99"/>
      <c r="LG166" s="99"/>
      <c r="LH166" s="99"/>
      <c r="LI166" s="99"/>
      <c r="LJ166" s="99"/>
      <c r="LK166" s="99"/>
      <c r="LL166" s="99"/>
      <c r="LM166" s="99"/>
      <c r="LN166" s="99"/>
      <c r="LO166" s="99"/>
      <c r="LP166" s="99"/>
      <c r="LQ166" s="99"/>
      <c r="LR166" s="99"/>
      <c r="LS166" s="99"/>
      <c r="LT166" s="99"/>
      <c r="LU166" s="99"/>
      <c r="LV166" s="99"/>
      <c r="LW166" s="99"/>
      <c r="LX166" s="99"/>
      <c r="LY166" s="99"/>
      <c r="LZ166" s="99"/>
      <c r="MA166" s="99"/>
      <c r="MB166" s="99"/>
      <c r="MC166" s="99"/>
      <c r="MD166" s="99"/>
      <c r="ME166" s="99"/>
      <c r="MF166" s="99"/>
    </row>
    <row r="167" spans="1:344" ht="17.25" customHeight="1" x14ac:dyDescent="0.25">
      <c r="A167" s="156"/>
      <c r="B167" s="81" t="s">
        <v>3</v>
      </c>
      <c r="C167" s="82">
        <v>45301</v>
      </c>
      <c r="D167" s="49"/>
      <c r="G167" s="89">
        <f t="shared" si="194"/>
        <v>0</v>
      </c>
      <c r="H167" s="35">
        <f t="shared" si="195"/>
        <v>0</v>
      </c>
      <c r="I167" s="39">
        <v>12</v>
      </c>
      <c r="J167" s="39">
        <v>10</v>
      </c>
      <c r="K167" s="103">
        <v>81</v>
      </c>
      <c r="L167" s="89">
        <f>AVERAGE(X167,AO167,BF167,BW167,CN167,DE167,DV167,EM167,FD167,FU167,GL167)</f>
        <v>7.0469999999999997</v>
      </c>
      <c r="M167" s="35">
        <f t="shared" si="217"/>
        <v>570.80700000000002</v>
      </c>
      <c r="N167" s="35">
        <f t="shared" si="218"/>
        <v>570.80700000000002</v>
      </c>
      <c r="O167" s="97">
        <f>SUM($Z167,$BH167,$AQ167,$BY167,$DG167,$DX167,$EO167,$FF167,$FW167,$GN167)/J167</f>
        <v>210.5</v>
      </c>
      <c r="P167" s="150"/>
      <c r="Q167" s="132">
        <f t="shared" ref="Q167" si="328">SUM(AD167+AI167+AU167+AZ167+BL167+BQ167+CC167+CH167+CT167+CY167+DK167+DP167+EB167+EG167+ES167+EX167+FJ167+FO167+GA167+GF167+GR167+GW167)/10</f>
        <v>39.9</v>
      </c>
      <c r="R167" s="134">
        <f t="shared" ref="R167" si="329">SUM(AE167+AJ167+AV167+BA167+BM167+BR167+CD167+CI167+CU167+CZ167+DL167+DQ167+EC167+EH167+ET167+EY167+FK167+FP167+GB167+GG167+GS167+GX167)/10</f>
        <v>22.7</v>
      </c>
      <c r="S167" s="136">
        <f t="shared" ref="S167" si="330">SUM(AF167+AK167+AW167+BB167+BN167+BS167+CE167+CJ167+CV167+DA167+DM167+DR167+ED167+EI167+EU167+EZ167+FL167+FQ167+GC167+GH167+GT167+GY167)/10</f>
        <v>21.6</v>
      </c>
      <c r="T167" s="138">
        <f t="shared" ref="T167" si="331">SUM(AG167+AL167+AX167+BC167+BO167+BT167+CF167+CK167+CW167+DB167+DN167+DS167+EE167+EJ167+EV167+FA167+FM167+FR167+GD167+GI167+GU167+GZ167)/10</f>
        <v>15.2</v>
      </c>
      <c r="U167" s="144">
        <f t="shared" ref="U167" si="332">SUM(AH167+AM167+AY167+BD167+BP167+BU167+CG167+CL167+CX167+DC167+DO167+DT167+EF167+EK167+EW167+FB167+FN167+FS167+GE167+GJ167+GV167+HA167)/10</f>
        <v>1.9600000000000002</v>
      </c>
      <c r="W167" s="11">
        <v>0</v>
      </c>
      <c r="X167" s="1">
        <v>6.5</v>
      </c>
      <c r="Y167" s="35">
        <f t="shared" si="201"/>
        <v>526.5</v>
      </c>
      <c r="Z167" s="35">
        <f t="shared" si="220"/>
        <v>273</v>
      </c>
      <c r="AA167" s="15">
        <f t="shared" si="233"/>
        <v>1.07365882359833</v>
      </c>
      <c r="AB167" s="43">
        <f t="shared" si="298"/>
        <v>562.73724527370439</v>
      </c>
      <c r="AC167" s="43">
        <f t="shared" si="299"/>
        <v>524.13041545889803</v>
      </c>
      <c r="AD167" s="33"/>
      <c r="AH167" s="31"/>
      <c r="AI167" s="7">
        <v>11</v>
      </c>
      <c r="AJ167" s="8">
        <v>26</v>
      </c>
      <c r="AK167" s="9">
        <v>23</v>
      </c>
      <c r="AL167" s="10">
        <v>24</v>
      </c>
      <c r="AM167" s="12">
        <v>9</v>
      </c>
      <c r="AO167" s="1">
        <v>8</v>
      </c>
      <c r="AP167" s="35">
        <f t="shared" si="202"/>
        <v>648</v>
      </c>
      <c r="AQ167" s="35">
        <f t="shared" si="221"/>
        <v>168</v>
      </c>
      <c r="AR167" s="15">
        <f t="shared" si="234"/>
        <v>1.0413566594425863</v>
      </c>
      <c r="AS167" s="28">
        <f t="shared" si="235"/>
        <v>550.66081729441055</v>
      </c>
      <c r="AT167" s="28">
        <f t="shared" si="236"/>
        <v>528.79175669665983</v>
      </c>
      <c r="AU167" s="33"/>
      <c r="AY167" s="31"/>
      <c r="AZ167" s="7">
        <v>56</v>
      </c>
      <c r="BA167" s="8">
        <v>12</v>
      </c>
      <c r="BB167" s="9">
        <v>12</v>
      </c>
      <c r="BC167" s="10">
        <v>8</v>
      </c>
      <c r="BD167" s="12">
        <v>4</v>
      </c>
      <c r="BF167" s="1">
        <v>8.5</v>
      </c>
      <c r="BG167" s="35">
        <f t="shared" si="203"/>
        <v>688.5</v>
      </c>
      <c r="BH167" s="35">
        <f t="shared" si="222"/>
        <v>265</v>
      </c>
      <c r="BI167" s="15">
        <f t="shared" si="237"/>
        <v>2.2322309269563143</v>
      </c>
      <c r="BJ167" s="28">
        <f t="shared" si="238"/>
        <v>482.54388178128704</v>
      </c>
      <c r="BK167" s="28">
        <f t="shared" si="239"/>
        <v>216.17112994632865</v>
      </c>
      <c r="BL167" s="33"/>
      <c r="BP167" s="31"/>
      <c r="BQ167" s="7">
        <v>4</v>
      </c>
      <c r="BR167" s="8">
        <v>30</v>
      </c>
      <c r="BS167" s="9">
        <v>32</v>
      </c>
      <c r="BT167" s="10">
        <v>25</v>
      </c>
      <c r="BU167" s="12">
        <v>1</v>
      </c>
      <c r="BW167" s="1">
        <v>6</v>
      </c>
      <c r="BX167" s="35">
        <f t="shared" si="204"/>
        <v>486</v>
      </c>
      <c r="BY167" s="35">
        <f t="shared" si="223"/>
        <v>206</v>
      </c>
      <c r="BZ167" s="15">
        <f t="shared" si="240"/>
        <v>1.1465897186130796</v>
      </c>
      <c r="CA167" s="28">
        <f t="shared" si="241"/>
        <v>548.21292834259293</v>
      </c>
      <c r="CB167" s="28">
        <f t="shared" si="242"/>
        <v>478.12475503941721</v>
      </c>
      <c r="CC167" s="33"/>
      <c r="CG167" s="31"/>
      <c r="CH167" s="7">
        <v>33</v>
      </c>
      <c r="CI167" s="8">
        <v>24</v>
      </c>
      <c r="CJ167" s="9">
        <v>16</v>
      </c>
      <c r="CK167" s="10">
        <v>18</v>
      </c>
      <c r="CL167" s="12">
        <v>1</v>
      </c>
      <c r="CM167" s="86"/>
      <c r="CN167" s="87"/>
      <c r="CO167" s="35">
        <f t="shared" si="205"/>
        <v>0</v>
      </c>
      <c r="CP167" s="35">
        <f>(CT167*1+CU167*2+CV167*3+CW167*4+CX167*5)+(CY167*1+CZ167*2+DA167*3+DB167*4+DC167*5)</f>
        <v>102</v>
      </c>
      <c r="CQ167" s="15">
        <f t="shared" si="243"/>
        <v>0.98587164446942777</v>
      </c>
      <c r="CR167" s="28">
        <f t="shared" si="244"/>
        <v>432.70927114062033</v>
      </c>
      <c r="CS167" s="28">
        <f t="shared" si="245"/>
        <v>438.91035264889274</v>
      </c>
      <c r="CT167" s="33"/>
      <c r="CX167" s="31"/>
      <c r="CY167" s="7">
        <v>84</v>
      </c>
      <c r="CZ167" s="8">
        <v>6</v>
      </c>
      <c r="DA167" s="9">
        <v>2</v>
      </c>
      <c r="DB167" s="10">
        <v>0</v>
      </c>
      <c r="DC167" s="12">
        <v>0</v>
      </c>
      <c r="DE167" s="1">
        <v>5.2</v>
      </c>
      <c r="DF167" s="35">
        <f t="shared" si="206"/>
        <v>421.2</v>
      </c>
      <c r="DG167" s="35">
        <f t="shared" si="225"/>
        <v>170</v>
      </c>
      <c r="DH167" s="15">
        <f t="shared" si="246"/>
        <v>1.0547023383750558</v>
      </c>
      <c r="DI167" s="28">
        <f t="shared" si="247"/>
        <v>439.45149411935131</v>
      </c>
      <c r="DJ167" s="28">
        <f t="shared" si="248"/>
        <v>416.6592583803307</v>
      </c>
      <c r="DK167" s="33"/>
      <c r="DO167" s="31"/>
      <c r="DP167" s="7">
        <v>46</v>
      </c>
      <c r="DQ167" s="8">
        <v>21</v>
      </c>
      <c r="DR167" s="9">
        <v>18</v>
      </c>
      <c r="DS167" s="10">
        <v>7</v>
      </c>
      <c r="DT167" s="12">
        <v>0</v>
      </c>
      <c r="DV167" s="1">
        <v>4.9000000000000004</v>
      </c>
      <c r="DW167" s="35">
        <f t="shared" si="207"/>
        <v>396.90000000000003</v>
      </c>
      <c r="DX167" s="35">
        <f t="shared" si="226"/>
        <v>154</v>
      </c>
      <c r="DY167" s="15">
        <f t="shared" si="249"/>
        <v>1.0447225826214017</v>
      </c>
      <c r="DZ167" s="28">
        <f t="shared" si="250"/>
        <v>434.88640519653643</v>
      </c>
      <c r="EA167" s="28">
        <f t="shared" si="251"/>
        <v>416.26974704167515</v>
      </c>
      <c r="EB167" s="33"/>
      <c r="EF167" s="31"/>
      <c r="EG167" s="7">
        <v>50</v>
      </c>
      <c r="EH167" s="8">
        <v>24</v>
      </c>
      <c r="EI167" s="9">
        <v>16</v>
      </c>
      <c r="EJ167" s="10">
        <v>2</v>
      </c>
      <c r="EK167" s="12">
        <v>0</v>
      </c>
      <c r="EM167" s="1">
        <v>6</v>
      </c>
      <c r="EN167" s="35">
        <f t="shared" si="208"/>
        <v>486</v>
      </c>
      <c r="EO167" s="35">
        <f t="shared" si="227"/>
        <v>257</v>
      </c>
      <c r="EP167" s="15">
        <f t="shared" si="252"/>
        <v>1.0705693357790858</v>
      </c>
      <c r="EQ167" s="28">
        <f t="shared" si="253"/>
        <v>510.3959863332193</v>
      </c>
      <c r="ER167" s="28">
        <f t="shared" si="254"/>
        <v>476.75192000692664</v>
      </c>
      <c r="ES167" s="33"/>
      <c r="EW167" s="31"/>
      <c r="EX167" s="7">
        <v>13</v>
      </c>
      <c r="EY167" s="8">
        <v>21</v>
      </c>
      <c r="EZ167" s="9">
        <v>29</v>
      </c>
      <c r="FA167" s="10">
        <v>28</v>
      </c>
      <c r="FB167" s="12">
        <v>0.6</v>
      </c>
      <c r="FD167" s="1">
        <v>8.5</v>
      </c>
      <c r="FE167" s="35">
        <f t="shared" si="209"/>
        <v>688.5</v>
      </c>
      <c r="FF167" s="35">
        <f t="shared" si="228"/>
        <v>177</v>
      </c>
      <c r="FG167" s="15">
        <f t="shared" si="255"/>
        <v>1.1373712294672795</v>
      </c>
      <c r="FH167" s="28">
        <f t="shared" si="256"/>
        <v>625.7722589563125</v>
      </c>
      <c r="FI167" s="28">
        <f t="shared" si="257"/>
        <v>550.19174280451148</v>
      </c>
      <c r="FJ167" s="33"/>
      <c r="FN167" s="31"/>
      <c r="FO167" s="7">
        <v>46</v>
      </c>
      <c r="FP167" s="8">
        <v>19</v>
      </c>
      <c r="FQ167" s="9">
        <v>19</v>
      </c>
      <c r="FR167" s="10">
        <v>9</v>
      </c>
      <c r="FS167" s="12">
        <v>0</v>
      </c>
      <c r="FU167" s="1">
        <v>8</v>
      </c>
      <c r="FV167" s="35">
        <f t="shared" si="210"/>
        <v>648</v>
      </c>
      <c r="FW167" s="35">
        <f t="shared" si="229"/>
        <v>201</v>
      </c>
      <c r="FX167" s="15">
        <f t="shared" si="258"/>
        <v>1.0689186188540301</v>
      </c>
      <c r="FY167" s="28">
        <f t="shared" si="259"/>
        <v>573.63733901341755</v>
      </c>
      <c r="FZ167" s="28">
        <f t="shared" si="260"/>
        <v>536.6520227970251</v>
      </c>
      <c r="GA167" s="33"/>
      <c r="GE167" s="31"/>
      <c r="GF167" s="7">
        <v>33</v>
      </c>
      <c r="GG167" s="8">
        <v>22</v>
      </c>
      <c r="GH167" s="9">
        <v>24</v>
      </c>
      <c r="GI167" s="10">
        <v>13</v>
      </c>
      <c r="GJ167" s="12">
        <v>0</v>
      </c>
      <c r="GL167" s="1">
        <v>8.8699999999999992</v>
      </c>
      <c r="GM167" s="35">
        <f t="shared" si="211"/>
        <v>718.46999999999991</v>
      </c>
      <c r="GN167" s="35">
        <f t="shared" si="230"/>
        <v>234</v>
      </c>
      <c r="GO167" s="15">
        <f t="shared" si="261"/>
        <v>1.0974351258205595</v>
      </c>
      <c r="GP167" s="28">
        <f t="shared" si="262"/>
        <v>634.94393121058295</v>
      </c>
      <c r="GQ167" s="28">
        <f t="shared" si="263"/>
        <v>578.57081140521279</v>
      </c>
      <c r="GR167" s="33"/>
      <c r="GV167" s="31"/>
      <c r="GW167" s="7">
        <v>23</v>
      </c>
      <c r="GX167" s="8">
        <v>22</v>
      </c>
      <c r="GY167" s="9">
        <v>25</v>
      </c>
      <c r="GZ167" s="10">
        <v>18</v>
      </c>
      <c r="HA167" s="12">
        <v>4</v>
      </c>
      <c r="HC167" s="1">
        <v>7.9</v>
      </c>
      <c r="HD167" s="35">
        <f t="shared" si="212"/>
        <v>639.9</v>
      </c>
      <c r="HE167" s="35">
        <f t="shared" si="231"/>
        <v>146</v>
      </c>
      <c r="HF167" s="15">
        <f t="shared" si="264"/>
        <v>1.5985957404499123</v>
      </c>
      <c r="HG167" s="28">
        <f t="shared" si="265"/>
        <v>442.51272876504686</v>
      </c>
      <c r="HH167" s="28">
        <f t="shared" si="266"/>
        <v>276.81340414463079</v>
      </c>
      <c r="HI167" s="33"/>
      <c r="HM167" s="31"/>
      <c r="HN167" s="7">
        <v>56</v>
      </c>
      <c r="HO167" s="8">
        <v>20</v>
      </c>
      <c r="HP167" s="9">
        <v>14</v>
      </c>
      <c r="HQ167" s="10">
        <v>2</v>
      </c>
      <c r="HR167" s="12">
        <v>0</v>
      </c>
      <c r="HU167" s="35">
        <f t="shared" si="213"/>
        <v>0</v>
      </c>
      <c r="HV167" s="35">
        <f t="shared" si="232"/>
        <v>0</v>
      </c>
      <c r="HW167" s="15">
        <f t="shared" si="267"/>
        <v>3.1462623135132467E-6</v>
      </c>
      <c r="HX167" s="28">
        <f t="shared" si="268"/>
        <v>1.5142541311444748E-6</v>
      </c>
      <c r="HY167" s="28">
        <f t="shared" si="269"/>
        <v>0.48128667614290427</v>
      </c>
      <c r="HZ167" s="33"/>
      <c r="ID167" s="31"/>
      <c r="II167" s="12"/>
      <c r="IL167" s="35">
        <f t="shared" si="214"/>
        <v>0</v>
      </c>
      <c r="IM167" s="35">
        <f t="shared" si="215"/>
        <v>5484.9152577232971</v>
      </c>
      <c r="IN167" s="15">
        <f t="shared" si="270"/>
        <v>9.9573705908334045E-2</v>
      </c>
      <c r="IO167" s="28">
        <f t="shared" si="271"/>
        <v>4.0400006406626661</v>
      </c>
      <c r="IP167" s="28">
        <f t="shared" si="272"/>
        <v>40.57296656591074</v>
      </c>
      <c r="IQ167" s="33"/>
      <c r="IU167" s="31"/>
      <c r="JC167" s="35">
        <f t="shared" si="180"/>
        <v>0</v>
      </c>
      <c r="JD167" s="35">
        <f t="shared" si="216"/>
        <v>4132.3464627403528</v>
      </c>
      <c r="JE167" s="15">
        <f t="shared" si="273"/>
        <v>3.8664593685778931E-2</v>
      </c>
      <c r="JF167" s="28">
        <f t="shared" si="274"/>
        <v>0.40581602781045945</v>
      </c>
      <c r="JG167" s="28">
        <f t="shared" si="275"/>
        <v>10.495804795168997</v>
      </c>
      <c r="JH167" s="33"/>
      <c r="JL167" s="31"/>
      <c r="JR167" s="99"/>
      <c r="JS167" s="99"/>
      <c r="JT167" s="99"/>
      <c r="JU167" s="99"/>
      <c r="JV167" s="99"/>
      <c r="JW167" s="99"/>
      <c r="JX167" s="99"/>
      <c r="JY167" s="99"/>
      <c r="JZ167" s="99"/>
      <c r="KA167" s="99"/>
      <c r="KB167" s="99"/>
      <c r="KC167" s="99"/>
      <c r="KD167" s="99"/>
      <c r="KE167" s="99"/>
      <c r="KF167" s="99"/>
      <c r="KG167" s="99"/>
      <c r="KH167" s="99"/>
      <c r="KI167" s="99"/>
      <c r="KJ167" s="99"/>
      <c r="KK167" s="99"/>
      <c r="KL167" s="99"/>
      <c r="KM167" s="99"/>
      <c r="KN167" s="99"/>
      <c r="KO167" s="99"/>
      <c r="KP167" s="99"/>
      <c r="KQ167" s="99"/>
      <c r="KR167" s="99"/>
      <c r="KS167" s="99"/>
      <c r="KT167" s="99"/>
      <c r="KU167" s="99"/>
      <c r="KV167" s="99"/>
      <c r="KW167" s="99"/>
      <c r="KX167" s="99"/>
      <c r="KY167" s="99"/>
      <c r="KZ167" s="99"/>
      <c r="LA167" s="99"/>
      <c r="LB167" s="99"/>
      <c r="LC167" s="99"/>
      <c r="LD167" s="99"/>
      <c r="LE167" s="99"/>
      <c r="LF167" s="99"/>
      <c r="LG167" s="99"/>
      <c r="LH167" s="99"/>
      <c r="LI167" s="99"/>
      <c r="LJ167" s="99"/>
      <c r="LK167" s="99"/>
      <c r="LL167" s="99"/>
      <c r="LM167" s="99"/>
      <c r="LN167" s="99"/>
      <c r="LO167" s="99"/>
      <c r="LP167" s="99"/>
      <c r="LQ167" s="99"/>
      <c r="LR167" s="99"/>
      <c r="LS167" s="99"/>
      <c r="LT167" s="99"/>
      <c r="LU167" s="99"/>
      <c r="LV167" s="99"/>
      <c r="LW167" s="99"/>
      <c r="LX167" s="99"/>
      <c r="LY167" s="99"/>
      <c r="LZ167" s="99"/>
      <c r="MA167" s="99"/>
      <c r="MB167" s="99"/>
      <c r="MC167" s="99"/>
      <c r="MD167" s="99"/>
      <c r="ME167" s="99"/>
      <c r="MF167" s="99"/>
    </row>
    <row r="168" spans="1:344" ht="17.25" customHeight="1" x14ac:dyDescent="0.25">
      <c r="A168" s="156"/>
      <c r="B168" s="81" t="s">
        <v>4</v>
      </c>
      <c r="C168" s="82">
        <v>45302</v>
      </c>
      <c r="D168" s="49">
        <v>13</v>
      </c>
      <c r="E168" s="39">
        <v>11</v>
      </c>
      <c r="F168" s="103">
        <v>87</v>
      </c>
      <c r="G168" s="89">
        <f t="shared" si="194"/>
        <v>7.8281818181818172</v>
      </c>
      <c r="H168" s="35">
        <f t="shared" si="195"/>
        <v>681.05181818181813</v>
      </c>
      <c r="I168" s="39"/>
      <c r="L168" s="89">
        <f t="shared" si="196"/>
        <v>0</v>
      </c>
      <c r="M168" s="35">
        <f t="shared" si="217"/>
        <v>0</v>
      </c>
      <c r="N168" s="35">
        <f t="shared" si="218"/>
        <v>681.05181818181813</v>
      </c>
      <c r="O168" s="97">
        <f>SUM($Z168,$BH168,$AQ168,$BY168,$CP168,$DG168,$DX168,$EO168,$FF168,$FW168,$GN168)/E168</f>
        <v>218.72727272727272</v>
      </c>
      <c r="P168" s="150"/>
      <c r="Q168" s="132">
        <f t="shared" si="322"/>
        <v>39.727272727272727</v>
      </c>
      <c r="R168" s="134">
        <f t="shared" si="323"/>
        <v>22.545454545454547</v>
      </c>
      <c r="S168" s="136">
        <f t="shared" si="324"/>
        <v>18.454545454545453</v>
      </c>
      <c r="T168" s="138">
        <f t="shared" si="325"/>
        <v>15.545454545454545</v>
      </c>
      <c r="U168" s="144">
        <f t="shared" si="326"/>
        <v>3.2727272727272729</v>
      </c>
      <c r="W168" s="11">
        <v>8.5</v>
      </c>
      <c r="X168" s="1">
        <v>0</v>
      </c>
      <c r="Y168" s="35">
        <f t="shared" si="201"/>
        <v>739.5</v>
      </c>
      <c r="Z168" s="35">
        <f t="shared" si="220"/>
        <v>272</v>
      </c>
      <c r="AA168" s="15">
        <f t="shared" si="233"/>
        <v>1.1260603430882781</v>
      </c>
      <c r="AB168" s="43">
        <f t="shared" si="298"/>
        <v>606.92793395527826</v>
      </c>
      <c r="AC168" s="43">
        <f t="shared" si="299"/>
        <v>538.98349025483606</v>
      </c>
      <c r="AD168" s="33">
        <v>19</v>
      </c>
      <c r="AE168" s="8">
        <v>27</v>
      </c>
      <c r="AF168" s="9">
        <v>24</v>
      </c>
      <c r="AG168" s="10">
        <v>23</v>
      </c>
      <c r="AH168" s="31">
        <v>7</v>
      </c>
      <c r="AN168" s="11">
        <v>10</v>
      </c>
      <c r="AP168" s="35">
        <f t="shared" si="202"/>
        <v>870</v>
      </c>
      <c r="AQ168" s="35">
        <f t="shared" si="221"/>
        <v>196</v>
      </c>
      <c r="AR168" s="15">
        <f t="shared" si="234"/>
        <v>1.1415334910559698</v>
      </c>
      <c r="AS168" s="28">
        <f t="shared" si="235"/>
        <v>630.49561297080788</v>
      </c>
      <c r="AT168" s="28">
        <f t="shared" si="236"/>
        <v>552.32335968309712</v>
      </c>
      <c r="AU168" s="33">
        <v>52</v>
      </c>
      <c r="AV168" s="8">
        <v>19</v>
      </c>
      <c r="AW168" s="9">
        <v>14</v>
      </c>
      <c r="AX168" s="10">
        <v>11</v>
      </c>
      <c r="AY168" s="31">
        <v>4</v>
      </c>
      <c r="BE168" s="11">
        <v>9</v>
      </c>
      <c r="BG168" s="35">
        <f t="shared" si="203"/>
        <v>783</v>
      </c>
      <c r="BH168" s="35">
        <f t="shared" si="222"/>
        <v>230</v>
      </c>
      <c r="BI168" s="15">
        <f t="shared" si="237"/>
        <v>2.1846425073475526</v>
      </c>
      <c r="BJ168" s="28">
        <f t="shared" si="238"/>
        <v>557.65791133596531</v>
      </c>
      <c r="BK168" s="28">
        <f t="shared" si="239"/>
        <v>255.26277615692666</v>
      </c>
      <c r="BL168" s="33">
        <v>25</v>
      </c>
      <c r="BM168" s="8">
        <v>36</v>
      </c>
      <c r="BN168" s="9">
        <v>21</v>
      </c>
      <c r="BO168" s="10">
        <v>15</v>
      </c>
      <c r="BP168" s="31">
        <v>2</v>
      </c>
      <c r="BV168" s="11">
        <v>5</v>
      </c>
      <c r="BX168" s="35">
        <f t="shared" si="204"/>
        <v>435</v>
      </c>
      <c r="BY168" s="35">
        <f t="shared" si="223"/>
        <v>233</v>
      </c>
      <c r="BZ168" s="15">
        <f t="shared" si="240"/>
        <v>1.0941997317308008</v>
      </c>
      <c r="CA168" s="28">
        <f t="shared" si="241"/>
        <v>519.9096962569447</v>
      </c>
      <c r="CB168" s="28">
        <f t="shared" si="242"/>
        <v>475.15063400221601</v>
      </c>
      <c r="CC168" s="33">
        <v>37</v>
      </c>
      <c r="CD168" s="8">
        <v>21</v>
      </c>
      <c r="CE168" s="9">
        <v>15</v>
      </c>
      <c r="CF168" s="10">
        <v>21</v>
      </c>
      <c r="CG168" s="31">
        <v>5</v>
      </c>
      <c r="CM168" s="11">
        <v>8.5</v>
      </c>
      <c r="CO168" s="35">
        <f t="shared" si="205"/>
        <v>739.5</v>
      </c>
      <c r="CP168" s="35">
        <f t="shared" si="224"/>
        <v>196</v>
      </c>
      <c r="CQ168" s="15">
        <f t="shared" si="243"/>
        <v>1.108272141927535</v>
      </c>
      <c r="CR168" s="28">
        <f t="shared" si="244"/>
        <v>509.40695335546525</v>
      </c>
      <c r="CS168" s="28">
        <f t="shared" si="245"/>
        <v>459.64067315586567</v>
      </c>
      <c r="CT168" s="33">
        <v>50</v>
      </c>
      <c r="CU168" s="8">
        <v>21</v>
      </c>
      <c r="CV168" s="9">
        <v>13</v>
      </c>
      <c r="CW168" s="10">
        <v>15</v>
      </c>
      <c r="CX168" s="31">
        <v>1</v>
      </c>
      <c r="DD168" s="11">
        <v>4.8</v>
      </c>
      <c r="DF168" s="35">
        <f t="shared" si="206"/>
        <v>417.59999999999997</v>
      </c>
      <c r="DG168" s="35">
        <f t="shared" si="225"/>
        <v>198</v>
      </c>
      <c r="DH168" s="15">
        <f t="shared" si="246"/>
        <v>1.0414290460744822</v>
      </c>
      <c r="DI168" s="28">
        <f t="shared" si="247"/>
        <v>433.98862058951346</v>
      </c>
      <c r="DJ168" s="28">
        <f t="shared" si="248"/>
        <v>416.72413711272168</v>
      </c>
      <c r="DK168" s="33">
        <v>47</v>
      </c>
      <c r="DL168" s="8">
        <v>22</v>
      </c>
      <c r="DM168" s="9">
        <v>17</v>
      </c>
      <c r="DN168" s="10">
        <v>14</v>
      </c>
      <c r="DO168" s="31">
        <v>0</v>
      </c>
      <c r="DU168" s="11">
        <v>4.9000000000000004</v>
      </c>
      <c r="DW168" s="35">
        <f t="shared" si="207"/>
        <v>426.3</v>
      </c>
      <c r="DX168" s="35">
        <f t="shared" si="226"/>
        <v>174</v>
      </c>
      <c r="DY168" s="15">
        <f t="shared" si="249"/>
        <v>1.0378411812669457</v>
      </c>
      <c r="DZ168" s="28">
        <f t="shared" si="250"/>
        <v>432.73980389740228</v>
      </c>
      <c r="EA168" s="28">
        <f t="shared" si="251"/>
        <v>416.96148862500786</v>
      </c>
      <c r="EB168" s="33">
        <v>54</v>
      </c>
      <c r="EC168" s="8">
        <v>20</v>
      </c>
      <c r="ED168" s="9">
        <v>20</v>
      </c>
      <c r="EE168" s="10">
        <v>5</v>
      </c>
      <c r="EF168" s="31">
        <v>0</v>
      </c>
      <c r="EL168" s="11">
        <v>8.5</v>
      </c>
      <c r="EN168" s="35">
        <f t="shared" si="208"/>
        <v>739.5</v>
      </c>
      <c r="EO168" s="35">
        <f t="shared" si="227"/>
        <v>217</v>
      </c>
      <c r="EP168" s="15">
        <f t="shared" si="252"/>
        <v>1.1471076203448447</v>
      </c>
      <c r="EQ168" s="28">
        <f t="shared" si="253"/>
        <v>567.67198974991447</v>
      </c>
      <c r="ER168" s="28">
        <f t="shared" si="254"/>
        <v>494.87247724782821</v>
      </c>
      <c r="ES168" s="33">
        <v>38</v>
      </c>
      <c r="ET168" s="8">
        <v>20</v>
      </c>
      <c r="EU168" s="9">
        <v>29</v>
      </c>
      <c r="EV168" s="10">
        <v>13</v>
      </c>
      <c r="EW168" s="31">
        <v>0</v>
      </c>
      <c r="FC168" s="11">
        <v>9</v>
      </c>
      <c r="FE168" s="35">
        <f t="shared" si="209"/>
        <v>783</v>
      </c>
      <c r="FF168" s="35">
        <f t="shared" si="228"/>
        <v>168</v>
      </c>
      <c r="FG168" s="15">
        <f t="shared" si="255"/>
        <v>1.1745380106951173</v>
      </c>
      <c r="FH168" s="28">
        <f t="shared" si="256"/>
        <v>665.07919421723432</v>
      </c>
      <c r="FI168" s="28">
        <f t="shared" si="257"/>
        <v>566.24748468006237</v>
      </c>
      <c r="FJ168" s="33">
        <v>56</v>
      </c>
      <c r="FK168" s="8">
        <v>22</v>
      </c>
      <c r="FL168" s="9">
        <v>16</v>
      </c>
      <c r="FM168" s="10">
        <v>5</v>
      </c>
      <c r="FN168" s="31">
        <v>0</v>
      </c>
      <c r="FT168" s="11">
        <v>8.5</v>
      </c>
      <c r="FV168" s="35">
        <f t="shared" si="210"/>
        <v>739.5</v>
      </c>
      <c r="FW168" s="35">
        <f t="shared" si="229"/>
        <v>242</v>
      </c>
      <c r="FX168" s="15">
        <f t="shared" si="258"/>
        <v>1.1170661152324686</v>
      </c>
      <c r="FY168" s="28">
        <f t="shared" si="259"/>
        <v>615.10300426006313</v>
      </c>
      <c r="FZ168" s="28">
        <f t="shared" si="260"/>
        <v>550.6415384661957</v>
      </c>
      <c r="GA168" s="33">
        <v>33</v>
      </c>
      <c r="GB168" s="8">
        <v>22</v>
      </c>
      <c r="GC168" s="9">
        <v>20</v>
      </c>
      <c r="GD168" s="10">
        <v>20</v>
      </c>
      <c r="GE168" s="31">
        <v>5</v>
      </c>
      <c r="GK168" s="11">
        <v>9.41</v>
      </c>
      <c r="GM168" s="35">
        <f t="shared" si="211"/>
        <v>818.67</v>
      </c>
      <c r="GN168" s="35">
        <f t="shared" si="230"/>
        <v>280</v>
      </c>
      <c r="GO168" s="15">
        <f t="shared" si="261"/>
        <v>1.1440797173024622</v>
      </c>
      <c r="GP168" s="28">
        <f t="shared" si="262"/>
        <v>680.87544840793726</v>
      </c>
      <c r="GQ168" s="28">
        <f t="shared" si="263"/>
        <v>595.12937613588781</v>
      </c>
      <c r="GR168" s="33">
        <v>26</v>
      </c>
      <c r="GS168" s="8">
        <v>18</v>
      </c>
      <c r="GT168" s="9">
        <v>14</v>
      </c>
      <c r="GU168" s="10">
        <v>29</v>
      </c>
      <c r="GV168" s="31">
        <v>12</v>
      </c>
      <c r="HB168" s="11">
        <v>7.8</v>
      </c>
      <c r="HD168" s="35">
        <f t="shared" si="212"/>
        <v>678.6</v>
      </c>
      <c r="HE168" s="35">
        <f t="shared" si="231"/>
        <v>173</v>
      </c>
      <c r="HF168" s="15">
        <f t="shared" si="264"/>
        <v>1.6469522352469557</v>
      </c>
      <c r="HG168" s="28">
        <f t="shared" si="265"/>
        <v>501.53454657378518</v>
      </c>
      <c r="HH168" s="28">
        <f t="shared" si="266"/>
        <v>304.52282454844936</v>
      </c>
      <c r="HI168" s="33">
        <v>54</v>
      </c>
      <c r="HJ168" s="8">
        <v>18</v>
      </c>
      <c r="HK168" s="9">
        <v>21</v>
      </c>
      <c r="HL168" s="10">
        <v>5</v>
      </c>
      <c r="HM168" s="31">
        <v>0</v>
      </c>
      <c r="HU168" s="35">
        <f t="shared" si="213"/>
        <v>0</v>
      </c>
      <c r="HV168" s="35">
        <f t="shared" si="232"/>
        <v>0</v>
      </c>
      <c r="HW168" s="15">
        <f t="shared" si="267"/>
        <v>2.5344890858856714E-6</v>
      </c>
      <c r="HX168" s="28">
        <f t="shared" si="268"/>
        <v>1.1356905983583561E-6</v>
      </c>
      <c r="HY168" s="28">
        <f t="shared" si="269"/>
        <v>0.44809449158132464</v>
      </c>
      <c r="HZ168" s="33"/>
      <c r="ID168" s="31"/>
      <c r="II168" s="12"/>
      <c r="IL168" s="35">
        <f t="shared" si="214"/>
        <v>0</v>
      </c>
      <c r="IM168" s="35">
        <f t="shared" si="215"/>
        <v>5592.6745542340504</v>
      </c>
      <c r="IN168" s="15">
        <f t="shared" si="270"/>
        <v>8.0212151981713553E-2</v>
      </c>
      <c r="IO168" s="28">
        <f t="shared" si="271"/>
        <v>3.0300004804969998</v>
      </c>
      <c r="IP168" s="28">
        <f t="shared" si="272"/>
        <v>37.774830940675514</v>
      </c>
      <c r="IQ168" s="33"/>
      <c r="IU168" s="31"/>
      <c r="JC168" s="35">
        <f t="shared" si="180"/>
        <v>0</v>
      </c>
      <c r="JD168" s="35">
        <f t="shared" si="216"/>
        <v>5666.6559956269721</v>
      </c>
      <c r="JE168" s="15">
        <f t="shared" si="273"/>
        <v>3.1146478246877475E-2</v>
      </c>
      <c r="JF168" s="28">
        <f t="shared" si="274"/>
        <v>0.30436202085784458</v>
      </c>
      <c r="JG168" s="28">
        <f t="shared" si="275"/>
        <v>9.7719561886056177</v>
      </c>
      <c r="JH168" s="33"/>
      <c r="JL168" s="31"/>
      <c r="JR168" s="99"/>
      <c r="JS168" s="99"/>
      <c r="JT168" s="99"/>
      <c r="JU168" s="99"/>
      <c r="JV168" s="99"/>
      <c r="JW168" s="99"/>
      <c r="JX168" s="99"/>
      <c r="JY168" s="99"/>
      <c r="JZ168" s="99"/>
      <c r="KA168" s="99"/>
      <c r="KB168" s="99"/>
      <c r="KC168" s="99"/>
      <c r="KD168" s="99"/>
      <c r="KE168" s="99"/>
      <c r="KF168" s="99"/>
      <c r="KG168" s="99"/>
      <c r="KH168" s="99"/>
      <c r="KI168" s="99"/>
      <c r="KJ168" s="99"/>
      <c r="KK168" s="99"/>
      <c r="KL168" s="99"/>
      <c r="KM168" s="99"/>
      <c r="KN168" s="99"/>
      <c r="KO168" s="99"/>
      <c r="KP168" s="99"/>
      <c r="KQ168" s="99"/>
      <c r="KR168" s="99"/>
      <c r="KS168" s="99"/>
      <c r="KT168" s="99"/>
      <c r="KU168" s="99"/>
      <c r="KV168" s="99"/>
      <c r="KW168" s="99"/>
      <c r="KX168" s="99"/>
      <c r="KY168" s="99"/>
      <c r="KZ168" s="99"/>
      <c r="LA168" s="99"/>
      <c r="LB168" s="99"/>
      <c r="LC168" s="99"/>
      <c r="LD168" s="99"/>
      <c r="LE168" s="99"/>
      <c r="LF168" s="99"/>
      <c r="LG168" s="99"/>
      <c r="LH168" s="99"/>
      <c r="LI168" s="99"/>
      <c r="LJ168" s="99"/>
      <c r="LK168" s="99"/>
      <c r="LL168" s="99"/>
      <c r="LM168" s="99"/>
      <c r="LN168" s="99"/>
      <c r="LO168" s="99"/>
      <c r="LP168" s="99"/>
      <c r="LQ168" s="99"/>
      <c r="LR168" s="99"/>
      <c r="LS168" s="99"/>
      <c r="LT168" s="99"/>
      <c r="LU168" s="99"/>
      <c r="LV168" s="99"/>
      <c r="LW168" s="99"/>
      <c r="LX168" s="99"/>
      <c r="LY168" s="99"/>
      <c r="LZ168" s="99"/>
      <c r="MA168" s="99"/>
      <c r="MB168" s="99"/>
      <c r="MC168" s="99"/>
      <c r="MD168" s="99"/>
      <c r="ME168" s="99"/>
      <c r="MF168" s="99"/>
    </row>
    <row r="169" spans="1:344" ht="17.25" customHeight="1" x14ac:dyDescent="0.25">
      <c r="A169" s="156"/>
      <c r="B169" s="81" t="s">
        <v>5</v>
      </c>
      <c r="C169" s="82">
        <v>45303</v>
      </c>
      <c r="D169" s="49">
        <v>12</v>
      </c>
      <c r="E169" s="39">
        <v>11</v>
      </c>
      <c r="F169" s="103">
        <v>75</v>
      </c>
      <c r="G169" s="89">
        <f t="shared" si="194"/>
        <v>8.127272727272727</v>
      </c>
      <c r="H169" s="35">
        <f t="shared" si="195"/>
        <v>609.5454545454545</v>
      </c>
      <c r="I169" s="39">
        <v>12</v>
      </c>
      <c r="J169" s="39">
        <v>11</v>
      </c>
      <c r="K169" s="103">
        <v>45</v>
      </c>
      <c r="L169" s="89">
        <f t="shared" si="196"/>
        <v>4</v>
      </c>
      <c r="M169" s="35">
        <f t="shared" si="217"/>
        <v>180</v>
      </c>
      <c r="N169" s="35">
        <f t="shared" si="218"/>
        <v>789.5454545454545</v>
      </c>
      <c r="O169" s="97">
        <f t="shared" ref="O169:O170" si="333">SUM($Z169,$BH169,$AQ169,$BY169,$CP169,$DG169,$DX169,$EO169,$FF169,$FW169,$GN169)/E169</f>
        <v>179.81818181818181</v>
      </c>
      <c r="P169" s="150"/>
      <c r="Q169" s="132">
        <f t="shared" si="322"/>
        <v>27.636363636363637</v>
      </c>
      <c r="R169" s="134">
        <f t="shared" si="323"/>
        <v>21.09090909090909</v>
      </c>
      <c r="S169" s="136">
        <f t="shared" si="324"/>
        <v>18.09090909090909</v>
      </c>
      <c r="T169" s="138">
        <f t="shared" si="325"/>
        <v>12.181818181818182</v>
      </c>
      <c r="U169" s="144">
        <f t="shared" si="326"/>
        <v>1.4000000000000001</v>
      </c>
      <c r="W169" s="11">
        <v>9</v>
      </c>
      <c r="X169" s="1">
        <v>4</v>
      </c>
      <c r="Y169" s="35">
        <f t="shared" si="201"/>
        <v>855</v>
      </c>
      <c r="Z169" s="35">
        <f t="shared" si="220"/>
        <v>221</v>
      </c>
      <c r="AA169" s="15">
        <f t="shared" si="233"/>
        <v>1.1928896458056293</v>
      </c>
      <c r="AB169" s="43">
        <f t="shared" si="298"/>
        <v>668.94595046645873</v>
      </c>
      <c r="AC169" s="43">
        <f t="shared" si="299"/>
        <v>560.77773230622665</v>
      </c>
      <c r="AD169" s="33">
        <v>9</v>
      </c>
      <c r="AE169" s="8">
        <v>25</v>
      </c>
      <c r="AF169" s="9">
        <v>25</v>
      </c>
      <c r="AG169" s="10">
        <v>18</v>
      </c>
      <c r="AH169" s="31">
        <v>3</v>
      </c>
      <c r="AN169" s="11">
        <v>10</v>
      </c>
      <c r="AO169" s="1">
        <v>4</v>
      </c>
      <c r="AP169" s="35">
        <f t="shared" si="202"/>
        <v>930</v>
      </c>
      <c r="AQ169" s="35">
        <f t="shared" si="221"/>
        <v>166</v>
      </c>
      <c r="AR169" s="15">
        <f t="shared" si="234"/>
        <v>1.2195855245060718</v>
      </c>
      <c r="AS169" s="28">
        <f t="shared" si="235"/>
        <v>705.37170972810588</v>
      </c>
      <c r="AT169" s="28">
        <f t="shared" si="236"/>
        <v>578.37002453253876</v>
      </c>
      <c r="AU169" s="33">
        <v>39</v>
      </c>
      <c r="AV169" s="8">
        <v>16</v>
      </c>
      <c r="AW169" s="9">
        <v>12</v>
      </c>
      <c r="AX169" s="10">
        <v>11</v>
      </c>
      <c r="AY169" s="31">
        <v>3</v>
      </c>
      <c r="BE169" s="11">
        <v>8.75</v>
      </c>
      <c r="BF169" s="1">
        <v>4</v>
      </c>
      <c r="BG169" s="35">
        <f t="shared" si="203"/>
        <v>836.25</v>
      </c>
      <c r="BH169" s="35">
        <f t="shared" si="222"/>
        <v>199</v>
      </c>
      <c r="BI169" s="15">
        <f t="shared" si="237"/>
        <v>2.1240785074499438</v>
      </c>
      <c r="BJ169" s="28">
        <f t="shared" si="238"/>
        <v>627.30593350197398</v>
      </c>
      <c r="BK169" s="28">
        <f t="shared" si="239"/>
        <v>295.33086055989725</v>
      </c>
      <c r="BL169" s="33">
        <v>13</v>
      </c>
      <c r="BM169" s="8">
        <v>25</v>
      </c>
      <c r="BN169" s="9">
        <v>28</v>
      </c>
      <c r="BO169" s="10">
        <v>13</v>
      </c>
      <c r="BP169" s="31">
        <v>0</v>
      </c>
      <c r="BV169" s="11">
        <v>6</v>
      </c>
      <c r="BW169" s="1">
        <v>4</v>
      </c>
      <c r="BX169" s="35">
        <f t="shared" si="204"/>
        <v>630</v>
      </c>
      <c r="BY169" s="35">
        <f t="shared" si="223"/>
        <v>182</v>
      </c>
      <c r="BZ169" s="15">
        <f t="shared" si="240"/>
        <v>1.1267982301850745</v>
      </c>
      <c r="CA169" s="28">
        <f t="shared" si="241"/>
        <v>547.43227219270852</v>
      </c>
      <c r="CB169" s="28">
        <f t="shared" si="242"/>
        <v>485.8299006227528</v>
      </c>
      <c r="CC169" s="33">
        <v>28</v>
      </c>
      <c r="CD169" s="8">
        <v>18</v>
      </c>
      <c r="CE169" s="9">
        <v>19</v>
      </c>
      <c r="CF169" s="10">
        <v>14</v>
      </c>
      <c r="CG169" s="31">
        <v>1</v>
      </c>
      <c r="CM169" s="11">
        <v>9</v>
      </c>
      <c r="CN169" s="1">
        <v>4</v>
      </c>
      <c r="CO169" s="35">
        <f t="shared" si="205"/>
        <v>855</v>
      </c>
      <c r="CP169" s="35">
        <f t="shared" si="224"/>
        <v>164</v>
      </c>
      <c r="CQ169" s="15">
        <f t="shared" si="243"/>
        <v>1.2236534258049685</v>
      </c>
      <c r="CR169" s="28">
        <f t="shared" si="244"/>
        <v>595.80521501659894</v>
      </c>
      <c r="CS169" s="28">
        <f t="shared" si="245"/>
        <v>486.9068336278749</v>
      </c>
      <c r="CT169" s="33">
        <v>35</v>
      </c>
      <c r="CU169" s="8">
        <v>21</v>
      </c>
      <c r="CV169" s="9">
        <v>14</v>
      </c>
      <c r="CW169" s="10">
        <v>10</v>
      </c>
      <c r="CX169" s="31">
        <v>1</v>
      </c>
      <c r="DD169" s="11">
        <v>4.8</v>
      </c>
      <c r="DE169" s="1">
        <v>4</v>
      </c>
      <c r="DF169" s="35">
        <f t="shared" si="206"/>
        <v>540</v>
      </c>
      <c r="DG169" s="35">
        <f t="shared" si="225"/>
        <v>171</v>
      </c>
      <c r="DH169" s="15">
        <f t="shared" si="246"/>
        <v>1.0829336664589388</v>
      </c>
      <c r="DI169" s="28">
        <f t="shared" si="247"/>
        <v>460.49146544213511</v>
      </c>
      <c r="DJ169" s="28">
        <f t="shared" si="248"/>
        <v>425.22592076012018</v>
      </c>
      <c r="DK169" s="33">
        <v>33</v>
      </c>
      <c r="DL169" s="8">
        <v>21</v>
      </c>
      <c r="DM169" s="9">
        <v>13</v>
      </c>
      <c r="DN169" s="10">
        <v>13</v>
      </c>
      <c r="DO169" s="31">
        <v>1</v>
      </c>
      <c r="DU169" s="11">
        <v>4.5999999999999996</v>
      </c>
      <c r="DV169" s="1">
        <v>4</v>
      </c>
      <c r="DW169" s="35">
        <f t="shared" si="207"/>
        <v>525</v>
      </c>
      <c r="DX169" s="35">
        <f t="shared" si="226"/>
        <v>154</v>
      </c>
      <c r="DY169" s="15">
        <f t="shared" si="249"/>
        <v>1.0739668090915899</v>
      </c>
      <c r="DZ169" s="28">
        <f t="shared" si="250"/>
        <v>455.80485292305173</v>
      </c>
      <c r="EA169" s="28">
        <f t="shared" si="251"/>
        <v>424.41242044397279</v>
      </c>
      <c r="EB169" s="33">
        <v>37</v>
      </c>
      <c r="EC169" s="8">
        <v>18</v>
      </c>
      <c r="ED169" s="9">
        <v>23</v>
      </c>
      <c r="EE169" s="10">
        <v>3</v>
      </c>
      <c r="EF169" s="31">
        <v>0</v>
      </c>
      <c r="EL169" s="11">
        <v>9</v>
      </c>
      <c r="EM169" s="1">
        <v>4</v>
      </c>
      <c r="EN169" s="35">
        <f t="shared" si="208"/>
        <v>855</v>
      </c>
      <c r="EO169" s="35">
        <f t="shared" si="227"/>
        <v>167</v>
      </c>
      <c r="EP169" s="15">
        <f t="shared" si="252"/>
        <v>1.230504314698071</v>
      </c>
      <c r="EQ169" s="28">
        <f t="shared" si="253"/>
        <v>639.50399231243591</v>
      </c>
      <c r="ER169" s="28">
        <f t="shared" si="254"/>
        <v>519.70885812728829</v>
      </c>
      <c r="ES169" s="33">
        <v>25</v>
      </c>
      <c r="ET169" s="8">
        <v>29</v>
      </c>
      <c r="EU169" s="9">
        <v>20</v>
      </c>
      <c r="EV169" s="10">
        <v>6</v>
      </c>
      <c r="EW169" s="31">
        <v>0</v>
      </c>
      <c r="FC169" s="11">
        <v>10</v>
      </c>
      <c r="FD169" s="1">
        <v>4</v>
      </c>
      <c r="FE169" s="35">
        <f t="shared" si="209"/>
        <v>930</v>
      </c>
      <c r="FF169" s="35">
        <f t="shared" si="228"/>
        <v>147</v>
      </c>
      <c r="FG169" s="15">
        <f t="shared" si="255"/>
        <v>1.2367115074744728</v>
      </c>
      <c r="FH169" s="28">
        <f t="shared" si="256"/>
        <v>731.30939566292568</v>
      </c>
      <c r="FI169" s="28">
        <f t="shared" si="257"/>
        <v>591.33386504695466</v>
      </c>
      <c r="FJ169" s="33">
        <v>42</v>
      </c>
      <c r="FK169" s="8">
        <v>17</v>
      </c>
      <c r="FL169" s="9">
        <v>15</v>
      </c>
      <c r="FM169" s="10">
        <v>6</v>
      </c>
      <c r="FN169" s="31">
        <v>0.4</v>
      </c>
      <c r="FT169" s="11">
        <v>9</v>
      </c>
      <c r="FU169" s="1">
        <v>4</v>
      </c>
      <c r="FV169" s="35">
        <f t="shared" si="210"/>
        <v>855</v>
      </c>
      <c r="FW169" s="35">
        <f t="shared" si="229"/>
        <v>202</v>
      </c>
      <c r="FX169" s="15">
        <f t="shared" si="258"/>
        <v>1.1809652299429756</v>
      </c>
      <c r="FY169" s="28">
        <f t="shared" si="259"/>
        <v>675.07725319504732</v>
      </c>
      <c r="FZ169" s="28">
        <f t="shared" si="260"/>
        <v>571.63177719266491</v>
      </c>
      <c r="GA169" s="33">
        <v>21</v>
      </c>
      <c r="GB169" s="8">
        <v>23</v>
      </c>
      <c r="GC169" s="9">
        <v>12</v>
      </c>
      <c r="GD169" s="10">
        <v>21</v>
      </c>
      <c r="GE169" s="31">
        <v>3</v>
      </c>
      <c r="GK169" s="11">
        <v>9.25</v>
      </c>
      <c r="GL169" s="1">
        <v>4</v>
      </c>
      <c r="GM169" s="35">
        <f t="shared" si="211"/>
        <v>873.75</v>
      </c>
      <c r="GN169" s="35">
        <f t="shared" si="230"/>
        <v>205</v>
      </c>
      <c r="GO169" s="15">
        <f t="shared" si="261"/>
        <v>1.1867836004497339</v>
      </c>
      <c r="GP169" s="28">
        <f t="shared" si="262"/>
        <v>729.09408630595294</v>
      </c>
      <c r="GQ169" s="28">
        <f t="shared" si="263"/>
        <v>614.34459157479205</v>
      </c>
      <c r="GR169" s="33">
        <v>22</v>
      </c>
      <c r="GS169" s="8">
        <v>19</v>
      </c>
      <c r="GT169" s="9">
        <v>18</v>
      </c>
      <c r="GU169" s="10">
        <v>19</v>
      </c>
      <c r="GV169" s="31">
        <v>3</v>
      </c>
      <c r="HB169" s="11">
        <v>7.5</v>
      </c>
      <c r="HC169" s="1">
        <v>4</v>
      </c>
      <c r="HD169" s="35">
        <f t="shared" si="212"/>
        <v>742.5</v>
      </c>
      <c r="HE169" s="35">
        <f t="shared" si="231"/>
        <v>146</v>
      </c>
      <c r="HF169" s="15">
        <f t="shared" si="264"/>
        <v>1.6783049617319539</v>
      </c>
      <c r="HG169" s="28">
        <f t="shared" si="265"/>
        <v>561.77590993033891</v>
      </c>
      <c r="HH169" s="28">
        <f t="shared" si="266"/>
        <v>334.72814699338386</v>
      </c>
      <c r="HI169" s="33">
        <v>41</v>
      </c>
      <c r="HJ169" s="8">
        <v>21</v>
      </c>
      <c r="HK169" s="9">
        <v>13</v>
      </c>
      <c r="HL169" s="10">
        <v>6</v>
      </c>
      <c r="HM169" s="31">
        <v>0</v>
      </c>
      <c r="HU169" s="35">
        <f t="shared" si="213"/>
        <v>0</v>
      </c>
      <c r="HV169" s="35">
        <f t="shared" si="232"/>
        <v>0</v>
      </c>
      <c r="HW169" s="15">
        <f t="shared" si="267"/>
        <v>2.0416717636301244E-6</v>
      </c>
      <c r="HX169" s="28">
        <f t="shared" si="268"/>
        <v>8.5176794876876713E-7</v>
      </c>
      <c r="HY169" s="28">
        <f t="shared" si="269"/>
        <v>0.41719142319640568</v>
      </c>
      <c r="HZ169" s="33"/>
      <c r="ID169" s="31"/>
      <c r="II169" s="12"/>
      <c r="IL169" s="35">
        <f t="shared" si="214"/>
        <v>0</v>
      </c>
      <c r="IM169" s="35">
        <f t="shared" si="215"/>
        <v>5798.2589865751534</v>
      </c>
      <c r="IN169" s="15">
        <f t="shared" si="270"/>
        <v>6.4615344651935913E-2</v>
      </c>
      <c r="IO169" s="28">
        <f t="shared" si="271"/>
        <v>2.2725003603727498</v>
      </c>
      <c r="IP169" s="28">
        <f t="shared" si="272"/>
        <v>35.16967018614617</v>
      </c>
      <c r="IQ169" s="33"/>
      <c r="IU169" s="31"/>
      <c r="JC169" s="35">
        <f t="shared" si="180"/>
        <v>0</v>
      </c>
      <c r="JD169" s="35">
        <f t="shared" si="216"/>
        <v>6168.4259884831854</v>
      </c>
      <c r="JE169" s="15">
        <f t="shared" si="273"/>
        <v>2.5090218587762409E-2</v>
      </c>
      <c r="JF169" s="28">
        <f t="shared" si="274"/>
        <v>0.22827151564338344</v>
      </c>
      <c r="JG169" s="28">
        <f t="shared" si="275"/>
        <v>9.0980281755983334</v>
      </c>
      <c r="JH169" s="33"/>
      <c r="JL169" s="31"/>
      <c r="JR169" s="99"/>
      <c r="JS169" s="99"/>
      <c r="JT169" s="99"/>
      <c r="JU169" s="99"/>
      <c r="JV169" s="99"/>
      <c r="JW169" s="99"/>
      <c r="JX169" s="99"/>
      <c r="JY169" s="99"/>
      <c r="JZ169" s="99"/>
      <c r="KA169" s="99"/>
      <c r="KB169" s="99"/>
      <c r="KC169" s="99"/>
      <c r="KD169" s="99"/>
      <c r="KE169" s="99"/>
      <c r="KF169" s="99"/>
      <c r="KG169" s="99"/>
      <c r="KH169" s="99"/>
      <c r="KI169" s="99"/>
      <c r="KJ169" s="99"/>
      <c r="KK169" s="99"/>
      <c r="KL169" s="99"/>
      <c r="KM169" s="99"/>
      <c r="KN169" s="99"/>
      <c r="KO169" s="99"/>
      <c r="KP169" s="99"/>
      <c r="KQ169" s="99"/>
      <c r="KR169" s="99"/>
      <c r="KS169" s="99"/>
      <c r="KT169" s="99"/>
      <c r="KU169" s="99"/>
      <c r="KV169" s="99"/>
      <c r="KW169" s="99"/>
      <c r="KX169" s="99"/>
      <c r="KY169" s="99"/>
      <c r="KZ169" s="99"/>
      <c r="LA169" s="99"/>
      <c r="LB169" s="99"/>
      <c r="LC169" s="99"/>
      <c r="LD169" s="99"/>
      <c r="LE169" s="99"/>
      <c r="LF169" s="99"/>
      <c r="LG169" s="99"/>
      <c r="LH169" s="99"/>
      <c r="LI169" s="99"/>
      <c r="LJ169" s="99"/>
      <c r="LK169" s="99"/>
      <c r="LL169" s="99"/>
      <c r="LM169" s="99"/>
      <c r="LN169" s="99"/>
      <c r="LO169" s="99"/>
      <c r="LP169" s="99"/>
      <c r="LQ169" s="99"/>
      <c r="LR169" s="99"/>
      <c r="LS169" s="99"/>
      <c r="LT169" s="99"/>
      <c r="LU169" s="99"/>
      <c r="LV169" s="99"/>
      <c r="LW169" s="99"/>
      <c r="LX169" s="99"/>
      <c r="LY169" s="99"/>
      <c r="LZ169" s="99"/>
      <c r="MA169" s="99"/>
      <c r="MB169" s="99"/>
      <c r="MC169" s="99"/>
      <c r="MD169" s="99"/>
      <c r="ME169" s="99"/>
      <c r="MF169" s="99"/>
    </row>
    <row r="170" spans="1:344" ht="17.25" customHeight="1" x14ac:dyDescent="0.25">
      <c r="A170" s="156"/>
      <c r="B170" s="81" t="s">
        <v>6</v>
      </c>
      <c r="C170" s="82">
        <v>45304</v>
      </c>
      <c r="D170" s="49">
        <v>12</v>
      </c>
      <c r="E170" s="39">
        <v>11</v>
      </c>
      <c r="F170" s="103">
        <v>59</v>
      </c>
      <c r="G170" s="89">
        <f t="shared" si="194"/>
        <v>6.8018181818181809</v>
      </c>
      <c r="H170" s="35">
        <f t="shared" si="195"/>
        <v>401.30727272727268</v>
      </c>
      <c r="I170" s="39"/>
      <c r="L170" s="89">
        <f t="shared" si="196"/>
        <v>0</v>
      </c>
      <c r="M170" s="35">
        <f t="shared" si="217"/>
        <v>0</v>
      </c>
      <c r="N170" s="35">
        <f t="shared" si="218"/>
        <v>401.30727272727268</v>
      </c>
      <c r="O170" s="97">
        <f t="shared" si="333"/>
        <v>171.72727272727272</v>
      </c>
      <c r="P170" s="150"/>
      <c r="Q170" s="132">
        <f t="shared" ref="Q170" si="334">SUM(AD170+AI170+AU170+AZ170+BL170+BQ170+CC170+CH170+CT170+CY170+DK170+DP170+EB170+EG170+ES170+EX170+FJ170+FO170+GA170+GF170+GR170+GW170)/11</f>
        <v>20.181818181818183</v>
      </c>
      <c r="R170" s="134">
        <f t="shared" ref="R170" si="335">SUM(AE170+AJ170+AV170+BA170+BM170+BR170+CD170+CI170+CU170+CZ170+DL170+DQ170+EC170+EH170+ET170+EY170+FK170+FP170+GB170+GG170+GS170+GX170)/11</f>
        <v>18</v>
      </c>
      <c r="S170" s="136">
        <f t="shared" ref="S170" si="336">SUM(AF170+AK170+AW170+BB170+BN170+BS170+CE170+CJ170+CV170+DA170+DM170+DR170+ED170+EI170+EU170+EZ170+FL170+FQ170+GC170+GH170+GT170+GY170)/11</f>
        <v>17.09090909090909</v>
      </c>
      <c r="T170" s="138">
        <f t="shared" ref="T170" si="337">SUM(AG170+AL170+AX170+BC170+BO170+BT170+CF170+CK170+CW170+DB170+DN170+DS170+EE170+EJ170+EV170+FA170+FM170+FR170+GD170+GI170+GU170+GZ170)/11</f>
        <v>14.272727272727273</v>
      </c>
      <c r="U170" s="144">
        <f t="shared" ref="U170" si="338">SUM(AH170+AM170+AY170+BD170+BP170+BU170+CG170+CL170+CX170+DC170+DO170+DT170+EF170+EK170+EW170+FB170+FN170+FS170+GE170+GJ170+GV170+HA170)/11</f>
        <v>1.4363636363636363</v>
      </c>
      <c r="W170" s="11">
        <v>6</v>
      </c>
      <c r="X170" s="1">
        <v>0</v>
      </c>
      <c r="Y170" s="35">
        <f t="shared" si="201"/>
        <v>354</v>
      </c>
      <c r="Z170" s="35">
        <f t="shared" si="220"/>
        <v>204</v>
      </c>
      <c r="AA170" s="15">
        <f t="shared" si="233"/>
        <v>1.0799467315622757</v>
      </c>
      <c r="AB170" s="43">
        <f t="shared" si="298"/>
        <v>590.20946284984404</v>
      </c>
      <c r="AC170" s="43">
        <f t="shared" si="299"/>
        <v>546.51719904372828</v>
      </c>
      <c r="AD170" s="33">
        <v>10</v>
      </c>
      <c r="AE170" s="8">
        <v>18</v>
      </c>
      <c r="AF170" s="9">
        <v>17</v>
      </c>
      <c r="AG170" s="10">
        <v>23</v>
      </c>
      <c r="AH170" s="31">
        <v>3</v>
      </c>
      <c r="AN170" s="11">
        <v>7</v>
      </c>
      <c r="AP170" s="35">
        <f t="shared" si="202"/>
        <v>413</v>
      </c>
      <c r="AQ170" s="35">
        <f t="shared" si="221"/>
        <v>172</v>
      </c>
      <c r="AR170" s="15">
        <f t="shared" si="234"/>
        <v>1.1151985828906772</v>
      </c>
      <c r="AS170" s="28">
        <f t="shared" si="235"/>
        <v>632.27878229607938</v>
      </c>
      <c r="AT170" s="28">
        <f t="shared" si="236"/>
        <v>566.96519525443262</v>
      </c>
      <c r="AU170" s="33">
        <v>18</v>
      </c>
      <c r="AV170" s="8">
        <v>22</v>
      </c>
      <c r="AW170" s="9">
        <v>18</v>
      </c>
      <c r="AX170" s="10">
        <v>9</v>
      </c>
      <c r="AY170" s="31">
        <v>4</v>
      </c>
      <c r="BE170" s="11">
        <v>8</v>
      </c>
      <c r="BG170" s="35">
        <f t="shared" si="203"/>
        <v>472</v>
      </c>
      <c r="BH170" s="35">
        <f t="shared" si="222"/>
        <v>181</v>
      </c>
      <c r="BI170" s="15">
        <f t="shared" si="237"/>
        <v>1.9136613387578927</v>
      </c>
      <c r="BJ170" s="28">
        <f t="shared" si="238"/>
        <v>588.47945012648051</v>
      </c>
      <c r="BK170" s="28">
        <f t="shared" si="239"/>
        <v>307.51493914197329</v>
      </c>
      <c r="BL170" s="33">
        <v>13</v>
      </c>
      <c r="BM170" s="8">
        <v>21</v>
      </c>
      <c r="BN170" s="9">
        <v>19</v>
      </c>
      <c r="BO170" s="10">
        <v>16</v>
      </c>
      <c r="BP170" s="31">
        <v>1</v>
      </c>
      <c r="BV170" s="11">
        <v>6</v>
      </c>
      <c r="BX170" s="35">
        <f t="shared" si="204"/>
        <v>354</v>
      </c>
      <c r="BY170" s="35">
        <f t="shared" si="223"/>
        <v>190</v>
      </c>
      <c r="BZ170" s="15">
        <f t="shared" si="240"/>
        <v>1.0468517555059158</v>
      </c>
      <c r="CA170" s="28">
        <f t="shared" si="241"/>
        <v>499.07420414453139</v>
      </c>
      <c r="CB170" s="28">
        <f t="shared" si="242"/>
        <v>476.73818333842502</v>
      </c>
      <c r="CC170" s="33">
        <v>18</v>
      </c>
      <c r="CD170" s="8">
        <v>15</v>
      </c>
      <c r="CE170" s="9">
        <v>14</v>
      </c>
      <c r="CF170" s="10">
        <v>20</v>
      </c>
      <c r="CG170" s="31">
        <v>4</v>
      </c>
      <c r="CM170" s="11">
        <v>8</v>
      </c>
      <c r="CO170" s="35">
        <f t="shared" si="205"/>
        <v>472</v>
      </c>
      <c r="CP170" s="35">
        <f t="shared" si="224"/>
        <v>136</v>
      </c>
      <c r="CQ170" s="15">
        <f t="shared" si="243"/>
        <v>1.1625408208898549</v>
      </c>
      <c r="CR170" s="28">
        <f t="shared" si="244"/>
        <v>564.85391126244917</v>
      </c>
      <c r="CS170" s="28">
        <f t="shared" si="245"/>
        <v>485.87877613629735</v>
      </c>
      <c r="CT170" s="33">
        <v>34</v>
      </c>
      <c r="CU170" s="8">
        <v>18</v>
      </c>
      <c r="CV170" s="9">
        <v>11</v>
      </c>
      <c r="CW170" s="10">
        <v>7</v>
      </c>
      <c r="CX170" s="31">
        <v>1</v>
      </c>
      <c r="DD170" s="11">
        <v>4.5</v>
      </c>
      <c r="DF170" s="35">
        <f t="shared" si="206"/>
        <v>265.5</v>
      </c>
      <c r="DG170" s="35">
        <f t="shared" si="225"/>
        <v>178</v>
      </c>
      <c r="DH170" s="15">
        <f t="shared" si="246"/>
        <v>0.99404471424751462</v>
      </c>
      <c r="DI170" s="28">
        <f t="shared" si="247"/>
        <v>411.74359908160136</v>
      </c>
      <c r="DJ170" s="28">
        <f t="shared" si="248"/>
        <v>414.21034001804293</v>
      </c>
      <c r="DK170" s="33">
        <v>19</v>
      </c>
      <c r="DL170" s="8">
        <v>18</v>
      </c>
      <c r="DM170" s="9">
        <v>18</v>
      </c>
      <c r="DN170" s="10">
        <v>16</v>
      </c>
      <c r="DO170" s="31">
        <v>1</v>
      </c>
      <c r="DU170" s="11">
        <v>4.5</v>
      </c>
      <c r="DW170" s="35">
        <f t="shared" si="207"/>
        <v>265.5</v>
      </c>
      <c r="DX170" s="35">
        <f t="shared" si="226"/>
        <v>148</v>
      </c>
      <c r="DY170" s="15">
        <f t="shared" si="249"/>
        <v>0.9873642126245239</v>
      </c>
      <c r="DZ170" s="28">
        <f t="shared" si="250"/>
        <v>408.22863969228877</v>
      </c>
      <c r="EA170" s="28">
        <f t="shared" si="251"/>
        <v>413.45294317197465</v>
      </c>
      <c r="EB170" s="33">
        <v>25</v>
      </c>
      <c r="EC170" s="8">
        <v>19</v>
      </c>
      <c r="ED170" s="9">
        <v>23</v>
      </c>
      <c r="EE170" s="10">
        <v>4</v>
      </c>
      <c r="EF170" s="31">
        <v>0</v>
      </c>
      <c r="EL170" s="11">
        <v>7</v>
      </c>
      <c r="EN170" s="35">
        <f t="shared" si="208"/>
        <v>413</v>
      </c>
      <c r="EO170" s="35">
        <f t="shared" si="227"/>
        <v>181</v>
      </c>
      <c r="EP170" s="15">
        <f t="shared" si="252"/>
        <v>1.1376567173072338</v>
      </c>
      <c r="EQ170" s="28">
        <f t="shared" si="253"/>
        <v>582.87799423432693</v>
      </c>
      <c r="ER170" s="28">
        <f t="shared" si="254"/>
        <v>512.34962653230286</v>
      </c>
      <c r="ES170" s="33">
        <v>16</v>
      </c>
      <c r="ET170" s="8">
        <v>18</v>
      </c>
      <c r="EU170" s="9">
        <v>20</v>
      </c>
      <c r="EV170" s="10">
        <v>17</v>
      </c>
      <c r="EW170" s="31">
        <v>0.2</v>
      </c>
      <c r="FC170" s="11">
        <v>7.8</v>
      </c>
      <c r="FE170" s="35">
        <f t="shared" si="209"/>
        <v>460.2</v>
      </c>
      <c r="FF170" s="35">
        <f t="shared" si="228"/>
        <v>161.5</v>
      </c>
      <c r="FG170" s="15">
        <f t="shared" si="255"/>
        <v>1.1395213305615928</v>
      </c>
      <c r="FH170" s="28">
        <f t="shared" si="256"/>
        <v>663.53204674719427</v>
      </c>
      <c r="FI170" s="28">
        <f t="shared" si="257"/>
        <v>582.29015021613009</v>
      </c>
      <c r="FJ170" s="33">
        <v>24</v>
      </c>
      <c r="FK170" s="8">
        <v>17</v>
      </c>
      <c r="FL170" s="9">
        <v>13</v>
      </c>
      <c r="FM170" s="10">
        <v>16</v>
      </c>
      <c r="FN170" s="31">
        <v>0.1</v>
      </c>
      <c r="FT170" s="11">
        <v>9</v>
      </c>
      <c r="FV170" s="35">
        <f t="shared" si="210"/>
        <v>531</v>
      </c>
      <c r="FW170" s="35">
        <f t="shared" si="229"/>
        <v>184</v>
      </c>
      <c r="FX170" s="15">
        <f t="shared" si="258"/>
        <v>1.1234611490054636</v>
      </c>
      <c r="FY170" s="28">
        <f t="shared" si="259"/>
        <v>639.05793989628546</v>
      </c>
      <c r="FZ170" s="28">
        <f t="shared" si="260"/>
        <v>568.82958566213631</v>
      </c>
      <c r="GA170" s="33">
        <v>17</v>
      </c>
      <c r="GB170" s="8">
        <v>16</v>
      </c>
      <c r="GC170" s="9">
        <v>18</v>
      </c>
      <c r="GD170" s="10">
        <v>19</v>
      </c>
      <c r="GE170" s="31">
        <v>1</v>
      </c>
      <c r="GK170" s="11">
        <v>7.02</v>
      </c>
      <c r="GM170" s="35">
        <f t="shared" si="211"/>
        <v>414.17999999999995</v>
      </c>
      <c r="GN170" s="35">
        <f t="shared" si="230"/>
        <v>153.5</v>
      </c>
      <c r="GO170" s="15">
        <f t="shared" si="261"/>
        <v>1.0829676897139893</v>
      </c>
      <c r="GP170" s="28">
        <f t="shared" si="262"/>
        <v>650.36556472946461</v>
      </c>
      <c r="GQ170" s="28">
        <f t="shared" si="263"/>
        <v>600.54013698342703</v>
      </c>
      <c r="GR170" s="33">
        <v>28</v>
      </c>
      <c r="GS170" s="8">
        <v>16</v>
      </c>
      <c r="GT170" s="9">
        <v>17</v>
      </c>
      <c r="GU170" s="10">
        <v>10</v>
      </c>
      <c r="GV170" s="31">
        <v>0.5</v>
      </c>
      <c r="HB170" s="11">
        <v>6.2</v>
      </c>
      <c r="HD170" s="35">
        <f t="shared" si="212"/>
        <v>365.8</v>
      </c>
      <c r="HE170" s="35">
        <f t="shared" si="231"/>
        <v>118</v>
      </c>
      <c r="HF170" s="15">
        <f t="shared" si="264"/>
        <v>1.5221906355696033</v>
      </c>
      <c r="HG170" s="28">
        <f t="shared" si="265"/>
        <v>512.78193244775423</v>
      </c>
      <c r="HH170" s="28">
        <f t="shared" si="266"/>
        <v>336.87103340763321</v>
      </c>
      <c r="HI170" s="33">
        <v>45</v>
      </c>
      <c r="HJ170" s="8">
        <v>11</v>
      </c>
      <c r="HK170" s="9">
        <v>13</v>
      </c>
      <c r="HL170" s="10">
        <v>3</v>
      </c>
      <c r="HM170" s="31">
        <v>0</v>
      </c>
      <c r="HU170" s="35">
        <f t="shared" si="213"/>
        <v>0</v>
      </c>
      <c r="HV170" s="35">
        <f t="shared" si="232"/>
        <v>0</v>
      </c>
      <c r="HW170" s="15">
        <f t="shared" si="267"/>
        <v>1.6446800318131554E-6</v>
      </c>
      <c r="HX170" s="28">
        <f t="shared" si="268"/>
        <v>6.388259615765753E-7</v>
      </c>
      <c r="HY170" s="28">
        <f t="shared" si="269"/>
        <v>0.3884196009069984</v>
      </c>
      <c r="HZ170" s="33"/>
      <c r="ID170" s="31"/>
      <c r="II170" s="12"/>
      <c r="IL170" s="35">
        <f t="shared" si="214"/>
        <v>0</v>
      </c>
      <c r="IM170" s="35">
        <f t="shared" si="215"/>
        <v>5307.1282885367682</v>
      </c>
      <c r="IN170" s="15">
        <f t="shared" si="270"/>
        <v>5.2051249858503935E-2</v>
      </c>
      <c r="IO170" s="28">
        <f t="shared" si="271"/>
        <v>1.7043752702795625</v>
      </c>
      <c r="IP170" s="28">
        <f t="shared" si="272"/>
        <v>32.744175690549881</v>
      </c>
      <c r="IQ170" s="33"/>
      <c r="IU170" s="31"/>
      <c r="JC170" s="35">
        <f t="shared" si="180"/>
        <v>0</v>
      </c>
      <c r="JD170" s="35">
        <f t="shared" si="216"/>
        <v>5572.297148193953</v>
      </c>
      <c r="JE170" s="15">
        <f t="shared" si="273"/>
        <v>2.0211564973475277E-2</v>
      </c>
      <c r="JF170" s="28">
        <f t="shared" si="274"/>
        <v>0.17120363673253758</v>
      </c>
      <c r="JG170" s="28">
        <f t="shared" si="275"/>
        <v>8.4705779565915513</v>
      </c>
      <c r="JH170" s="33"/>
      <c r="JL170" s="31"/>
      <c r="JR170" s="99"/>
      <c r="JS170" s="99"/>
      <c r="JT170" s="99"/>
      <c r="JU170" s="99"/>
      <c r="JV170" s="99"/>
      <c r="JW170" s="99"/>
      <c r="JX170" s="99"/>
      <c r="JY170" s="99"/>
      <c r="JZ170" s="99"/>
      <c r="KA170" s="99"/>
      <c r="KB170" s="99"/>
      <c r="KC170" s="99"/>
      <c r="KD170" s="99"/>
      <c r="KE170" s="99"/>
      <c r="KF170" s="99"/>
      <c r="KG170" s="99"/>
      <c r="KH170" s="99"/>
      <c r="KI170" s="99"/>
      <c r="KJ170" s="99"/>
      <c r="KK170" s="99"/>
      <c r="KL170" s="99"/>
      <c r="KM170" s="99"/>
      <c r="KN170" s="99"/>
      <c r="KO170" s="99"/>
      <c r="KP170" s="99"/>
      <c r="KQ170" s="99"/>
      <c r="KR170" s="99"/>
      <c r="KS170" s="99"/>
      <c r="KT170" s="99"/>
      <c r="KU170" s="99"/>
      <c r="KV170" s="99"/>
      <c r="KW170" s="99"/>
      <c r="KX170" s="99"/>
      <c r="KY170" s="99"/>
      <c r="KZ170" s="99"/>
      <c r="LA170" s="99"/>
      <c r="LB170" s="99"/>
      <c r="LC170" s="99"/>
      <c r="LD170" s="99"/>
      <c r="LE170" s="99"/>
      <c r="LF170" s="99"/>
      <c r="LG170" s="99"/>
      <c r="LH170" s="99"/>
      <c r="LI170" s="99"/>
      <c r="LJ170" s="99"/>
      <c r="LK170" s="99"/>
      <c r="LL170" s="99"/>
      <c r="LM170" s="99"/>
      <c r="LN170" s="99"/>
      <c r="LO170" s="99"/>
      <c r="LP170" s="99"/>
      <c r="LQ170" s="99"/>
      <c r="LR170" s="99"/>
      <c r="LS170" s="99"/>
      <c r="LT170" s="99"/>
      <c r="LU170" s="99"/>
      <c r="LV170" s="99"/>
      <c r="LW170" s="99"/>
      <c r="LX170" s="99"/>
      <c r="LY170" s="99"/>
      <c r="LZ170" s="99"/>
      <c r="MA170" s="99"/>
      <c r="MB170" s="99"/>
      <c r="MC170" s="99"/>
      <c r="MD170" s="99"/>
      <c r="ME170" s="99"/>
      <c r="MF170" s="99"/>
    </row>
    <row r="171" spans="1:344" ht="17.25" customHeight="1" x14ac:dyDescent="0.25">
      <c r="A171" s="157"/>
      <c r="B171" s="92" t="s">
        <v>7</v>
      </c>
      <c r="C171" s="93">
        <v>45305</v>
      </c>
      <c r="D171" s="51"/>
      <c r="E171" s="48"/>
      <c r="F171" s="104"/>
      <c r="G171" s="37">
        <f t="shared" si="194"/>
        <v>0</v>
      </c>
      <c r="H171" s="26">
        <f t="shared" si="195"/>
        <v>0</v>
      </c>
      <c r="I171" s="48">
        <v>12</v>
      </c>
      <c r="J171" s="48">
        <v>11</v>
      </c>
      <c r="K171" s="104">
        <v>100</v>
      </c>
      <c r="L171" s="37">
        <f t="shared" si="196"/>
        <v>8</v>
      </c>
      <c r="M171" s="26">
        <f t="shared" si="217"/>
        <v>800</v>
      </c>
      <c r="N171" s="26">
        <f t="shared" si="218"/>
        <v>800</v>
      </c>
      <c r="O171" s="98">
        <f>SUM($Z171,$BH171,$AQ171,$BY171,$CP171,$DG171,$DX171,$EO171,$FF171,$FW171,$GN171)/J171</f>
        <v>0</v>
      </c>
      <c r="P171" s="151"/>
      <c r="Q171" s="139">
        <f t="shared" ref="Q171" si="339">SUM(AD171+AI171+AU171+AZ171+BL171+BQ171+CC171+CH171+CT171+CY171+DK171+DP171+EB171+EG171+ES171+EX171+FJ171+FO171+GA171+GF171+GR171+GW171)/10</f>
        <v>0</v>
      </c>
      <c r="R171" s="140">
        <f t="shared" ref="R171" si="340">SUM(AE171+AJ171+AV171+BA171+BM171+BR171+CD171+CI171+CU171+CZ171+DL171+DQ171+EC171+EH171+ET171+EY171+FK171+FP171+GB171+GG171+GS171+GX171)/10</f>
        <v>0</v>
      </c>
      <c r="S171" s="141">
        <f t="shared" ref="S171" si="341">SUM(AF171+AK171+AW171+BB171+BN171+BS171+CE171+CJ171+CV171+DA171+DM171+DR171+ED171+EI171+EU171+EZ171+FL171+FQ171+GC171+GH171+GT171+GY171)/10</f>
        <v>0</v>
      </c>
      <c r="T171" s="142">
        <f t="shared" ref="T171" si="342">SUM(AG171+AL171+AX171+BC171+BO171+BT171+CF171+CK171+CW171+DB171+DN171+DS171+EE171+EJ171+EV171+FA171+FM171+FR171+GD171+GI171+GU171+GZ171)/10</f>
        <v>0</v>
      </c>
      <c r="U171" s="145">
        <f t="shared" ref="U171" si="343">SUM(AH171+AM171+AY171+BD171+BP171+BU171+CG171+CL171+CX171+DC171+DO171+DT171+EF171+EK171+EW171+FB171+FN171+FS171+GE171+GJ171+GV171+HA171)/10</f>
        <v>0</v>
      </c>
      <c r="V171" s="23"/>
      <c r="W171" s="13">
        <v>0</v>
      </c>
      <c r="X171" s="2">
        <v>8.8000000000000007</v>
      </c>
      <c r="Y171" s="26">
        <f t="shared" si="201"/>
        <v>880.00000000000011</v>
      </c>
      <c r="Z171" s="26">
        <f t="shared" si="220"/>
        <v>0</v>
      </c>
      <c r="AA171" s="16">
        <f t="shared" si="233"/>
        <v>1.1635442764108919</v>
      </c>
      <c r="AB171" s="44">
        <f t="shared" si="298"/>
        <v>662.65709713738306</v>
      </c>
      <c r="AC171" s="44">
        <f t="shared" si="299"/>
        <v>569.51601290278154</v>
      </c>
      <c r="AD171" s="34"/>
      <c r="AE171" s="4"/>
      <c r="AF171" s="5"/>
      <c r="AG171" s="6"/>
      <c r="AH171" s="32"/>
      <c r="AI171" s="3"/>
      <c r="AJ171" s="4"/>
      <c r="AK171" s="5"/>
      <c r="AL171" s="6"/>
      <c r="AM171" s="14"/>
      <c r="AN171" s="13"/>
      <c r="AO171" s="2">
        <v>7</v>
      </c>
      <c r="AP171" s="26">
        <f t="shared" si="202"/>
        <v>700</v>
      </c>
      <c r="AQ171" s="26">
        <f t="shared" si="221"/>
        <v>0</v>
      </c>
      <c r="AR171" s="16">
        <f t="shared" si="234"/>
        <v>1.1268252094252784</v>
      </c>
      <c r="AS171" s="29">
        <f t="shared" si="235"/>
        <v>649.20908672205951</v>
      </c>
      <c r="AT171" s="29">
        <f t="shared" si="236"/>
        <v>576.14000937481649</v>
      </c>
      <c r="AU171" s="34"/>
      <c r="AV171" s="4"/>
      <c r="AW171" s="5"/>
      <c r="AX171" s="6"/>
      <c r="AY171" s="32"/>
      <c r="AZ171" s="3"/>
      <c r="BA171" s="4"/>
      <c r="BB171" s="5"/>
      <c r="BC171" s="6"/>
      <c r="BD171" s="14"/>
      <c r="BE171" s="13"/>
      <c r="BF171" s="2"/>
      <c r="BG171" s="26">
        <f>(BE171*$F171)+2*$K171</f>
        <v>200</v>
      </c>
      <c r="BH171" s="26">
        <f t="shared" si="222"/>
        <v>0</v>
      </c>
      <c r="BI171" s="16">
        <f t="shared" si="237"/>
        <v>1.637318887272567</v>
      </c>
      <c r="BJ171" s="29">
        <f t="shared" si="238"/>
        <v>491.35958759486039</v>
      </c>
      <c r="BK171" s="29">
        <f t="shared" si="239"/>
        <v>300.10011575287166</v>
      </c>
      <c r="BL171" s="34"/>
      <c r="BM171" s="4"/>
      <c r="BN171" s="5"/>
      <c r="BO171" s="6"/>
      <c r="BP171" s="32"/>
      <c r="BQ171" s="3"/>
      <c r="BR171" s="4"/>
      <c r="BS171" s="5"/>
      <c r="BT171" s="6"/>
      <c r="BU171" s="14"/>
      <c r="BV171" s="13"/>
      <c r="BW171" s="2"/>
      <c r="BX171" s="26">
        <f>(BV171*$F171)+2*$K171</f>
        <v>200</v>
      </c>
      <c r="BY171" s="26">
        <f t="shared" si="223"/>
        <v>0</v>
      </c>
      <c r="BZ171" s="16">
        <f t="shared" si="240"/>
        <v>0.92713441520851936</v>
      </c>
      <c r="CA171" s="29">
        <f t="shared" si="241"/>
        <v>424.30565310839853</v>
      </c>
      <c r="CB171" s="29">
        <f t="shared" si="242"/>
        <v>457.65279138405089</v>
      </c>
      <c r="CC171" s="34"/>
      <c r="CD171" s="4"/>
      <c r="CE171" s="5"/>
      <c r="CF171" s="6"/>
      <c r="CG171" s="32"/>
      <c r="CH171" s="3"/>
      <c r="CI171" s="4"/>
      <c r="CJ171" s="5"/>
      <c r="CK171" s="6"/>
      <c r="CL171" s="14"/>
      <c r="CM171" s="13"/>
      <c r="CN171" s="2">
        <v>10</v>
      </c>
      <c r="CO171" s="26">
        <f t="shared" si="205"/>
        <v>1000</v>
      </c>
      <c r="CP171" s="26">
        <f t="shared" si="224"/>
        <v>0</v>
      </c>
      <c r="CQ171" s="16">
        <f t="shared" si="243"/>
        <v>1.2921440163067996</v>
      </c>
      <c r="CR171" s="29">
        <f t="shared" si="244"/>
        <v>673.64043344683682</v>
      </c>
      <c r="CS171" s="29">
        <f t="shared" si="245"/>
        <v>521.33541226482862</v>
      </c>
      <c r="CT171" s="34"/>
      <c r="CU171" s="4"/>
      <c r="CV171" s="5"/>
      <c r="CW171" s="6"/>
      <c r="CX171" s="32"/>
      <c r="CY171" s="3"/>
      <c r="CZ171" s="4"/>
      <c r="DA171" s="5"/>
      <c r="DB171" s="6"/>
      <c r="DC171" s="14"/>
      <c r="DD171" s="13"/>
      <c r="DE171" s="2">
        <v>7.7</v>
      </c>
      <c r="DF171" s="26">
        <f t="shared" si="206"/>
        <v>770</v>
      </c>
      <c r="DG171" s="26">
        <f t="shared" si="225"/>
        <v>0</v>
      </c>
      <c r="DH171" s="16">
        <f t="shared" si="246"/>
        <v>1.1425880104176132</v>
      </c>
      <c r="DI171" s="29">
        <f t="shared" si="247"/>
        <v>501.30769931120102</v>
      </c>
      <c r="DJ171" s="29">
        <f t="shared" si="248"/>
        <v>438.74755794783306</v>
      </c>
      <c r="DK171" s="34"/>
      <c r="DL171" s="4"/>
      <c r="DM171" s="5"/>
      <c r="DN171" s="6"/>
      <c r="DO171" s="32"/>
      <c r="DP171" s="3"/>
      <c r="DQ171" s="4"/>
      <c r="DR171" s="5"/>
      <c r="DS171" s="6"/>
      <c r="DT171" s="14"/>
      <c r="DU171" s="13"/>
      <c r="DV171" s="2">
        <v>7.5</v>
      </c>
      <c r="DW171" s="26">
        <f t="shared" si="207"/>
        <v>750</v>
      </c>
      <c r="DX171" s="26">
        <f t="shared" si="226"/>
        <v>0</v>
      </c>
      <c r="DY171" s="16">
        <f t="shared" si="249"/>
        <v>1.1305546465970147</v>
      </c>
      <c r="DZ171" s="29">
        <f t="shared" si="250"/>
        <v>493.6714797692166</v>
      </c>
      <c r="EA171" s="29">
        <f t="shared" si="251"/>
        <v>436.66308502218328</v>
      </c>
      <c r="EB171" s="34"/>
      <c r="EC171" s="4"/>
      <c r="ED171" s="5"/>
      <c r="EE171" s="6"/>
      <c r="EF171" s="32"/>
      <c r="EG171" s="3"/>
      <c r="EH171" s="4"/>
      <c r="EI171" s="5"/>
      <c r="EJ171" s="6"/>
      <c r="EK171" s="14"/>
      <c r="EL171" s="13"/>
      <c r="EM171" s="2">
        <v>6</v>
      </c>
      <c r="EN171" s="26">
        <f t="shared" si="208"/>
        <v>600</v>
      </c>
      <c r="EO171" s="26">
        <f t="shared" si="227"/>
        <v>0</v>
      </c>
      <c r="EP171" s="16">
        <f t="shared" si="252"/>
        <v>1.1326480479063674</v>
      </c>
      <c r="EQ171" s="29">
        <f t="shared" si="253"/>
        <v>587.15849567574514</v>
      </c>
      <c r="ER171" s="29">
        <f t="shared" si="254"/>
        <v>518.39447987490269</v>
      </c>
      <c r="ES171" s="34"/>
      <c r="ET171" s="4"/>
      <c r="EU171" s="5"/>
      <c r="EV171" s="6"/>
      <c r="EW171" s="32"/>
      <c r="EX171" s="3"/>
      <c r="EY171" s="4"/>
      <c r="EZ171" s="5"/>
      <c r="FA171" s="6"/>
      <c r="FB171" s="14"/>
      <c r="FC171" s="13"/>
      <c r="FD171" s="2">
        <v>9</v>
      </c>
      <c r="FE171" s="26">
        <f t="shared" si="209"/>
        <v>900</v>
      </c>
      <c r="FF171" s="26">
        <f t="shared" si="228"/>
        <v>0</v>
      </c>
      <c r="FG171" s="16">
        <f t="shared" si="255"/>
        <v>1.1960404344642201</v>
      </c>
      <c r="FH171" s="29">
        <f t="shared" si="256"/>
        <v>722.6490350603957</v>
      </c>
      <c r="FI171" s="29">
        <f t="shared" si="257"/>
        <v>604.20117433915561</v>
      </c>
      <c r="FJ171" s="34"/>
      <c r="FK171" s="4"/>
      <c r="FL171" s="5"/>
      <c r="FM171" s="6"/>
      <c r="FN171" s="32"/>
      <c r="FO171" s="3"/>
      <c r="FP171" s="4"/>
      <c r="FQ171" s="5"/>
      <c r="FR171" s="6"/>
      <c r="FS171" s="14"/>
      <c r="FT171" s="13"/>
      <c r="FU171" s="2">
        <v>7</v>
      </c>
      <c r="FV171" s="26">
        <f t="shared" si="210"/>
        <v>700</v>
      </c>
      <c r="FW171" s="26">
        <f t="shared" si="229"/>
        <v>0</v>
      </c>
      <c r="FX171" s="16">
        <f t="shared" si="258"/>
        <v>1.1322388495829088</v>
      </c>
      <c r="FY171" s="29">
        <f t="shared" si="259"/>
        <v>654.2934549222141</v>
      </c>
      <c r="FZ171" s="29">
        <f t="shared" si="260"/>
        <v>577.87582113371309</v>
      </c>
      <c r="GA171" s="34"/>
      <c r="GB171" s="4"/>
      <c r="GC171" s="5"/>
      <c r="GD171" s="6"/>
      <c r="GE171" s="32"/>
      <c r="GF171" s="3"/>
      <c r="GG171" s="4"/>
      <c r="GH171" s="5"/>
      <c r="GI171" s="6"/>
      <c r="GJ171" s="14"/>
      <c r="GK171" s="13"/>
      <c r="GL171" s="2">
        <v>9</v>
      </c>
      <c r="GM171" s="26">
        <f t="shared" si="211"/>
        <v>900</v>
      </c>
      <c r="GN171" s="26">
        <f t="shared" si="230"/>
        <v>0</v>
      </c>
      <c r="GO171" s="16">
        <f t="shared" si="261"/>
        <v>1.1474287376691765</v>
      </c>
      <c r="GP171" s="29">
        <f t="shared" si="262"/>
        <v>712.77417354709848</v>
      </c>
      <c r="GQ171" s="29">
        <f t="shared" si="263"/>
        <v>621.19254132939761</v>
      </c>
      <c r="GR171" s="34"/>
      <c r="GS171" s="4"/>
      <c r="GT171" s="5"/>
      <c r="GU171" s="6"/>
      <c r="GV171" s="32"/>
      <c r="GW171" s="3"/>
      <c r="GX171" s="4"/>
      <c r="GY171" s="5"/>
      <c r="GZ171" s="6"/>
      <c r="HA171" s="14"/>
      <c r="HB171" s="13"/>
      <c r="HC171" s="2"/>
      <c r="HD171" s="26">
        <f t="shared" si="212"/>
        <v>0</v>
      </c>
      <c r="HE171" s="26">
        <f t="shared" si="231"/>
        <v>0</v>
      </c>
      <c r="HF171" s="16">
        <f t="shared" si="264"/>
        <v>1.2262091230977361</v>
      </c>
      <c r="HG171" s="29">
        <f t="shared" si="265"/>
        <v>384.5864493358157</v>
      </c>
      <c r="HH171" s="29">
        <f t="shared" si="266"/>
        <v>313.6385483450378</v>
      </c>
      <c r="HI171" s="34"/>
      <c r="HJ171" s="4"/>
      <c r="HK171" s="5"/>
      <c r="HL171" s="6"/>
      <c r="HM171" s="32"/>
      <c r="HN171" s="3"/>
      <c r="HO171" s="4"/>
      <c r="HP171" s="5"/>
      <c r="HQ171" s="6"/>
      <c r="HR171" s="14"/>
      <c r="HS171" s="13"/>
      <c r="HT171" s="2"/>
      <c r="HU171" s="26">
        <f t="shared" si="213"/>
        <v>0</v>
      </c>
      <c r="HV171" s="26">
        <f t="shared" si="232"/>
        <v>0</v>
      </c>
      <c r="HW171" s="16">
        <f t="shared" si="267"/>
        <v>1.3248811367383751E-6</v>
      </c>
      <c r="HX171" s="29">
        <f t="shared" si="268"/>
        <v>4.7911947118243142E-7</v>
      </c>
      <c r="HY171" s="29">
        <f t="shared" si="269"/>
        <v>0.36163204222375711</v>
      </c>
      <c r="HZ171" s="34"/>
      <c r="IA171" s="4"/>
      <c r="IB171" s="5"/>
      <c r="IC171" s="6"/>
      <c r="ID171" s="32"/>
      <c r="IE171" s="3"/>
      <c r="IF171" s="4"/>
      <c r="IG171" s="5"/>
      <c r="IH171" s="6"/>
      <c r="II171" s="14"/>
      <c r="IJ171" s="13"/>
      <c r="IK171" s="2"/>
      <c r="IL171" s="26">
        <f t="shared" si="214"/>
        <v>0</v>
      </c>
      <c r="IM171" s="26">
        <f t="shared" si="215"/>
        <v>4188.267972599474</v>
      </c>
      <c r="IN171" s="16">
        <f t="shared" si="270"/>
        <v>4.1930173497128166E-2</v>
      </c>
      <c r="IO171" s="29">
        <f t="shared" si="271"/>
        <v>1.2782814527096718</v>
      </c>
      <c r="IP171" s="29">
        <f t="shared" si="272"/>
        <v>30.48595667740851</v>
      </c>
      <c r="IQ171" s="34"/>
      <c r="IR171" s="4"/>
      <c r="IS171" s="5"/>
      <c r="IT171" s="6"/>
      <c r="IU171" s="32"/>
      <c r="IV171" s="3"/>
      <c r="IW171" s="4"/>
      <c r="IX171" s="5"/>
      <c r="IY171" s="6"/>
      <c r="IZ171" s="14"/>
      <c r="JA171" s="13"/>
      <c r="JB171" s="2"/>
      <c r="JC171" s="26">
        <f t="shared" si="180"/>
        <v>0</v>
      </c>
      <c r="JD171" s="26">
        <f t="shared" si="216"/>
        <v>6305.1152271604115</v>
      </c>
      <c r="JE171" s="16">
        <f t="shared" si="273"/>
        <v>1.6281538450855084E-2</v>
      </c>
      <c r="JF171" s="29">
        <f t="shared" si="274"/>
        <v>0.12840272754940318</v>
      </c>
      <c r="JG171" s="29">
        <f t="shared" si="275"/>
        <v>7.8864001664817893</v>
      </c>
      <c r="JH171" s="34"/>
      <c r="JI171" s="4"/>
      <c r="JJ171" s="5"/>
      <c r="JK171" s="6"/>
      <c r="JL171" s="32"/>
      <c r="JM171" s="3"/>
      <c r="JN171" s="4"/>
      <c r="JO171" s="5"/>
      <c r="JP171" s="6"/>
      <c r="JQ171" s="14"/>
      <c r="JR171" s="99"/>
      <c r="JS171" s="99"/>
      <c r="JT171" s="99"/>
      <c r="JU171" s="99"/>
      <c r="JV171" s="99"/>
      <c r="JW171" s="99"/>
      <c r="JX171" s="99"/>
      <c r="JY171" s="99"/>
      <c r="JZ171" s="99"/>
      <c r="KA171" s="99"/>
      <c r="KB171" s="99"/>
      <c r="KC171" s="99"/>
      <c r="KD171" s="99"/>
      <c r="KE171" s="99"/>
      <c r="KF171" s="99"/>
      <c r="KG171" s="99"/>
      <c r="KH171" s="99"/>
      <c r="KI171" s="99"/>
      <c r="KJ171" s="99"/>
      <c r="KK171" s="99"/>
      <c r="KL171" s="99"/>
      <c r="KM171" s="99"/>
      <c r="KN171" s="99"/>
      <c r="KO171" s="99"/>
      <c r="KP171" s="99"/>
      <c r="KQ171" s="99"/>
      <c r="KR171" s="99"/>
      <c r="KS171" s="99"/>
      <c r="KT171" s="99"/>
      <c r="KU171" s="99"/>
      <c r="KV171" s="99"/>
      <c r="KW171" s="99"/>
      <c r="KX171" s="99"/>
      <c r="KY171" s="99"/>
      <c r="KZ171" s="99"/>
      <c r="LA171" s="99"/>
      <c r="LB171" s="99"/>
      <c r="LC171" s="99"/>
      <c r="LD171" s="99"/>
      <c r="LE171" s="99"/>
      <c r="LF171" s="99"/>
      <c r="LG171" s="99"/>
      <c r="LH171" s="99"/>
      <c r="LI171" s="99"/>
      <c r="LJ171" s="99"/>
      <c r="LK171" s="99"/>
      <c r="LL171" s="99"/>
      <c r="LM171" s="99"/>
      <c r="LN171" s="99"/>
      <c r="LO171" s="99"/>
      <c r="LP171" s="99"/>
      <c r="LQ171" s="99"/>
      <c r="LR171" s="99"/>
      <c r="LS171" s="99"/>
      <c r="LT171" s="99"/>
      <c r="LU171" s="99"/>
      <c r="LV171" s="99"/>
      <c r="LW171" s="99"/>
      <c r="LX171" s="99"/>
      <c r="LY171" s="99"/>
      <c r="LZ171" s="99"/>
      <c r="MA171" s="99"/>
      <c r="MB171" s="99"/>
      <c r="MC171" s="99"/>
      <c r="MD171" s="99"/>
      <c r="ME171" s="99"/>
      <c r="MF171" s="99"/>
    </row>
    <row r="172" spans="1:344" ht="17.25" customHeight="1" x14ac:dyDescent="0.25">
      <c r="A172" s="155" t="s">
        <v>30</v>
      </c>
      <c r="B172" s="79" t="s">
        <v>1</v>
      </c>
      <c r="C172" s="80">
        <v>45306</v>
      </c>
      <c r="D172" s="50"/>
      <c r="G172" s="36">
        <f t="shared" si="194"/>
        <v>0</v>
      </c>
      <c r="H172" s="27">
        <f t="shared" si="195"/>
        <v>0</v>
      </c>
      <c r="I172" s="47">
        <v>12</v>
      </c>
      <c r="J172" s="39">
        <v>11</v>
      </c>
      <c r="K172" s="105">
        <v>73</v>
      </c>
      <c r="L172" s="89">
        <f t="shared" si="196"/>
        <v>7.2363636363636354</v>
      </c>
      <c r="M172" s="27">
        <f t="shared" si="217"/>
        <v>528.25454545454534</v>
      </c>
      <c r="N172" s="35">
        <f t="shared" si="218"/>
        <v>528.25454545454534</v>
      </c>
      <c r="O172" s="97">
        <f>SUM($Z172,$BH172,$AQ172,$BY172,$CP172,$DG172,$DX172,$EO172,$FF172,$FW172,$GN172)/J172</f>
        <v>179.53636363636363</v>
      </c>
      <c r="P172" s="149">
        <f t="shared" ref="P172" si="344">SUM(N172:N178)</f>
        <v>3675.0951515151514</v>
      </c>
      <c r="Q172" s="131">
        <f>SUM(AD172+AI172+AU172+AZ172+BL172+BQ172+CC172+CH172+CT172+CY172+DK172+DP172+EB172+EG172+ES172+EX172+FJ172+FO172+GA172+GF172+GR172+GW172)/11</f>
        <v>22</v>
      </c>
      <c r="R172" s="133">
        <f>SUM(AE172+AJ172+AV172+BA172+BM172+BR172+CD172+CI172+CU172+CZ172+DL172+DQ172+EC172+EH172+ET172+EY172+FK172+FP172+GB172+GG172+GS172+GX172)/11</f>
        <v>19.454545454545453</v>
      </c>
      <c r="S172" s="135">
        <f>SUM(AF172+AK172+AW172+BB172+BN172+BS172+CE172+CJ172+CV172+DA172+DM172+DR172+ED172+EI172+EU172+EZ172+FL172+FQ172+GC172+GH172+GT172+GY172)/11</f>
        <v>21</v>
      </c>
      <c r="T172" s="137">
        <f>SUM(AG172+AL172+AX172+BC172+BO172+BT172+CF172+CK172+CW172+DB172+DN172+DS172+EE172+EJ172+EV172+FA172+FM172+FR172+GD172+GI172+GU172+GZ172)/11</f>
        <v>11.463636363636363</v>
      </c>
      <c r="U172" s="143">
        <f>SUM(AH172+AM172+AY172+BD172+BP172+BU172+CG172+CL172+CX172+DC172+DO172+DT172+EF172+EK172+EW172+FB172+FN172+FS172+GE172+GJ172+GV172+HA172)/11</f>
        <v>1.9545454545454546</v>
      </c>
      <c r="W172" s="11">
        <v>0</v>
      </c>
      <c r="X172" s="1">
        <v>0</v>
      </c>
      <c r="Y172" s="27">
        <f t="shared" si="201"/>
        <v>0</v>
      </c>
      <c r="Z172" s="27">
        <f t="shared" si="220"/>
        <v>213</v>
      </c>
      <c r="AA172" s="15">
        <f t="shared" si="233"/>
        <v>0.93729955599766279</v>
      </c>
      <c r="AB172" s="43">
        <f t="shared" si="298"/>
        <v>496.9928228530373</v>
      </c>
      <c r="AC172" s="43">
        <f t="shared" si="299"/>
        <v>530.23904649569317</v>
      </c>
      <c r="AD172" s="33"/>
      <c r="AH172" s="31"/>
      <c r="AI172" s="7">
        <v>10</v>
      </c>
      <c r="AJ172" s="8">
        <v>18</v>
      </c>
      <c r="AK172" s="9">
        <v>31</v>
      </c>
      <c r="AL172" s="10">
        <v>16</v>
      </c>
      <c r="AM172" s="12">
        <v>2</v>
      </c>
      <c r="AO172" s="1">
        <v>9</v>
      </c>
      <c r="AP172" s="27">
        <f t="shared" si="202"/>
        <v>657</v>
      </c>
      <c r="AQ172" s="27">
        <f t="shared" si="221"/>
        <v>116</v>
      </c>
      <c r="AR172" s="15">
        <f t="shared" si="234"/>
        <v>1.1193712871696897</v>
      </c>
      <c r="AS172" s="28">
        <f t="shared" si="235"/>
        <v>651.15681504154463</v>
      </c>
      <c r="AT172" s="28">
        <f t="shared" si="236"/>
        <v>581.71656045241525</v>
      </c>
      <c r="AU172" s="33"/>
      <c r="AY172" s="31"/>
      <c r="AZ172" s="7">
        <v>51</v>
      </c>
      <c r="BA172" s="8">
        <v>16</v>
      </c>
      <c r="BB172" s="9">
        <v>7</v>
      </c>
      <c r="BC172" s="10">
        <v>3</v>
      </c>
      <c r="BD172" s="12">
        <v>0</v>
      </c>
      <c r="BF172" s="1">
        <v>10</v>
      </c>
      <c r="BG172" s="27">
        <f t="shared" si="203"/>
        <v>730</v>
      </c>
      <c r="BH172" s="27">
        <f t="shared" si="222"/>
        <v>240</v>
      </c>
      <c r="BI172" s="15">
        <f t="shared" si="237"/>
        <v>1.6710307557143673</v>
      </c>
      <c r="BJ172" s="28">
        <f t="shared" si="238"/>
        <v>551.01969069614529</v>
      </c>
      <c r="BK172" s="28">
        <f t="shared" si="239"/>
        <v>329.74838363198398</v>
      </c>
      <c r="BL172" s="33"/>
      <c r="BP172" s="31"/>
      <c r="BQ172" s="7">
        <v>2</v>
      </c>
      <c r="BR172" s="8">
        <v>18</v>
      </c>
      <c r="BS172" s="9">
        <v>31</v>
      </c>
      <c r="BT172" s="10">
        <v>21</v>
      </c>
      <c r="BU172" s="12">
        <v>5</v>
      </c>
      <c r="BW172" s="1">
        <v>8</v>
      </c>
      <c r="BX172" s="27">
        <f t="shared" si="204"/>
        <v>584</v>
      </c>
      <c r="BY172" s="27">
        <f t="shared" si="223"/>
        <v>181</v>
      </c>
      <c r="BZ172" s="15">
        <f t="shared" si="240"/>
        <v>0.99541743962747853</v>
      </c>
      <c r="CA172" s="28">
        <f t="shared" si="241"/>
        <v>464.22923983129891</v>
      </c>
      <c r="CB172" s="28">
        <f t="shared" si="242"/>
        <v>466.36639197825428</v>
      </c>
      <c r="CC172" s="33"/>
      <c r="CG172" s="31"/>
      <c r="CH172" s="7">
        <v>12</v>
      </c>
      <c r="CI172" s="8">
        <v>21</v>
      </c>
      <c r="CJ172" s="9">
        <v>17</v>
      </c>
      <c r="CK172" s="10">
        <v>9</v>
      </c>
      <c r="CL172" s="12">
        <v>8</v>
      </c>
      <c r="CN172" s="1">
        <v>10</v>
      </c>
      <c r="CO172" s="27">
        <f t="shared" si="205"/>
        <v>730</v>
      </c>
      <c r="CP172" s="27">
        <f t="shared" si="224"/>
        <v>170.5</v>
      </c>
      <c r="CQ172" s="15">
        <f t="shared" si="243"/>
        <v>1.2837350263867724</v>
      </c>
      <c r="CR172" s="28">
        <f t="shared" si="244"/>
        <v>687.73032508512756</v>
      </c>
      <c r="CS172" s="28">
        <f t="shared" si="245"/>
        <v>535.72607348794384</v>
      </c>
      <c r="CT172" s="33"/>
      <c r="CX172" s="31"/>
      <c r="CY172" s="7">
        <v>27</v>
      </c>
      <c r="CZ172" s="8">
        <v>18</v>
      </c>
      <c r="DA172" s="9">
        <v>20</v>
      </c>
      <c r="DB172" s="10">
        <v>10</v>
      </c>
      <c r="DC172" s="12">
        <v>1.5</v>
      </c>
      <c r="DE172" s="1">
        <v>4.4000000000000004</v>
      </c>
      <c r="DF172" s="27">
        <f t="shared" si="206"/>
        <v>321.20000000000005</v>
      </c>
      <c r="DG172" s="27">
        <f t="shared" si="225"/>
        <v>169</v>
      </c>
      <c r="DH172" s="15">
        <f t="shared" si="246"/>
        <v>1.0595390471474921</v>
      </c>
      <c r="DI172" s="28">
        <f t="shared" si="247"/>
        <v>456.28077448340076</v>
      </c>
      <c r="DJ172" s="28">
        <f t="shared" si="248"/>
        <v>430.64082981349969</v>
      </c>
      <c r="DK172" s="33">
        <v>26</v>
      </c>
      <c r="DL172" s="8">
        <v>21</v>
      </c>
      <c r="DM172" s="9">
        <v>19</v>
      </c>
      <c r="DN172" s="10">
        <v>11</v>
      </c>
      <c r="DO172" s="31">
        <v>0</v>
      </c>
      <c r="DV172" s="1">
        <v>4.5</v>
      </c>
      <c r="DW172" s="27">
        <f t="shared" si="207"/>
        <v>328.5</v>
      </c>
      <c r="DX172" s="27">
        <f t="shared" si="226"/>
        <v>130.4</v>
      </c>
      <c r="DY172" s="15">
        <f t="shared" si="249"/>
        <v>1.0539954696698857</v>
      </c>
      <c r="DZ172" s="28">
        <f t="shared" si="250"/>
        <v>452.37860982691245</v>
      </c>
      <c r="EA172" s="28">
        <f t="shared" si="251"/>
        <v>429.20356191720509</v>
      </c>
      <c r="EB172" s="33"/>
      <c r="EF172" s="31"/>
      <c r="EG172" s="7">
        <v>36</v>
      </c>
      <c r="EH172" s="8">
        <v>26</v>
      </c>
      <c r="EI172" s="9">
        <v>14</v>
      </c>
      <c r="EJ172" s="10">
        <v>0.1</v>
      </c>
      <c r="EK172" s="12">
        <v>0</v>
      </c>
      <c r="EM172" s="1">
        <v>9</v>
      </c>
      <c r="EN172" s="27">
        <f t="shared" si="208"/>
        <v>657</v>
      </c>
      <c r="EO172" s="27">
        <f t="shared" si="227"/>
        <v>181</v>
      </c>
      <c r="EP172" s="15">
        <f t="shared" si="252"/>
        <v>1.1452123969532095</v>
      </c>
      <c r="EQ172" s="28">
        <f t="shared" si="253"/>
        <v>604.61887175680886</v>
      </c>
      <c r="ER172" s="28">
        <f t="shared" si="254"/>
        <v>527.95348126284046</v>
      </c>
      <c r="ES172" s="33"/>
      <c r="EW172" s="31"/>
      <c r="EX172" s="7">
        <v>22</v>
      </c>
      <c r="EY172" s="8">
        <v>17</v>
      </c>
      <c r="EZ172" s="9">
        <v>27</v>
      </c>
      <c r="FA172" s="10">
        <v>11</v>
      </c>
      <c r="FB172" s="12">
        <v>0</v>
      </c>
      <c r="FD172" s="1">
        <v>8.5</v>
      </c>
      <c r="FE172" s="27">
        <f t="shared" si="209"/>
        <v>620.5</v>
      </c>
      <c r="FF172" s="27">
        <f t="shared" si="228"/>
        <v>166</v>
      </c>
      <c r="FG172" s="15">
        <f t="shared" si="255"/>
        <v>1.1516317844867143</v>
      </c>
      <c r="FH172" s="28">
        <f t="shared" si="256"/>
        <v>697.11177629529675</v>
      </c>
      <c r="FI172" s="28">
        <f t="shared" si="257"/>
        <v>605.32523128128275</v>
      </c>
      <c r="FJ172" s="33"/>
      <c r="FN172" s="31"/>
      <c r="FO172" s="7">
        <v>23</v>
      </c>
      <c r="FP172" s="8">
        <v>25</v>
      </c>
      <c r="FQ172" s="9">
        <v>23</v>
      </c>
      <c r="FR172" s="10">
        <v>6</v>
      </c>
      <c r="FS172" s="12">
        <v>0</v>
      </c>
      <c r="FU172" s="1">
        <v>8.6999999999999993</v>
      </c>
      <c r="FV172" s="27">
        <f t="shared" si="210"/>
        <v>635.09999999999991</v>
      </c>
      <c r="FW172" s="27">
        <f t="shared" si="229"/>
        <v>222</v>
      </c>
      <c r="FX172" s="15">
        <f t="shared" si="258"/>
        <v>1.1163117554556101</v>
      </c>
      <c r="FY172" s="28">
        <f t="shared" si="259"/>
        <v>649.49509119166055</v>
      </c>
      <c r="FZ172" s="28">
        <f t="shared" si="260"/>
        <v>581.82231622793972</v>
      </c>
      <c r="GA172" s="33"/>
      <c r="GE172" s="31"/>
      <c r="GF172" s="7">
        <v>7</v>
      </c>
      <c r="GG172" s="8">
        <v>20</v>
      </c>
      <c r="GH172" s="9">
        <v>24</v>
      </c>
      <c r="GI172" s="10">
        <v>22</v>
      </c>
      <c r="GJ172" s="12">
        <v>3</v>
      </c>
      <c r="GL172" s="1">
        <v>7.5</v>
      </c>
      <c r="GM172" s="27">
        <f t="shared" si="211"/>
        <v>547.5</v>
      </c>
      <c r="GN172" s="27">
        <f t="shared" si="230"/>
        <v>186</v>
      </c>
      <c r="GO172" s="15">
        <f t="shared" si="261"/>
        <v>1.0898302354644402</v>
      </c>
      <c r="GP172" s="28">
        <f t="shared" si="262"/>
        <v>671.45563016032384</v>
      </c>
      <c r="GQ172" s="28">
        <f t="shared" si="263"/>
        <v>616.11029709978402</v>
      </c>
      <c r="GR172" s="33"/>
      <c r="GV172" s="31"/>
      <c r="GW172" s="7">
        <v>26</v>
      </c>
      <c r="GX172" s="8">
        <v>14</v>
      </c>
      <c r="GY172" s="9">
        <v>18</v>
      </c>
      <c r="GZ172" s="10">
        <v>17</v>
      </c>
      <c r="HA172" s="12">
        <v>2</v>
      </c>
      <c r="HC172" s="1">
        <v>8.6999999999999993</v>
      </c>
      <c r="HD172" s="27">
        <f t="shared" si="212"/>
        <v>635.09999999999991</v>
      </c>
      <c r="HE172" s="27">
        <f t="shared" si="231"/>
        <v>215.5</v>
      </c>
      <c r="HF172" s="15">
        <f t="shared" si="264"/>
        <v>1.3317563388560463</v>
      </c>
      <c r="HG172" s="28">
        <f t="shared" si="265"/>
        <v>447.21483700186172</v>
      </c>
      <c r="HH172" s="28">
        <f t="shared" si="266"/>
        <v>335.80830363158691</v>
      </c>
      <c r="HI172" s="33"/>
      <c r="HM172" s="31"/>
      <c r="HN172" s="7">
        <v>9</v>
      </c>
      <c r="HO172" s="8">
        <v>19</v>
      </c>
      <c r="HP172" s="9">
        <v>31</v>
      </c>
      <c r="HQ172" s="10">
        <v>17</v>
      </c>
      <c r="HR172" s="12">
        <v>1.5</v>
      </c>
      <c r="HU172" s="27">
        <f t="shared" si="213"/>
        <v>0</v>
      </c>
      <c r="HV172" s="27">
        <f t="shared" si="232"/>
        <v>0</v>
      </c>
      <c r="HW172" s="15">
        <f t="shared" si="267"/>
        <v>1.0672653601503579E-6</v>
      </c>
      <c r="HX172" s="28">
        <f t="shared" si="268"/>
        <v>3.5933960338682357E-7</v>
      </c>
      <c r="HY172" s="28">
        <f t="shared" si="269"/>
        <v>0.33669190138073934</v>
      </c>
      <c r="HZ172" s="33"/>
      <c r="ID172" s="31"/>
      <c r="II172" s="12"/>
      <c r="IL172" s="27">
        <f t="shared" si="214"/>
        <v>0</v>
      </c>
      <c r="IM172" s="27">
        <f t="shared" si="215"/>
        <v>5137.7351715353489</v>
      </c>
      <c r="IN172" s="15">
        <f t="shared" si="270"/>
        <v>3.3777084206019908E-2</v>
      </c>
      <c r="IO172" s="28">
        <f t="shared" si="271"/>
        <v>0.95871108953225381</v>
      </c>
      <c r="IP172" s="28">
        <f t="shared" si="272"/>
        <v>28.383476906552751</v>
      </c>
      <c r="IQ172" s="33"/>
      <c r="IU172" s="31"/>
      <c r="JC172" s="27">
        <f t="shared" si="180"/>
        <v>0</v>
      </c>
      <c r="JD172" s="27">
        <f t="shared" si="216"/>
        <v>6504.4028728593894</v>
      </c>
      <c r="JE172" s="15">
        <f t="shared" si="273"/>
        <v>1.3115683752077707E-2</v>
      </c>
      <c r="JF172" s="28">
        <f t="shared" si="274"/>
        <v>9.6302045662052388E-2</v>
      </c>
      <c r="JG172" s="28">
        <f t="shared" si="275"/>
        <v>7.3425104998278723</v>
      </c>
      <c r="JH172" s="33"/>
      <c r="JL172" s="31"/>
      <c r="JR172" s="99"/>
      <c r="JS172" s="99"/>
      <c r="JT172" s="99"/>
      <c r="JU172" s="99"/>
      <c r="JV172" s="99"/>
      <c r="JW172" s="99"/>
      <c r="JX172" s="99"/>
      <c r="JY172" s="99"/>
      <c r="JZ172" s="99"/>
      <c r="KA172" s="99"/>
      <c r="KB172" s="99"/>
      <c r="KC172" s="99"/>
      <c r="KD172" s="99"/>
      <c r="KE172" s="99"/>
      <c r="KF172" s="99"/>
      <c r="KG172" s="99"/>
      <c r="KH172" s="99"/>
      <c r="KI172" s="99"/>
      <c r="KJ172" s="99"/>
      <c r="KK172" s="99"/>
      <c r="KL172" s="99"/>
      <c r="KM172" s="99"/>
      <c r="KN172" s="99"/>
      <c r="KO172" s="99"/>
      <c r="KP172" s="99"/>
      <c r="KQ172" s="99"/>
      <c r="KR172" s="99"/>
      <c r="KS172" s="99"/>
      <c r="KT172" s="99"/>
      <c r="KU172" s="99"/>
      <c r="KV172" s="99"/>
      <c r="KW172" s="99"/>
      <c r="KX172" s="99"/>
      <c r="KY172" s="99"/>
      <c r="KZ172" s="99"/>
      <c r="LA172" s="99"/>
      <c r="LB172" s="99"/>
      <c r="LC172" s="99"/>
      <c r="LD172" s="99"/>
      <c r="LE172" s="99"/>
      <c r="LF172" s="99"/>
      <c r="LG172" s="99"/>
      <c r="LH172" s="99"/>
      <c r="LI172" s="99"/>
      <c r="LJ172" s="99"/>
      <c r="LK172" s="99"/>
      <c r="LL172" s="99"/>
      <c r="LM172" s="99"/>
      <c r="LN172" s="99"/>
      <c r="LO172" s="99"/>
      <c r="LP172" s="99"/>
      <c r="LQ172" s="99"/>
      <c r="LR172" s="99"/>
      <c r="LS172" s="99"/>
      <c r="LT172" s="99"/>
      <c r="LU172" s="99"/>
      <c r="LV172" s="99"/>
      <c r="LW172" s="99"/>
      <c r="LX172" s="99"/>
      <c r="LY172" s="99"/>
      <c r="LZ172" s="99"/>
      <c r="MA172" s="99"/>
      <c r="MB172" s="99"/>
      <c r="MC172" s="99"/>
      <c r="MD172" s="99"/>
      <c r="ME172" s="99"/>
      <c r="MF172" s="99"/>
    </row>
    <row r="173" spans="1:344" ht="17.25" customHeight="1" x14ac:dyDescent="0.25">
      <c r="A173" s="156"/>
      <c r="B173" s="81" t="s">
        <v>2</v>
      </c>
      <c r="C173" s="82">
        <v>45307</v>
      </c>
      <c r="D173" s="49">
        <v>13</v>
      </c>
      <c r="E173" s="39">
        <v>11</v>
      </c>
      <c r="F173" s="103">
        <v>68</v>
      </c>
      <c r="G173" s="89">
        <f t="shared" si="194"/>
        <v>7.9909090909090912</v>
      </c>
      <c r="H173" s="35">
        <f t="shared" si="195"/>
        <v>543.38181818181818</v>
      </c>
      <c r="I173" s="39">
        <v>11</v>
      </c>
      <c r="J173" s="39">
        <v>11</v>
      </c>
      <c r="K173" s="103">
        <v>50</v>
      </c>
      <c r="L173" s="89">
        <f t="shared" si="196"/>
        <v>5.2666666666666666</v>
      </c>
      <c r="M173" s="35">
        <f t="shared" si="217"/>
        <v>263.33333333333331</v>
      </c>
      <c r="N173" s="35">
        <f t="shared" si="218"/>
        <v>806.71515151515155</v>
      </c>
      <c r="O173" s="97">
        <f>SUM($Z173,$BH173,$AQ173,$BY173,$CP173,$DG173,$DX173,$EO173,$FF173,$FW173,$GN173)/E173</f>
        <v>191.40909090909091</v>
      </c>
      <c r="P173" s="150"/>
      <c r="Q173" s="132">
        <f t="shared" ref="Q173:Q174" si="345">SUM(AD173+AI173+AU173+AZ173+BL173+BQ173+CC173+CH173+CT173+CY173+DK173+DP173+EB173+EG173+ES173+EX173+FJ173+FO173+GA173+GF173+GR173+GW173)/11</f>
        <v>16</v>
      </c>
      <c r="R173" s="134">
        <f t="shared" ref="R173:R174" si="346">SUM(AE173+AJ173+AV173+BA173+BM173+BR173+CD173+CI173+CU173+CZ173+DL173+DQ173+EC173+EH173+ET173+EY173+FK173+FP173+GB173+GG173+GS173+GX173)/11</f>
        <v>14.818181818181818</v>
      </c>
      <c r="S173" s="136">
        <f t="shared" ref="S173:S174" si="347">SUM(AF173+AK173+AW173+BB173+BN173+BS173+CE173+CJ173+CV173+DA173+DM173+DR173+ED173+EI173+EU173+EZ173+FL173+FQ173+GC173+GH173+GT173+GY173)/11</f>
        <v>21.363636363636363</v>
      </c>
      <c r="T173" s="138">
        <f t="shared" ref="T173:T174" si="348">SUM(AG173+AL173+AX173+BC173+BO173+BT173+CF173+CK173+CW173+DB173+DN173+DS173+EE173+EJ173+EV173+FA173+FM173+FR173+GD173+GI173+GU173+GZ173)/11</f>
        <v>19.454545454545453</v>
      </c>
      <c r="U173" s="144">
        <f t="shared" ref="U173:U174" si="349">SUM(AH173+AM173+AY173+BD173+BP173+BU173+CG173+CL173+CX173+DC173+DO173+DT173+EF173+EK173+EW173+FB173+FN173+FS173+GE173+GJ173+GV173+HA173)/11</f>
        <v>0.77272727272727271</v>
      </c>
      <c r="W173" s="11">
        <v>0</v>
      </c>
      <c r="X173" s="1">
        <v>0</v>
      </c>
      <c r="Y173" s="35">
        <f t="shared" si="201"/>
        <v>0</v>
      </c>
      <c r="Z173" s="35">
        <f t="shared" si="220"/>
        <v>191</v>
      </c>
      <c r="AA173" s="15">
        <f t="shared" si="233"/>
        <v>0.75504686455367287</v>
      </c>
      <c r="AB173" s="43">
        <f t="shared" si="298"/>
        <v>372.74461713977797</v>
      </c>
      <c r="AC173" s="43">
        <f t="shared" si="299"/>
        <v>493.6708363925419</v>
      </c>
      <c r="AD173" s="33">
        <v>17</v>
      </c>
      <c r="AE173" s="8">
        <v>16</v>
      </c>
      <c r="AF173" s="9">
        <v>19</v>
      </c>
      <c r="AG173" s="10">
        <v>20</v>
      </c>
      <c r="AH173" s="31">
        <v>1</v>
      </c>
      <c r="AN173" s="11">
        <v>10</v>
      </c>
      <c r="AO173" s="1">
        <v>6.5</v>
      </c>
      <c r="AP173" s="35">
        <f t="shared" si="202"/>
        <v>1005</v>
      </c>
      <c r="AQ173" s="35">
        <f t="shared" si="221"/>
        <v>182</v>
      </c>
      <c r="AR173" s="15">
        <f t="shared" si="234"/>
        <v>1.2106847177402127</v>
      </c>
      <c r="AS173" s="28">
        <f t="shared" si="235"/>
        <v>739.61761128115847</v>
      </c>
      <c r="AT173" s="28">
        <f t="shared" si="236"/>
        <v>610.90852180052445</v>
      </c>
      <c r="AU173" s="33">
        <v>19</v>
      </c>
      <c r="AV173" s="8">
        <v>17</v>
      </c>
      <c r="AW173" s="9">
        <v>21</v>
      </c>
      <c r="AX173" s="10">
        <v>14</v>
      </c>
      <c r="AY173" s="31">
        <v>2</v>
      </c>
      <c r="BE173" s="11">
        <v>9</v>
      </c>
      <c r="BF173" s="1">
        <v>6.5</v>
      </c>
      <c r="BG173" s="35">
        <f t="shared" si="203"/>
        <v>937</v>
      </c>
      <c r="BH173" s="35">
        <f t="shared" si="222"/>
        <v>203.5</v>
      </c>
      <c r="BI173" s="15">
        <f t="shared" si="237"/>
        <v>1.7423743824475817</v>
      </c>
      <c r="BJ173" s="28">
        <f t="shared" si="238"/>
        <v>647.51476802210891</v>
      </c>
      <c r="BK173" s="28">
        <f t="shared" si="239"/>
        <v>371.6278054504678</v>
      </c>
      <c r="BL173" s="33">
        <v>11</v>
      </c>
      <c r="BM173" s="8">
        <v>18</v>
      </c>
      <c r="BN173" s="9">
        <v>25</v>
      </c>
      <c r="BO173" s="10">
        <v>20</v>
      </c>
      <c r="BP173" s="31">
        <v>0.3</v>
      </c>
      <c r="BV173" s="11">
        <v>10</v>
      </c>
      <c r="BW173" s="1">
        <v>6.5</v>
      </c>
      <c r="BX173" s="35">
        <f t="shared" si="204"/>
        <v>1005</v>
      </c>
      <c r="BY173" s="35">
        <f t="shared" si="223"/>
        <v>226</v>
      </c>
      <c r="BZ173" s="15">
        <f t="shared" si="240"/>
        <v>1.190478279923616</v>
      </c>
      <c r="CA173" s="28">
        <f t="shared" si="241"/>
        <v>599.42192987347426</v>
      </c>
      <c r="CB173" s="28">
        <f t="shared" si="242"/>
        <v>503.51353735906434</v>
      </c>
      <c r="CC173" s="33">
        <v>10</v>
      </c>
      <c r="CD173" s="8">
        <v>11</v>
      </c>
      <c r="CE173" s="9">
        <v>14</v>
      </c>
      <c r="CF173" s="10">
        <v>33</v>
      </c>
      <c r="CG173" s="31">
        <v>4</v>
      </c>
      <c r="CM173" s="11">
        <v>10</v>
      </c>
      <c r="CN173" s="1">
        <v>6.5</v>
      </c>
      <c r="CO173" s="35">
        <f t="shared" si="205"/>
        <v>1005</v>
      </c>
      <c r="CP173" s="35">
        <f t="shared" si="224"/>
        <v>192</v>
      </c>
      <c r="CQ173" s="15">
        <f t="shared" si="243"/>
        <v>1.3502227180677302</v>
      </c>
      <c r="CR173" s="28">
        <f t="shared" si="244"/>
        <v>767.04774381384573</v>
      </c>
      <c r="CS173" s="28">
        <f t="shared" si="245"/>
        <v>568.08979255774079</v>
      </c>
      <c r="CT173" s="33">
        <v>17</v>
      </c>
      <c r="CU173" s="8">
        <v>13</v>
      </c>
      <c r="CV173" s="9">
        <v>20</v>
      </c>
      <c r="CW173" s="10">
        <v>21</v>
      </c>
      <c r="CX173" s="31">
        <v>1</v>
      </c>
      <c r="DD173" s="11">
        <v>5.7</v>
      </c>
      <c r="DE173" s="1">
        <v>3.7</v>
      </c>
      <c r="DF173" s="35">
        <f t="shared" si="206"/>
        <v>572.6</v>
      </c>
      <c r="DG173" s="35">
        <f t="shared" si="225"/>
        <v>217</v>
      </c>
      <c r="DH173" s="15">
        <f t="shared" si="246"/>
        <v>1.1020124638647972</v>
      </c>
      <c r="DI173" s="28">
        <f t="shared" si="247"/>
        <v>485.36058086255059</v>
      </c>
      <c r="DJ173" s="28">
        <f t="shared" si="248"/>
        <v>440.43111741256865</v>
      </c>
      <c r="DK173" s="33">
        <v>10</v>
      </c>
      <c r="DL173" s="8">
        <v>11</v>
      </c>
      <c r="DM173" s="9">
        <v>23</v>
      </c>
      <c r="DN173" s="10">
        <v>29</v>
      </c>
      <c r="DO173" s="31">
        <v>0</v>
      </c>
      <c r="DU173" s="11">
        <v>5.7</v>
      </c>
      <c r="DV173" s="1">
        <v>3.7</v>
      </c>
      <c r="DW173" s="35">
        <f t="shared" si="207"/>
        <v>572.6</v>
      </c>
      <c r="DX173" s="35">
        <f t="shared" si="226"/>
        <v>171</v>
      </c>
      <c r="DY173" s="15">
        <f t="shared" si="249"/>
        <v>1.0987057155296205</v>
      </c>
      <c r="DZ173" s="28">
        <f t="shared" si="250"/>
        <v>482.43395737018432</v>
      </c>
      <c r="EA173" s="28">
        <f t="shared" si="251"/>
        <v>439.09297144015648</v>
      </c>
      <c r="EB173" s="33">
        <v>20</v>
      </c>
      <c r="EC173" s="8">
        <v>16</v>
      </c>
      <c r="ED173" s="9">
        <v>29</v>
      </c>
      <c r="EE173" s="10">
        <v>8</v>
      </c>
      <c r="EF173" s="31">
        <v>0</v>
      </c>
      <c r="EL173" s="11">
        <v>10</v>
      </c>
      <c r="EM173" s="1">
        <v>7</v>
      </c>
      <c r="EN173" s="35">
        <f t="shared" si="208"/>
        <v>1030</v>
      </c>
      <c r="EO173" s="35">
        <f t="shared" si="227"/>
        <v>200</v>
      </c>
      <c r="EP173" s="15">
        <f t="shared" si="252"/>
        <v>1.263762426684168</v>
      </c>
      <c r="EQ173" s="28">
        <f t="shared" si="253"/>
        <v>710.96415381760664</v>
      </c>
      <c r="ER173" s="28">
        <f t="shared" si="254"/>
        <v>562.57737910678247</v>
      </c>
      <c r="ES173" s="33">
        <v>12</v>
      </c>
      <c r="ET173" s="8">
        <v>15</v>
      </c>
      <c r="EU173" s="9">
        <v>27</v>
      </c>
      <c r="EV173" s="10">
        <v>19</v>
      </c>
      <c r="EW173" s="31">
        <v>0.2</v>
      </c>
      <c r="FC173" s="11">
        <v>9</v>
      </c>
      <c r="FD173" s="1">
        <v>7</v>
      </c>
      <c r="FE173" s="35">
        <f t="shared" si="209"/>
        <v>962</v>
      </c>
      <c r="FF173" s="35">
        <f t="shared" si="228"/>
        <v>152</v>
      </c>
      <c r="FG173" s="15">
        <f t="shared" si="255"/>
        <v>1.2117881661722254</v>
      </c>
      <c r="FH173" s="28">
        <f t="shared" si="256"/>
        <v>763.33383222147256</v>
      </c>
      <c r="FI173" s="28">
        <f t="shared" si="257"/>
        <v>629.92349119291839</v>
      </c>
      <c r="FJ173" s="33">
        <v>24</v>
      </c>
      <c r="FK173" s="8">
        <v>22</v>
      </c>
      <c r="FL173" s="9">
        <v>20</v>
      </c>
      <c r="FM173" s="10">
        <v>6</v>
      </c>
      <c r="FN173" s="31">
        <v>0</v>
      </c>
      <c r="FT173" s="11">
        <v>9</v>
      </c>
      <c r="FV173" s="35">
        <f t="shared" si="210"/>
        <v>612</v>
      </c>
      <c r="FW173" s="35">
        <f t="shared" si="229"/>
        <v>166</v>
      </c>
      <c r="FX173" s="15">
        <f t="shared" si="258"/>
        <v>1.0962792296135815</v>
      </c>
      <c r="FY173" s="28">
        <f t="shared" si="259"/>
        <v>640.12131839374547</v>
      </c>
      <c r="FZ173" s="28">
        <f t="shared" si="260"/>
        <v>583.90353579842667</v>
      </c>
      <c r="GA173" s="33">
        <v>25</v>
      </c>
      <c r="GB173" s="8">
        <v>16</v>
      </c>
      <c r="GC173" s="9">
        <v>19</v>
      </c>
      <c r="GD173" s="10">
        <v>13</v>
      </c>
      <c r="GE173" s="31">
        <v>0</v>
      </c>
      <c r="GK173" s="11">
        <v>9.5</v>
      </c>
      <c r="GM173" s="35">
        <f t="shared" si="211"/>
        <v>646</v>
      </c>
      <c r="GN173" s="35">
        <f t="shared" si="230"/>
        <v>205</v>
      </c>
      <c r="GO173" s="15">
        <f t="shared" si="261"/>
        <v>1.0759013556354149</v>
      </c>
      <c r="GP173" s="28">
        <f t="shared" si="262"/>
        <v>665.09172262024288</v>
      </c>
      <c r="GQ173" s="28">
        <f t="shared" si="263"/>
        <v>618.17165592048855</v>
      </c>
      <c r="GR173" s="33">
        <v>11</v>
      </c>
      <c r="GS173" s="8">
        <v>8</v>
      </c>
      <c r="GT173" s="9">
        <v>18</v>
      </c>
      <c r="GU173" s="10">
        <v>31</v>
      </c>
      <c r="GV173" s="31">
        <v>0</v>
      </c>
      <c r="HB173" s="11">
        <v>7.8</v>
      </c>
      <c r="HD173" s="35">
        <f t="shared" si="212"/>
        <v>530.4</v>
      </c>
      <c r="HE173" s="35">
        <f t="shared" si="231"/>
        <v>170</v>
      </c>
      <c r="HF173" s="15">
        <f t="shared" si="264"/>
        <v>1.3401289818198359</v>
      </c>
      <c r="HG173" s="28">
        <f t="shared" si="265"/>
        <v>468.01112775139632</v>
      </c>
      <c r="HH173" s="28">
        <f t="shared" si="266"/>
        <v>349.22842062251198</v>
      </c>
      <c r="HI173" s="33">
        <v>20</v>
      </c>
      <c r="HJ173" s="8">
        <v>16</v>
      </c>
      <c r="HK173" s="9">
        <v>26</v>
      </c>
      <c r="HL173" s="10">
        <v>10</v>
      </c>
      <c r="HM173" s="31">
        <v>0</v>
      </c>
      <c r="HU173" s="35">
        <f t="shared" si="213"/>
        <v>0</v>
      </c>
      <c r="HV173" s="35">
        <f t="shared" si="232"/>
        <v>0</v>
      </c>
      <c r="HW173" s="15">
        <f t="shared" si="267"/>
        <v>8.5974154012112171E-7</v>
      </c>
      <c r="HX173" s="28">
        <f t="shared" si="268"/>
        <v>2.6950470254011769E-7</v>
      </c>
      <c r="HY173" s="28">
        <f t="shared" si="269"/>
        <v>0.31347177025103318</v>
      </c>
      <c r="HZ173" s="33"/>
      <c r="ID173" s="31"/>
      <c r="II173" s="12"/>
      <c r="IL173" s="35">
        <f t="shared" si="214"/>
        <v>0</v>
      </c>
      <c r="IM173" s="35">
        <f t="shared" si="215"/>
        <v>6601.8268411289891</v>
      </c>
      <c r="IN173" s="15">
        <f t="shared" si="270"/>
        <v>2.7209317832627151E-2</v>
      </c>
      <c r="IO173" s="28">
        <f t="shared" si="271"/>
        <v>0.71903331714919039</v>
      </c>
      <c r="IP173" s="28">
        <f t="shared" si="272"/>
        <v>26.425995740583595</v>
      </c>
      <c r="IQ173" s="33"/>
      <c r="IU173" s="31"/>
      <c r="JC173" s="35">
        <f t="shared" si="180"/>
        <v>0</v>
      </c>
      <c r="JD173" s="35">
        <f t="shared" si="216"/>
        <v>7493.69060619829</v>
      </c>
      <c r="JE173" s="15">
        <f t="shared" si="273"/>
        <v>1.0565411911395931E-2</v>
      </c>
      <c r="JF173" s="28">
        <f t="shared" si="274"/>
        <v>7.2226534246539298E-2</v>
      </c>
      <c r="JG173" s="28">
        <f t="shared" si="275"/>
        <v>6.8361304653569848</v>
      </c>
      <c r="JH173" s="33"/>
      <c r="JL173" s="31"/>
      <c r="JR173" s="99"/>
      <c r="JS173" s="99"/>
      <c r="JT173" s="99"/>
      <c r="JU173" s="99"/>
      <c r="JV173" s="99"/>
      <c r="JW173" s="99"/>
      <c r="JX173" s="99"/>
      <c r="JY173" s="99"/>
      <c r="JZ173" s="99"/>
      <c r="KA173" s="99"/>
      <c r="KB173" s="99"/>
      <c r="KC173" s="99"/>
      <c r="KD173" s="99"/>
      <c r="KE173" s="99"/>
      <c r="KF173" s="99"/>
      <c r="KG173" s="99"/>
      <c r="KH173" s="99"/>
      <c r="KI173" s="99"/>
      <c r="KJ173" s="99"/>
      <c r="KK173" s="99"/>
      <c r="KL173" s="99"/>
      <c r="KM173" s="99"/>
      <c r="KN173" s="99"/>
      <c r="KO173" s="99"/>
      <c r="KP173" s="99"/>
      <c r="KQ173" s="99"/>
      <c r="KR173" s="99"/>
      <c r="KS173" s="99"/>
      <c r="KT173" s="99"/>
      <c r="KU173" s="99"/>
      <c r="KV173" s="99"/>
      <c r="KW173" s="99"/>
      <c r="KX173" s="99"/>
      <c r="KY173" s="99"/>
      <c r="KZ173" s="99"/>
      <c r="LA173" s="99"/>
      <c r="LB173" s="99"/>
      <c r="LC173" s="99"/>
      <c r="LD173" s="99"/>
      <c r="LE173" s="99"/>
      <c r="LF173" s="99"/>
      <c r="LG173" s="99"/>
      <c r="LH173" s="99"/>
      <c r="LI173" s="99"/>
      <c r="LJ173" s="99"/>
      <c r="LK173" s="99"/>
      <c r="LL173" s="99"/>
      <c r="LM173" s="99"/>
      <c r="LN173" s="99"/>
      <c r="LO173" s="99"/>
      <c r="LP173" s="99"/>
      <c r="LQ173" s="99"/>
      <c r="LR173" s="99"/>
      <c r="LS173" s="99"/>
      <c r="LT173" s="99"/>
      <c r="LU173" s="99"/>
      <c r="LV173" s="99"/>
      <c r="LW173" s="99"/>
      <c r="LX173" s="99"/>
      <c r="LY173" s="99"/>
      <c r="LZ173" s="99"/>
      <c r="MA173" s="99"/>
      <c r="MB173" s="99"/>
      <c r="MC173" s="99"/>
      <c r="MD173" s="99"/>
      <c r="ME173" s="99"/>
      <c r="MF173" s="99"/>
    </row>
    <row r="174" spans="1:344" ht="17.25" customHeight="1" x14ac:dyDescent="0.25">
      <c r="A174" s="156"/>
      <c r="B174" s="81" t="s">
        <v>3</v>
      </c>
      <c r="C174" s="82">
        <v>45308</v>
      </c>
      <c r="D174" s="49">
        <v>13</v>
      </c>
      <c r="E174" s="39">
        <v>11</v>
      </c>
      <c r="F174" s="103">
        <v>83</v>
      </c>
      <c r="G174" s="89">
        <f t="shared" si="194"/>
        <v>7.8445454545454538</v>
      </c>
      <c r="H174" s="35">
        <f t="shared" si="195"/>
        <v>651.09727272727264</v>
      </c>
      <c r="I174" s="39"/>
      <c r="L174" s="89">
        <f t="shared" si="196"/>
        <v>0</v>
      </c>
      <c r="M174" s="35">
        <f t="shared" si="217"/>
        <v>0</v>
      </c>
      <c r="N174" s="35">
        <f t="shared" si="218"/>
        <v>651.09727272727264</v>
      </c>
      <c r="O174" s="97">
        <f>SUM($Z174,$BH174,$AQ174,$BY174,$CP174,$DG174,$DX174,$EO174,$FF174,$FW174,$GN174)/E174</f>
        <v>217</v>
      </c>
      <c r="P174" s="150"/>
      <c r="Q174" s="132">
        <f t="shared" si="345"/>
        <v>25.727272727272727</v>
      </c>
      <c r="R174" s="134">
        <f t="shared" si="346"/>
        <v>19.727272727272727</v>
      </c>
      <c r="S174" s="136">
        <f t="shared" si="347"/>
        <v>21.363636363636363</v>
      </c>
      <c r="T174" s="138">
        <f t="shared" si="348"/>
        <v>19.363636363636363</v>
      </c>
      <c r="U174" s="144">
        <f t="shared" si="349"/>
        <v>2.0545454545454547</v>
      </c>
      <c r="W174" s="11">
        <v>0</v>
      </c>
      <c r="X174" s="1">
        <v>0</v>
      </c>
      <c r="Y174" s="35">
        <f t="shared" si="201"/>
        <v>0</v>
      </c>
      <c r="Z174" s="35">
        <f t="shared" si="220"/>
        <v>236</v>
      </c>
      <c r="AA174" s="15">
        <f t="shared" si="233"/>
        <v>0.60823219644601423</v>
      </c>
      <c r="AB174" s="43">
        <f t="shared" si="298"/>
        <v>279.55846285483346</v>
      </c>
      <c r="AC174" s="43">
        <f t="shared" si="299"/>
        <v>459.62457181374589</v>
      </c>
      <c r="AD174" s="33">
        <v>16</v>
      </c>
      <c r="AE174" s="8">
        <v>26</v>
      </c>
      <c r="AF174" s="9">
        <v>20</v>
      </c>
      <c r="AG174" s="10">
        <v>22</v>
      </c>
      <c r="AH174" s="31">
        <v>4</v>
      </c>
      <c r="AN174" s="11">
        <v>9</v>
      </c>
      <c r="AP174" s="35">
        <f t="shared" si="202"/>
        <v>747</v>
      </c>
      <c r="AQ174" s="35">
        <f t="shared" si="221"/>
        <v>224</v>
      </c>
      <c r="AR174" s="15">
        <f t="shared" si="234"/>
        <v>1.1953413057899134</v>
      </c>
      <c r="AS174" s="28">
        <f t="shared" si="235"/>
        <v>741.46320846086883</v>
      </c>
      <c r="AT174" s="28">
        <f t="shared" si="236"/>
        <v>620.2941409866952</v>
      </c>
      <c r="AU174" s="33">
        <v>26</v>
      </c>
      <c r="AV174" s="8">
        <v>19</v>
      </c>
      <c r="AW174" s="9">
        <v>23</v>
      </c>
      <c r="AX174" s="10">
        <v>14</v>
      </c>
      <c r="AY174" s="31">
        <v>7</v>
      </c>
      <c r="BE174" s="11">
        <v>9.5</v>
      </c>
      <c r="BG174" s="35">
        <f t="shared" si="203"/>
        <v>788.5</v>
      </c>
      <c r="BH174" s="35">
        <f t="shared" si="222"/>
        <v>182.5</v>
      </c>
      <c r="BI174" s="15">
        <f t="shared" si="237"/>
        <v>1.7052928425623903</v>
      </c>
      <c r="BJ174" s="28">
        <f t="shared" si="238"/>
        <v>682.76107601658168</v>
      </c>
      <c r="BK174" s="28">
        <f t="shared" si="239"/>
        <v>400.37761197112513</v>
      </c>
      <c r="BL174" s="33">
        <v>38</v>
      </c>
      <c r="BM174" s="8">
        <v>20</v>
      </c>
      <c r="BN174" s="9">
        <v>18</v>
      </c>
      <c r="BO174" s="10">
        <v>12</v>
      </c>
      <c r="BP174" s="31">
        <v>0.5</v>
      </c>
      <c r="BV174" s="11">
        <v>8</v>
      </c>
      <c r="BX174" s="35">
        <f t="shared" si="204"/>
        <v>664</v>
      </c>
      <c r="BY174" s="35">
        <f t="shared" si="223"/>
        <v>245</v>
      </c>
      <c r="BZ174" s="15">
        <f t="shared" si="240"/>
        <v>1.1962465897951715</v>
      </c>
      <c r="CA174" s="28">
        <f t="shared" si="241"/>
        <v>615.56644740510569</v>
      </c>
      <c r="CB174" s="28">
        <f t="shared" si="242"/>
        <v>514.5815692653357</v>
      </c>
      <c r="CC174" s="33">
        <v>21</v>
      </c>
      <c r="CD174" s="8">
        <v>15</v>
      </c>
      <c r="CE174" s="9">
        <v>21</v>
      </c>
      <c r="CF174" s="10">
        <v>29</v>
      </c>
      <c r="CG174" s="31">
        <v>3</v>
      </c>
      <c r="CM174" s="11">
        <v>10</v>
      </c>
      <c r="CO174" s="35">
        <f t="shared" si="205"/>
        <v>830</v>
      </c>
      <c r="CP174" s="35">
        <f t="shared" si="224"/>
        <v>216</v>
      </c>
      <c r="CQ174" s="15">
        <f t="shared" si="243"/>
        <v>1.3354642698065484</v>
      </c>
      <c r="CR174" s="28">
        <f t="shared" si="244"/>
        <v>782.78580786038424</v>
      </c>
      <c r="CS174" s="28">
        <f t="shared" si="245"/>
        <v>586.15256548479306</v>
      </c>
      <c r="CT174" s="33">
        <v>27</v>
      </c>
      <c r="CU174" s="8">
        <v>17</v>
      </c>
      <c r="CV174" s="9">
        <v>18</v>
      </c>
      <c r="CW174" s="10">
        <v>24</v>
      </c>
      <c r="CX174" s="31">
        <v>1</v>
      </c>
      <c r="DD174" s="11">
        <v>6.5</v>
      </c>
      <c r="DF174" s="35">
        <f t="shared" si="206"/>
        <v>539.5</v>
      </c>
      <c r="DG174" s="35">
        <f t="shared" si="225"/>
        <v>254</v>
      </c>
      <c r="DH174" s="15">
        <f t="shared" si="246"/>
        <v>1.1154397503885913</v>
      </c>
      <c r="DI174" s="28">
        <f t="shared" si="247"/>
        <v>498.89543564691292</v>
      </c>
      <c r="DJ174" s="28">
        <f t="shared" si="248"/>
        <v>447.26345414273629</v>
      </c>
      <c r="DK174" s="33">
        <v>13</v>
      </c>
      <c r="DL174" s="8">
        <v>19</v>
      </c>
      <c r="DM174" s="9">
        <v>27</v>
      </c>
      <c r="DN174" s="10">
        <v>28</v>
      </c>
      <c r="DO174" s="31">
        <v>2</v>
      </c>
      <c r="DU174" s="11">
        <v>6.4</v>
      </c>
      <c r="DW174" s="35">
        <f t="shared" si="207"/>
        <v>531.20000000000005</v>
      </c>
      <c r="DX174" s="35">
        <f t="shared" si="226"/>
        <v>228</v>
      </c>
      <c r="DY174" s="15">
        <f t="shared" si="249"/>
        <v>1.1104070487135189</v>
      </c>
      <c r="DZ174" s="28">
        <f t="shared" si="250"/>
        <v>494.62546802763825</v>
      </c>
      <c r="EA174" s="28">
        <f t="shared" si="251"/>
        <v>445.44518030635254</v>
      </c>
      <c r="EB174" s="33">
        <v>15</v>
      </c>
      <c r="EC174" s="8">
        <v>23</v>
      </c>
      <c r="ED174" s="9">
        <v>33</v>
      </c>
      <c r="EE174" s="10">
        <v>17</v>
      </c>
      <c r="EF174" s="31">
        <v>0</v>
      </c>
      <c r="EL174" s="11">
        <v>9</v>
      </c>
      <c r="EN174" s="35">
        <f t="shared" si="208"/>
        <v>747</v>
      </c>
      <c r="EO174" s="35">
        <f t="shared" si="227"/>
        <v>183</v>
      </c>
      <c r="EP174" s="15">
        <f t="shared" si="252"/>
        <v>1.2514825227551059</v>
      </c>
      <c r="EQ174" s="28">
        <f t="shared" si="253"/>
        <v>719.97311536320501</v>
      </c>
      <c r="ER174" s="28">
        <f t="shared" si="254"/>
        <v>575.29618054769401</v>
      </c>
      <c r="ES174" s="33">
        <v>33</v>
      </c>
      <c r="ET174" s="8">
        <v>23</v>
      </c>
      <c r="EU174" s="9">
        <v>24</v>
      </c>
      <c r="EV174" s="10">
        <v>8</v>
      </c>
      <c r="EW174" s="31">
        <v>0</v>
      </c>
      <c r="FC174" s="11">
        <v>9.1999999999999993</v>
      </c>
      <c r="FE174" s="35">
        <f t="shared" si="209"/>
        <v>763.59999999999991</v>
      </c>
      <c r="FF174" s="35">
        <f t="shared" si="228"/>
        <v>166</v>
      </c>
      <c r="FG174" s="15">
        <f t="shared" si="255"/>
        <v>1.1944132984218703</v>
      </c>
      <c r="FH174" s="28">
        <f t="shared" si="256"/>
        <v>763.40037416610437</v>
      </c>
      <c r="FI174" s="28">
        <f t="shared" si="257"/>
        <v>639.14256076582058</v>
      </c>
      <c r="FJ174" s="33">
        <v>44</v>
      </c>
      <c r="FK174" s="8">
        <v>18</v>
      </c>
      <c r="FL174" s="9">
        <v>18</v>
      </c>
      <c r="FM174" s="10">
        <v>8</v>
      </c>
      <c r="FN174" s="31">
        <v>0</v>
      </c>
      <c r="FT174" s="11">
        <v>9</v>
      </c>
      <c r="FV174" s="35">
        <f t="shared" si="210"/>
        <v>747</v>
      </c>
      <c r="FW174" s="35">
        <f t="shared" si="229"/>
        <v>235</v>
      </c>
      <c r="FX174" s="15">
        <f t="shared" si="258"/>
        <v>1.1204557374292039</v>
      </c>
      <c r="FY174" s="28">
        <f t="shared" si="259"/>
        <v>666.84098879530916</v>
      </c>
      <c r="FZ174" s="28">
        <f t="shared" si="260"/>
        <v>595.15156781232827</v>
      </c>
      <c r="GA174" s="33">
        <v>22</v>
      </c>
      <c r="GB174" s="8">
        <v>20</v>
      </c>
      <c r="GC174" s="9">
        <v>15</v>
      </c>
      <c r="GD174" s="10">
        <v>27</v>
      </c>
      <c r="GE174" s="31">
        <v>4</v>
      </c>
      <c r="GK174" s="11">
        <v>9.69</v>
      </c>
      <c r="GM174" s="35">
        <f t="shared" si="211"/>
        <v>804.27</v>
      </c>
      <c r="GN174" s="35">
        <f t="shared" si="230"/>
        <v>217.5</v>
      </c>
      <c r="GO174" s="15">
        <f t="shared" si="261"/>
        <v>1.1091594451011786</v>
      </c>
      <c r="GP174" s="28">
        <f t="shared" si="262"/>
        <v>699.88629196518218</v>
      </c>
      <c r="GQ174" s="28">
        <f t="shared" si="263"/>
        <v>631.0060244776962</v>
      </c>
      <c r="GR174" s="33">
        <v>28</v>
      </c>
      <c r="GS174" s="8">
        <v>17</v>
      </c>
      <c r="GT174" s="9">
        <v>18</v>
      </c>
      <c r="GU174" s="10">
        <v>24</v>
      </c>
      <c r="GV174" s="31">
        <v>1.1000000000000001</v>
      </c>
      <c r="HB174" s="11">
        <v>6.2</v>
      </c>
      <c r="HD174" s="35">
        <f t="shared" si="212"/>
        <v>514.6</v>
      </c>
      <c r="HE174" s="35">
        <f t="shared" si="231"/>
        <v>166</v>
      </c>
      <c r="HF174" s="15">
        <f t="shared" si="264"/>
        <v>1.3300443132300344</v>
      </c>
      <c r="HG174" s="28">
        <f t="shared" si="265"/>
        <v>479.65834581354727</v>
      </c>
      <c r="HH174" s="28">
        <f t="shared" si="266"/>
        <v>360.63335713130425</v>
      </c>
      <c r="HI174" s="33">
        <v>46</v>
      </c>
      <c r="HJ174" s="8">
        <v>17</v>
      </c>
      <c r="HK174" s="9">
        <v>18</v>
      </c>
      <c r="HL174" s="10">
        <v>8</v>
      </c>
      <c r="HM174" s="31">
        <v>0</v>
      </c>
      <c r="HU174" s="35">
        <f t="shared" si="213"/>
        <v>0</v>
      </c>
      <c r="HV174" s="35">
        <f t="shared" si="232"/>
        <v>0</v>
      </c>
      <c r="HW174" s="15">
        <f t="shared" si="267"/>
        <v>6.9256957398645923E-7</v>
      </c>
      <c r="HX174" s="28">
        <f t="shared" si="268"/>
        <v>2.0212852690508827E-7</v>
      </c>
      <c r="HY174" s="28">
        <f t="shared" si="269"/>
        <v>0.29185302747509984</v>
      </c>
      <c r="HZ174" s="33"/>
      <c r="ID174" s="31"/>
      <c r="II174" s="12"/>
      <c r="IL174" s="35">
        <f t="shared" si="214"/>
        <v>0</v>
      </c>
      <c r="IM174" s="35">
        <f t="shared" si="215"/>
        <v>6437.7623757164874</v>
      </c>
      <c r="IN174" s="15">
        <f t="shared" si="270"/>
        <v>2.191861714294965E-2</v>
      </c>
      <c r="IO174" s="28">
        <f t="shared" si="271"/>
        <v>0.53927498786189276</v>
      </c>
      <c r="IP174" s="28">
        <f t="shared" si="272"/>
        <v>24.603513275715759</v>
      </c>
      <c r="IQ174" s="33"/>
      <c r="IU174" s="31"/>
      <c r="JC174" s="35">
        <f t="shared" si="180"/>
        <v>0</v>
      </c>
      <c r="JD174" s="35">
        <f t="shared" si="216"/>
        <v>7543.9124516749216</v>
      </c>
      <c r="JE174" s="15">
        <f t="shared" si="273"/>
        <v>8.5110262619578336E-3</v>
      </c>
      <c r="JF174" s="28">
        <f t="shared" si="274"/>
        <v>5.4169900684904473E-2</v>
      </c>
      <c r="JG174" s="28">
        <f t="shared" si="275"/>
        <v>6.3646731918840889</v>
      </c>
      <c r="JH174" s="33"/>
      <c r="JL174" s="31"/>
      <c r="JR174" s="99"/>
      <c r="JS174" s="99"/>
      <c r="JT174" s="99"/>
      <c r="JU174" s="99"/>
      <c r="JV174" s="99"/>
      <c r="JW174" s="99"/>
      <c r="JX174" s="99"/>
      <c r="JY174" s="99"/>
      <c r="JZ174" s="99"/>
      <c r="KA174" s="99"/>
      <c r="KB174" s="99"/>
      <c r="KC174" s="99"/>
      <c r="KD174" s="99"/>
      <c r="KE174" s="99"/>
      <c r="KF174" s="99"/>
      <c r="KG174" s="99"/>
      <c r="KH174" s="99"/>
      <c r="KI174" s="99"/>
      <c r="KJ174" s="99"/>
      <c r="KK174" s="99"/>
      <c r="KL174" s="99"/>
      <c r="KM174" s="99"/>
      <c r="KN174" s="99"/>
      <c r="KO174" s="99"/>
      <c r="KP174" s="99"/>
      <c r="KQ174" s="99"/>
      <c r="KR174" s="99"/>
      <c r="KS174" s="99"/>
      <c r="KT174" s="99"/>
      <c r="KU174" s="99"/>
      <c r="KV174" s="99"/>
      <c r="KW174" s="99"/>
      <c r="KX174" s="99"/>
      <c r="KY174" s="99"/>
      <c r="KZ174" s="99"/>
      <c r="LA174" s="99"/>
      <c r="LB174" s="99"/>
      <c r="LC174" s="99"/>
      <c r="LD174" s="99"/>
      <c r="LE174" s="99"/>
      <c r="LF174" s="99"/>
      <c r="LG174" s="99"/>
      <c r="LH174" s="99"/>
      <c r="LI174" s="99"/>
      <c r="LJ174" s="99"/>
      <c r="LK174" s="99"/>
      <c r="LL174" s="99"/>
      <c r="LM174" s="99"/>
      <c r="LN174" s="99"/>
      <c r="LO174" s="99"/>
      <c r="LP174" s="99"/>
      <c r="LQ174" s="99"/>
      <c r="LR174" s="99"/>
      <c r="LS174" s="99"/>
      <c r="LT174" s="99"/>
      <c r="LU174" s="99"/>
      <c r="LV174" s="99"/>
      <c r="LW174" s="99"/>
      <c r="LX174" s="99"/>
      <c r="LY174" s="99"/>
      <c r="LZ174" s="99"/>
      <c r="MA174" s="99"/>
      <c r="MB174" s="99"/>
      <c r="MC174" s="99"/>
      <c r="MD174" s="99"/>
      <c r="ME174" s="99"/>
      <c r="MF174" s="99"/>
    </row>
    <row r="175" spans="1:344" ht="17.25" customHeight="1" x14ac:dyDescent="0.25">
      <c r="A175" s="156"/>
      <c r="B175" s="81" t="s">
        <v>4</v>
      </c>
      <c r="C175" s="82">
        <v>45309</v>
      </c>
      <c r="D175" s="49">
        <v>12</v>
      </c>
      <c r="E175" s="39">
        <v>11</v>
      </c>
      <c r="F175" s="103">
        <v>74</v>
      </c>
      <c r="G175" s="89">
        <f t="shared" si="194"/>
        <v>6.6172727272727263</v>
      </c>
      <c r="H175" s="35">
        <f t="shared" si="195"/>
        <v>489.67818181818177</v>
      </c>
      <c r="I175" s="39">
        <v>10</v>
      </c>
      <c r="J175" s="39">
        <v>10</v>
      </c>
      <c r="K175" s="103">
        <v>50</v>
      </c>
      <c r="L175" s="89">
        <f t="shared" si="196"/>
        <v>2.3636363636363638</v>
      </c>
      <c r="M175" s="35">
        <f t="shared" si="217"/>
        <v>118.18181818181819</v>
      </c>
      <c r="N175" s="35">
        <f t="shared" si="218"/>
        <v>607.8599999999999</v>
      </c>
      <c r="O175" s="97">
        <f>SUM($Z175,$BH175,$AQ175,$BY175,$CP175,$DG175,$DX175,$EO175,$FF175,$FW175,$GN175)/E175</f>
        <v>162.81363636363636</v>
      </c>
      <c r="P175" s="150"/>
      <c r="Q175" s="132">
        <f t="shared" ref="Q175" si="350">SUM(AD175+AI175+AU175+AZ175+BL175+BQ175+CC175+CH175+CT175+CY175+DK175+DP175+EB175+EG175+ES175+EX175+FJ175+FO175+GA175+GF175+GR175+GW175)/11</f>
        <v>31.818181818181817</v>
      </c>
      <c r="R175" s="134">
        <f t="shared" ref="R175" si="351">SUM(AE175+AJ175+AV175+BA175+BM175+BR175+CD175+CI175+CU175+CZ175+DL175+DQ175+EC175+EH175+ET175+EY175+FK175+FP175+GB175+GG175+GS175+GX175)/11</f>
        <v>17.636363636363637</v>
      </c>
      <c r="S175" s="136">
        <f t="shared" ref="S175" si="352">SUM(AF175+AK175+AW175+BB175+BN175+BS175+CE175+CJ175+CV175+DA175+DM175+DR175+ED175+EI175+EU175+EZ175+FL175+FQ175+GC175+GH175+GT175+GY175)/11</f>
        <v>14.272727272727273</v>
      </c>
      <c r="T175" s="138">
        <f t="shared" ref="T175" si="353">SUM(AG175+AL175+AX175+BC175+BO175+BT175+CF175+CK175+CW175+DB175+DN175+DS175+EE175+EJ175+EV175+FA175+FM175+FR175+GD175+GI175+GU175+GZ175)/11</f>
        <v>11.909090909090908</v>
      </c>
      <c r="U175" s="144">
        <f t="shared" ref="U175" si="354">SUM(AH175+AM175+AY175+BD175+BP175+BU175+CG175+CL175+CX175+DC175+DO175+DT175+EF175+EK175+EW175+FB175+FN175+FS175+GE175+GJ175+GV175+HA175)/11</f>
        <v>1.0536363636363637</v>
      </c>
      <c r="W175" s="11">
        <v>0</v>
      </c>
      <c r="X175" s="1">
        <v>0</v>
      </c>
      <c r="Y175" s="35">
        <f t="shared" si="201"/>
        <v>0</v>
      </c>
      <c r="Z175" s="35">
        <f t="shared" si="220"/>
        <v>210</v>
      </c>
      <c r="AA175" s="15">
        <f t="shared" si="233"/>
        <v>0.48996482491484483</v>
      </c>
      <c r="AB175" s="43">
        <f t="shared" si="298"/>
        <v>209.6688471411251</v>
      </c>
      <c r="AC175" s="43">
        <f t="shared" si="299"/>
        <v>427.9263254817634</v>
      </c>
      <c r="AD175" s="33">
        <v>9</v>
      </c>
      <c r="AE175" s="8">
        <v>25</v>
      </c>
      <c r="AF175" s="9">
        <v>22</v>
      </c>
      <c r="AG175" s="10">
        <v>20</v>
      </c>
      <c r="AH175" s="31">
        <v>1</v>
      </c>
      <c r="AN175" s="11">
        <v>8.5</v>
      </c>
      <c r="AO175" s="1">
        <v>2</v>
      </c>
      <c r="AP175" s="35">
        <f t="shared" si="202"/>
        <v>729</v>
      </c>
      <c r="AQ175" s="35">
        <f t="shared" si="221"/>
        <v>164</v>
      </c>
      <c r="AR175" s="15">
        <f t="shared" si="234"/>
        <v>1.1761036595323875</v>
      </c>
      <c r="AS175" s="28">
        <f t="shared" si="235"/>
        <v>738.34740634565162</v>
      </c>
      <c r="AT175" s="28">
        <f t="shared" si="236"/>
        <v>627.7910967807162</v>
      </c>
      <c r="AU175" s="33">
        <v>35</v>
      </c>
      <c r="AV175" s="8">
        <v>15</v>
      </c>
      <c r="AW175" s="9">
        <v>15</v>
      </c>
      <c r="AX175" s="10">
        <v>11</v>
      </c>
      <c r="AY175" s="31">
        <v>2</v>
      </c>
      <c r="BE175" s="11">
        <v>8.75</v>
      </c>
      <c r="BF175" s="1">
        <v>8</v>
      </c>
      <c r="BG175" s="35">
        <f t="shared" si="203"/>
        <v>1047.5</v>
      </c>
      <c r="BH175" s="35">
        <f t="shared" si="222"/>
        <v>156</v>
      </c>
      <c r="BI175" s="15">
        <f t="shared" si="237"/>
        <v>1.7391777104791857</v>
      </c>
      <c r="BJ175" s="28">
        <f t="shared" si="238"/>
        <v>773.94580701243626</v>
      </c>
      <c r="BK175" s="28">
        <f t="shared" si="239"/>
        <v>445.00674218001302</v>
      </c>
      <c r="BL175" s="33">
        <v>29</v>
      </c>
      <c r="BM175" s="8">
        <v>25</v>
      </c>
      <c r="BN175" s="9">
        <v>11</v>
      </c>
      <c r="BO175" s="10">
        <v>11</v>
      </c>
      <c r="BP175" s="31">
        <v>0</v>
      </c>
      <c r="BV175" s="11">
        <v>8</v>
      </c>
      <c r="BW175" s="1">
        <v>2</v>
      </c>
      <c r="BX175" s="35">
        <f t="shared" si="204"/>
        <v>692</v>
      </c>
      <c r="BY175" s="35">
        <f t="shared" si="223"/>
        <v>203</v>
      </c>
      <c r="BZ175" s="15">
        <f t="shared" si="240"/>
        <v>1.2047341795979363</v>
      </c>
      <c r="CA175" s="28">
        <f t="shared" si="241"/>
        <v>634.67483555382933</v>
      </c>
      <c r="CB175" s="28">
        <f t="shared" si="242"/>
        <v>526.8173231091057</v>
      </c>
      <c r="CC175" s="33">
        <v>23</v>
      </c>
      <c r="CD175" s="8">
        <v>15</v>
      </c>
      <c r="CE175" s="9">
        <v>8</v>
      </c>
      <c r="CF175" s="10">
        <v>24</v>
      </c>
      <c r="CG175" s="31">
        <v>6</v>
      </c>
      <c r="CM175" s="11">
        <v>7.5</v>
      </c>
      <c r="CN175" s="1">
        <v>2</v>
      </c>
      <c r="CO175" s="35">
        <f t="shared" si="205"/>
        <v>655</v>
      </c>
      <c r="CP175" s="35">
        <f t="shared" si="224"/>
        <v>132.44999999999999</v>
      </c>
      <c r="CQ175" s="15">
        <f t="shared" si="243"/>
        <v>1.2706693376901947</v>
      </c>
      <c r="CR175" s="28">
        <f t="shared" si="244"/>
        <v>750.83935589528824</v>
      </c>
      <c r="CS175" s="28">
        <f t="shared" si="245"/>
        <v>590.90066441687634</v>
      </c>
      <c r="CT175" s="33">
        <v>47</v>
      </c>
      <c r="CU175" s="8">
        <v>11</v>
      </c>
      <c r="CV175" s="9">
        <v>9</v>
      </c>
      <c r="CW175" s="10">
        <v>9</v>
      </c>
      <c r="CX175" s="31">
        <v>0.09</v>
      </c>
      <c r="DD175" s="11">
        <v>4.3</v>
      </c>
      <c r="DE175" s="1">
        <v>2</v>
      </c>
      <c r="DF175" s="35">
        <f t="shared" si="206"/>
        <v>418.2</v>
      </c>
      <c r="DG175" s="35">
        <f t="shared" si="225"/>
        <v>168</v>
      </c>
      <c r="DH175" s="15">
        <f t="shared" si="246"/>
        <v>1.0751528725498596</v>
      </c>
      <c r="DI175" s="28">
        <f t="shared" si="247"/>
        <v>478.72157673518467</v>
      </c>
      <c r="DJ175" s="28">
        <f t="shared" si="248"/>
        <v>445.25907799496139</v>
      </c>
      <c r="DK175" s="33">
        <v>32</v>
      </c>
      <c r="DL175" s="8">
        <v>17</v>
      </c>
      <c r="DM175" s="9">
        <v>14</v>
      </c>
      <c r="DN175" s="10">
        <v>15</v>
      </c>
      <c r="DO175" s="31">
        <v>0</v>
      </c>
      <c r="DU175" s="11">
        <v>4.5</v>
      </c>
      <c r="DV175" s="1">
        <v>2</v>
      </c>
      <c r="DW175" s="35">
        <f t="shared" si="207"/>
        <v>433</v>
      </c>
      <c r="DX175" s="35">
        <f t="shared" si="226"/>
        <v>134</v>
      </c>
      <c r="DY175" s="15">
        <f t="shared" si="249"/>
        <v>1.0778975035787528</v>
      </c>
      <c r="DZ175" s="28">
        <f t="shared" si="250"/>
        <v>479.21910102072866</v>
      </c>
      <c r="EA175" s="28">
        <f t="shared" si="251"/>
        <v>444.58689200936271</v>
      </c>
      <c r="EB175" s="33">
        <v>42</v>
      </c>
      <c r="EC175" s="8">
        <v>13</v>
      </c>
      <c r="ED175" s="9">
        <v>18</v>
      </c>
      <c r="EE175" s="10">
        <v>3</v>
      </c>
      <c r="EF175" s="31">
        <v>0</v>
      </c>
      <c r="EL175" s="11">
        <v>7</v>
      </c>
      <c r="EM175" s="1">
        <v>2</v>
      </c>
      <c r="EN175" s="35">
        <f t="shared" si="208"/>
        <v>618</v>
      </c>
      <c r="EO175" s="35">
        <f t="shared" si="227"/>
        <v>156</v>
      </c>
      <c r="EP175" s="15">
        <f t="shared" si="252"/>
        <v>1.2010208725979405</v>
      </c>
      <c r="EQ175" s="28">
        <f t="shared" si="253"/>
        <v>694.47983652240373</v>
      </c>
      <c r="ER175" s="28">
        <f t="shared" si="254"/>
        <v>578.24127154440475</v>
      </c>
      <c r="ES175" s="33">
        <v>33</v>
      </c>
      <c r="ET175" s="8">
        <v>17</v>
      </c>
      <c r="EU175" s="9">
        <v>19</v>
      </c>
      <c r="EV175" s="10">
        <v>8</v>
      </c>
      <c r="EW175" s="31">
        <v>0</v>
      </c>
      <c r="FC175" s="11">
        <v>7.8</v>
      </c>
      <c r="FD175" s="1">
        <v>2</v>
      </c>
      <c r="FE175" s="35">
        <f t="shared" si="209"/>
        <v>677.19999999999993</v>
      </c>
      <c r="FF175" s="35">
        <f t="shared" si="228"/>
        <v>120</v>
      </c>
      <c r="FG175" s="15">
        <f t="shared" si="255"/>
        <v>1.1559491775913118</v>
      </c>
      <c r="FH175" s="28">
        <f t="shared" si="256"/>
        <v>741.8502806245782</v>
      </c>
      <c r="FI175" s="28">
        <f t="shared" si="257"/>
        <v>641.7672117474882</v>
      </c>
      <c r="FJ175" s="33">
        <v>49</v>
      </c>
      <c r="FK175" s="8">
        <v>14</v>
      </c>
      <c r="FL175" s="9">
        <v>9</v>
      </c>
      <c r="FM175" s="10">
        <v>4</v>
      </c>
      <c r="FN175" s="31">
        <v>0</v>
      </c>
      <c r="FT175" s="11">
        <v>8</v>
      </c>
      <c r="FU175" s="1">
        <v>2</v>
      </c>
      <c r="FV175" s="35">
        <f t="shared" si="210"/>
        <v>692</v>
      </c>
      <c r="FW175" s="35">
        <f t="shared" si="229"/>
        <v>177.5</v>
      </c>
      <c r="FX175" s="15">
        <f t="shared" si="258"/>
        <v>1.1184717949208598</v>
      </c>
      <c r="FY175" s="28">
        <f t="shared" si="259"/>
        <v>673.13074159648181</v>
      </c>
      <c r="FZ175" s="28">
        <f t="shared" si="260"/>
        <v>601.83077003216772</v>
      </c>
      <c r="GA175" s="33">
        <v>22</v>
      </c>
      <c r="GB175" s="8">
        <v>24</v>
      </c>
      <c r="GC175" s="9">
        <v>16</v>
      </c>
      <c r="GD175" s="10">
        <v>13</v>
      </c>
      <c r="GE175" s="31">
        <v>1.5</v>
      </c>
      <c r="GK175" s="11">
        <v>8.44</v>
      </c>
      <c r="GL175" s="1">
        <v>2</v>
      </c>
      <c r="GM175" s="35">
        <f t="shared" si="211"/>
        <v>724.56</v>
      </c>
      <c r="GN175" s="35">
        <f t="shared" si="230"/>
        <v>170</v>
      </c>
      <c r="GO175" s="15">
        <f t="shared" si="261"/>
        <v>1.1076097464176882</v>
      </c>
      <c r="GP175" s="28">
        <f t="shared" si="262"/>
        <v>706.05471897388668</v>
      </c>
      <c r="GQ175" s="28">
        <f t="shared" si="263"/>
        <v>637.45802278957922</v>
      </c>
      <c r="GR175" s="33">
        <v>29</v>
      </c>
      <c r="GS175" s="8">
        <v>18</v>
      </c>
      <c r="GT175" s="9">
        <v>16</v>
      </c>
      <c r="GU175" s="10">
        <v>13</v>
      </c>
      <c r="GV175" s="31">
        <v>1</v>
      </c>
      <c r="HB175" s="11">
        <v>6</v>
      </c>
      <c r="HC175" s="1">
        <v>2</v>
      </c>
      <c r="HD175" s="35">
        <f t="shared" si="212"/>
        <v>544</v>
      </c>
      <c r="HE175" s="35">
        <f t="shared" si="231"/>
        <v>140</v>
      </c>
      <c r="HF175" s="15">
        <f t="shared" si="264"/>
        <v>1.3280771695499369</v>
      </c>
      <c r="HG175" s="28">
        <f t="shared" si="265"/>
        <v>495.74375936016042</v>
      </c>
      <c r="HH175" s="28">
        <f t="shared" si="266"/>
        <v>373.27933250155911</v>
      </c>
      <c r="HI175" s="33">
        <v>43</v>
      </c>
      <c r="HJ175" s="8">
        <v>14</v>
      </c>
      <c r="HK175" s="9">
        <v>11</v>
      </c>
      <c r="HL175" s="10">
        <v>9</v>
      </c>
      <c r="HM175" s="31">
        <v>0</v>
      </c>
      <c r="HU175" s="35">
        <f t="shared" si="213"/>
        <v>0</v>
      </c>
      <c r="HV175" s="35">
        <f t="shared" si="232"/>
        <v>0</v>
      </c>
      <c r="HW175" s="15">
        <f t="shared" si="267"/>
        <v>5.5790326793353659E-7</v>
      </c>
      <c r="HX175" s="28">
        <f t="shared" si="268"/>
        <v>1.5159639517881621E-7</v>
      </c>
      <c r="HY175" s="28">
        <f t="shared" si="269"/>
        <v>0.27172523247681707</v>
      </c>
      <c r="HZ175" s="33"/>
      <c r="ID175" s="31"/>
      <c r="II175" s="12"/>
      <c r="IL175" s="35">
        <f t="shared" si="214"/>
        <v>0</v>
      </c>
      <c r="IM175" s="35">
        <f t="shared" si="215"/>
        <v>6477.4001602996395</v>
      </c>
      <c r="IN175" s="15">
        <f t="shared" si="270"/>
        <v>1.7656663809598332E-2</v>
      </c>
      <c r="IO175" s="28">
        <f t="shared" si="271"/>
        <v>0.40445624089641957</v>
      </c>
      <c r="IP175" s="28">
        <f t="shared" si="272"/>
        <v>22.906719256700878</v>
      </c>
      <c r="IQ175" s="33"/>
      <c r="IU175" s="31"/>
      <c r="JC175" s="35">
        <f t="shared" si="180"/>
        <v>0</v>
      </c>
      <c r="JD175" s="35">
        <f t="shared" si="216"/>
        <v>7014.0227536786051</v>
      </c>
      <c r="JE175" s="15">
        <f t="shared" si="273"/>
        <v>6.8561044887993673E-3</v>
      </c>
      <c r="JF175" s="28">
        <f t="shared" si="274"/>
        <v>4.0627425513678359E-2</v>
      </c>
      <c r="JG175" s="28">
        <f t="shared" si="275"/>
        <v>5.9257302131334617</v>
      </c>
      <c r="JH175" s="33"/>
      <c r="JL175" s="31"/>
      <c r="JR175" s="99"/>
      <c r="JS175" s="99"/>
      <c r="JT175" s="99"/>
      <c r="JU175" s="99"/>
      <c r="JV175" s="99"/>
      <c r="JW175" s="99"/>
      <c r="JX175" s="99"/>
      <c r="JY175" s="99"/>
      <c r="JZ175" s="99"/>
      <c r="KA175" s="99"/>
      <c r="KB175" s="99"/>
      <c r="KC175" s="99"/>
      <c r="KD175" s="99"/>
      <c r="KE175" s="99"/>
      <c r="KF175" s="99"/>
      <c r="KG175" s="99"/>
      <c r="KH175" s="99"/>
      <c r="KI175" s="99"/>
      <c r="KJ175" s="99"/>
      <c r="KK175" s="99"/>
      <c r="KL175" s="99"/>
      <c r="KM175" s="99"/>
      <c r="KN175" s="99"/>
      <c r="KO175" s="99"/>
      <c r="KP175" s="99"/>
      <c r="KQ175" s="99"/>
      <c r="KR175" s="99"/>
      <c r="KS175" s="99"/>
      <c r="KT175" s="99"/>
      <c r="KU175" s="99"/>
      <c r="KV175" s="99"/>
      <c r="KW175" s="99"/>
      <c r="KX175" s="99"/>
      <c r="KY175" s="99"/>
      <c r="KZ175" s="99"/>
      <c r="LA175" s="99"/>
      <c r="LB175" s="99"/>
      <c r="LC175" s="99"/>
      <c r="LD175" s="99"/>
      <c r="LE175" s="99"/>
      <c r="LF175" s="99"/>
      <c r="LG175" s="99"/>
      <c r="LH175" s="99"/>
      <c r="LI175" s="99"/>
      <c r="LJ175" s="99"/>
      <c r="LK175" s="99"/>
      <c r="LL175" s="99"/>
      <c r="LM175" s="99"/>
      <c r="LN175" s="99"/>
      <c r="LO175" s="99"/>
      <c r="LP175" s="99"/>
      <c r="LQ175" s="99"/>
      <c r="LR175" s="99"/>
      <c r="LS175" s="99"/>
      <c r="LT175" s="99"/>
      <c r="LU175" s="99"/>
      <c r="LV175" s="99"/>
      <c r="LW175" s="99"/>
      <c r="LX175" s="99"/>
      <c r="LY175" s="99"/>
      <c r="LZ175" s="99"/>
      <c r="MA175" s="99"/>
      <c r="MB175" s="99"/>
      <c r="MC175" s="99"/>
      <c r="MD175" s="99"/>
      <c r="ME175" s="99"/>
      <c r="MF175" s="99"/>
    </row>
    <row r="176" spans="1:344" ht="17.25" customHeight="1" x14ac:dyDescent="0.25">
      <c r="A176" s="156"/>
      <c r="B176" s="81" t="s">
        <v>5</v>
      </c>
      <c r="C176" s="82">
        <v>45310</v>
      </c>
      <c r="D176" s="49">
        <v>12</v>
      </c>
      <c r="E176" s="39">
        <v>11</v>
      </c>
      <c r="F176" s="103">
        <v>67</v>
      </c>
      <c r="G176" s="89">
        <f t="shared" si="194"/>
        <v>6.2318181818181815</v>
      </c>
      <c r="H176" s="35">
        <f t="shared" si="195"/>
        <v>417.53181818181815</v>
      </c>
      <c r="I176" s="39"/>
      <c r="L176" s="89">
        <f t="shared" si="196"/>
        <v>0</v>
      </c>
      <c r="M176" s="35">
        <f t="shared" si="217"/>
        <v>0</v>
      </c>
      <c r="N176" s="35">
        <f t="shared" si="218"/>
        <v>417.53181818181815</v>
      </c>
      <c r="O176" s="97">
        <f>SUM($Z176,$BH176,$AQ176,$BY176,$CP176,$DG176,$DX176,$EO176,$FF176,$FW176,$GN176)/E176</f>
        <v>164.94545454545457</v>
      </c>
      <c r="P176" s="150"/>
      <c r="Q176" s="132">
        <f>SUM(AD176+AI176+AU176+AZ176+BL176+BQ176+CC176+CH176+CT176+CY176+DK176+DP176+EB176+EG176+ES176+EX176+FJ176+FO176+GA176+GF176+GR176+GW176)/11</f>
        <v>21.818181818181817</v>
      </c>
      <c r="R176" s="134">
        <f>SUM(AE176+AJ176+AV176+BA176+BM176+BR176+CD176+CI176+CU176+CZ176+DL176+DQ176+EC176+EH176+ET176+EY176+FK176+FP176+GB176+GG176+GS176+GX176)/11</f>
        <v>20.636363636363637</v>
      </c>
      <c r="S176" s="136">
        <f>SUM(AF176+AK176+AW176+BB176+BN176+BS176+CE176+CJ176+CV176+DA176+DM176+DR176+ED176+EI176+EU176+EZ176+FL176+FQ176+GC176+GH176+GT176+GY176)/11</f>
        <v>16.90909090909091</v>
      </c>
      <c r="T176" s="138">
        <f>SUM(AG176+AL176+AX176+BC176+BO176+BT176+CF176+CK176+CW176+DB176+DN176+DS176+EE176+EJ176+EV176+FA176+FM176+FR176+GD176+GI176+GU176+GZ176)/11</f>
        <v>12.395454545454545</v>
      </c>
      <c r="U176" s="144">
        <f>SUM(AH176+AM176+AY176+BD176+BP176+BU176+CG176+CL176+CX176+DC176+DO176+DT176+EF176+EK176+EW176+FB176+FN176+FS176+GE176+GJ176+GV176+HA176)/11</f>
        <v>0.30909090909090908</v>
      </c>
      <c r="W176" s="11">
        <v>0</v>
      </c>
      <c r="X176" s="1">
        <v>0</v>
      </c>
      <c r="Y176" s="35">
        <f t="shared" si="201"/>
        <v>0</v>
      </c>
      <c r="Z176" s="35">
        <f t="shared" si="220"/>
        <v>175.5</v>
      </c>
      <c r="AA176" s="15">
        <f t="shared" si="233"/>
        <v>0.39469388673695838</v>
      </c>
      <c r="AB176" s="43">
        <f t="shared" si="298"/>
        <v>157.25163535584383</v>
      </c>
      <c r="AC176" s="43">
        <f t="shared" si="299"/>
        <v>398.41416510371073</v>
      </c>
      <c r="AD176" s="33">
        <v>15</v>
      </c>
      <c r="AE176" s="8">
        <v>18</v>
      </c>
      <c r="AF176" s="9">
        <v>19</v>
      </c>
      <c r="AG176" s="10">
        <v>15</v>
      </c>
      <c r="AH176" s="31">
        <v>1.5</v>
      </c>
      <c r="AN176" s="11">
        <v>9</v>
      </c>
      <c r="AP176" s="35">
        <f t="shared" si="202"/>
        <v>603</v>
      </c>
      <c r="AQ176" s="35">
        <f t="shared" si="221"/>
        <v>136.5</v>
      </c>
      <c r="AR176" s="15">
        <f t="shared" si="234"/>
        <v>1.125269961787942</v>
      </c>
      <c r="AS176" s="28">
        <f t="shared" si="235"/>
        <v>704.51055475923874</v>
      </c>
      <c r="AT176" s="28">
        <f t="shared" si="236"/>
        <v>626.08136596825307</v>
      </c>
      <c r="AU176" s="33">
        <v>23</v>
      </c>
      <c r="AV176" s="8">
        <v>26</v>
      </c>
      <c r="AW176" s="9">
        <v>13</v>
      </c>
      <c r="AX176" s="10">
        <v>5</v>
      </c>
      <c r="AY176" s="31">
        <v>0.5</v>
      </c>
      <c r="BE176" s="11">
        <v>7</v>
      </c>
      <c r="BG176" s="35">
        <f t="shared" si="203"/>
        <v>469</v>
      </c>
      <c r="BH176" s="35">
        <f t="shared" si="222"/>
        <v>120</v>
      </c>
      <c r="BI176" s="15">
        <f t="shared" si="237"/>
        <v>1.5620541147201139</v>
      </c>
      <c r="BJ176" s="28">
        <f t="shared" si="238"/>
        <v>697.70935525932714</v>
      </c>
      <c r="BK176" s="28">
        <f t="shared" si="239"/>
        <v>446.66144961587418</v>
      </c>
      <c r="BL176" s="33">
        <v>37</v>
      </c>
      <c r="BM176" s="8">
        <v>15</v>
      </c>
      <c r="BN176" s="9">
        <v>15</v>
      </c>
      <c r="BO176" s="10">
        <v>2</v>
      </c>
      <c r="BP176" s="31">
        <v>0</v>
      </c>
      <c r="BV176" s="11">
        <v>6</v>
      </c>
      <c r="BX176" s="35">
        <f t="shared" si="204"/>
        <v>402</v>
      </c>
      <c r="BY176" s="35">
        <f t="shared" si="223"/>
        <v>158</v>
      </c>
      <c r="BZ176" s="15">
        <f t="shared" si="240"/>
        <v>1.1124968279625265</v>
      </c>
      <c r="CA176" s="28">
        <f t="shared" si="241"/>
        <v>576.50612666537199</v>
      </c>
      <c r="CB176" s="28">
        <f t="shared" si="242"/>
        <v>518.20923186020184</v>
      </c>
      <c r="CC176" s="33">
        <v>20</v>
      </c>
      <c r="CD176" s="8">
        <v>16</v>
      </c>
      <c r="CE176" s="9">
        <v>20</v>
      </c>
      <c r="CF176" s="10">
        <v>11</v>
      </c>
      <c r="CG176" s="31">
        <v>0.4</v>
      </c>
      <c r="CM176" s="11">
        <v>8</v>
      </c>
      <c r="CO176" s="35">
        <f t="shared" si="205"/>
        <v>536</v>
      </c>
      <c r="CP176" s="35">
        <f t="shared" si="224"/>
        <v>363</v>
      </c>
      <c r="CQ176" s="15">
        <f t="shared" si="243"/>
        <v>1.1873827367049821</v>
      </c>
      <c r="CR176" s="28">
        <f t="shared" si="244"/>
        <v>697.12951692146612</v>
      </c>
      <c r="CS176" s="28">
        <f t="shared" si="245"/>
        <v>587.11441169847103</v>
      </c>
      <c r="CT176" s="33">
        <v>18</v>
      </c>
      <c r="CU176" s="8">
        <v>27</v>
      </c>
      <c r="CV176" s="9">
        <v>17</v>
      </c>
      <c r="CW176" s="10">
        <v>60</v>
      </c>
      <c r="CX176" s="31"/>
      <c r="DD176" s="11">
        <v>4.5</v>
      </c>
      <c r="DF176" s="35">
        <f t="shared" si="206"/>
        <v>301.5</v>
      </c>
      <c r="DG176" s="35">
        <f t="shared" si="225"/>
        <v>142</v>
      </c>
      <c r="DH176" s="15">
        <f t="shared" si="246"/>
        <v>0.9978672615990809</v>
      </c>
      <c r="DI176" s="28">
        <f t="shared" si="247"/>
        <v>434.41618255138849</v>
      </c>
      <c r="DJ176" s="28">
        <f t="shared" si="248"/>
        <v>435.3446588228951</v>
      </c>
      <c r="DK176" s="33">
        <v>22</v>
      </c>
      <c r="DL176" s="8">
        <v>25</v>
      </c>
      <c r="DM176" s="9">
        <v>14</v>
      </c>
      <c r="DN176" s="10">
        <v>7</v>
      </c>
      <c r="DO176" s="31">
        <v>0</v>
      </c>
      <c r="DU176" s="11">
        <v>4.3</v>
      </c>
      <c r="DW176" s="35">
        <f t="shared" si="207"/>
        <v>288.09999999999997</v>
      </c>
      <c r="DX176" s="35">
        <f t="shared" si="226"/>
        <v>104.4</v>
      </c>
      <c r="DY176" s="15">
        <f t="shared" si="249"/>
        <v>0.99457031901199089</v>
      </c>
      <c r="DZ176" s="28">
        <f t="shared" si="250"/>
        <v>431.43932576554647</v>
      </c>
      <c r="EA176" s="28">
        <f t="shared" si="251"/>
        <v>433.79469256044115</v>
      </c>
      <c r="EB176" s="33">
        <v>38</v>
      </c>
      <c r="EC176" s="8">
        <v>22</v>
      </c>
      <c r="ED176" s="9">
        <v>7</v>
      </c>
      <c r="EE176" s="10">
        <v>0.35</v>
      </c>
      <c r="EF176" s="31">
        <v>0</v>
      </c>
      <c r="EL176" s="11">
        <v>7</v>
      </c>
      <c r="EN176" s="35">
        <f t="shared" si="208"/>
        <v>469</v>
      </c>
      <c r="EO176" s="35">
        <f t="shared" si="227"/>
        <v>171</v>
      </c>
      <c r="EP176" s="15">
        <f t="shared" si="252"/>
        <v>1.1181034059418689</v>
      </c>
      <c r="EQ176" s="28">
        <f t="shared" si="253"/>
        <v>638.1098773918028</v>
      </c>
      <c r="ER176" s="28">
        <f t="shared" si="254"/>
        <v>570.70739074823882</v>
      </c>
      <c r="ES176" s="33">
        <v>15</v>
      </c>
      <c r="ET176" s="8">
        <v>19</v>
      </c>
      <c r="EU176" s="9">
        <v>22</v>
      </c>
      <c r="EV176" s="10">
        <v>13</v>
      </c>
      <c r="EW176" s="31">
        <v>0</v>
      </c>
      <c r="FC176" s="11">
        <v>8</v>
      </c>
      <c r="FE176" s="35">
        <f t="shared" si="209"/>
        <v>536</v>
      </c>
      <c r="FF176" s="35">
        <f t="shared" si="228"/>
        <v>135</v>
      </c>
      <c r="FG176" s="15">
        <f t="shared" si="255"/>
        <v>1.0881279362928471</v>
      </c>
      <c r="FH176" s="28">
        <f t="shared" si="256"/>
        <v>690.38771046843362</v>
      </c>
      <c r="FI176" s="28">
        <f t="shared" si="257"/>
        <v>634.47292128214417</v>
      </c>
      <c r="FJ176" s="33">
        <v>28</v>
      </c>
      <c r="FK176" s="8">
        <v>18</v>
      </c>
      <c r="FL176" s="9">
        <v>17</v>
      </c>
      <c r="FM176" s="10">
        <v>5</v>
      </c>
      <c r="FN176" s="31">
        <v>0</v>
      </c>
      <c r="FT176" s="11">
        <v>7.5</v>
      </c>
      <c r="FV176" s="35">
        <f t="shared" si="210"/>
        <v>502.5</v>
      </c>
      <c r="FW176" s="35">
        <f t="shared" si="229"/>
        <v>139</v>
      </c>
      <c r="FX176" s="15">
        <f t="shared" si="258"/>
        <v>1.0596535377683785</v>
      </c>
      <c r="FY176" s="28">
        <f t="shared" si="259"/>
        <v>630.4730561973613</v>
      </c>
      <c r="FZ176" s="28">
        <f t="shared" si="260"/>
        <v>594.98037209891481</v>
      </c>
      <c r="GA176" s="33">
        <v>10</v>
      </c>
      <c r="GB176" s="8">
        <v>23</v>
      </c>
      <c r="GC176" s="9">
        <v>18</v>
      </c>
      <c r="GD176" s="10">
        <v>6</v>
      </c>
      <c r="GE176" s="31">
        <v>1</v>
      </c>
      <c r="GK176" s="11">
        <v>7.25</v>
      </c>
      <c r="GM176" s="35">
        <f t="shared" si="211"/>
        <v>485.75</v>
      </c>
      <c r="GN176" s="35">
        <f t="shared" si="230"/>
        <v>170</v>
      </c>
      <c r="GO176" s="15">
        <f t="shared" si="261"/>
        <v>1.0382509005360818</v>
      </c>
      <c r="GP176" s="28">
        <f t="shared" si="262"/>
        <v>650.97853923041498</v>
      </c>
      <c r="GQ176" s="28">
        <f t="shared" si="263"/>
        <v>626.99540052822886</v>
      </c>
      <c r="GR176" s="33">
        <v>14</v>
      </c>
      <c r="GS176" s="8">
        <v>18</v>
      </c>
      <c r="GT176" s="9">
        <v>24</v>
      </c>
      <c r="GU176" s="10">
        <v>12</v>
      </c>
      <c r="GV176" s="31">
        <v>0</v>
      </c>
      <c r="HB176" s="11">
        <v>5.8</v>
      </c>
      <c r="HD176" s="35">
        <f t="shared" si="212"/>
        <v>388.59999999999997</v>
      </c>
      <c r="HE176" s="35">
        <f t="shared" si="231"/>
        <v>98</v>
      </c>
      <c r="HF176" s="15">
        <f t="shared" si="264"/>
        <v>1.252772661161083</v>
      </c>
      <c r="HG176" s="28">
        <f t="shared" si="265"/>
        <v>468.95781952012032</v>
      </c>
      <c r="HH176" s="28">
        <f t="shared" si="266"/>
        <v>374.3359302600723</v>
      </c>
      <c r="HI176" s="33">
        <v>44</v>
      </c>
      <c r="HJ176" s="8">
        <v>18</v>
      </c>
      <c r="HK176" s="9">
        <v>6</v>
      </c>
      <c r="HL176" s="10">
        <v>0</v>
      </c>
      <c r="HM176" s="31">
        <v>0</v>
      </c>
      <c r="HU176" s="35">
        <f t="shared" si="213"/>
        <v>0</v>
      </c>
      <c r="HV176" s="35">
        <f t="shared" si="232"/>
        <v>0</v>
      </c>
      <c r="HW176" s="15">
        <f t="shared" si="267"/>
        <v>4.4942207694646013E-7</v>
      </c>
      <c r="HX176" s="28">
        <f t="shared" si="268"/>
        <v>1.1369729638411216E-7</v>
      </c>
      <c r="HY176" s="28">
        <f t="shared" si="269"/>
        <v>0.25298556127151933</v>
      </c>
      <c r="HZ176" s="33"/>
      <c r="ID176" s="31"/>
      <c r="II176" s="12"/>
      <c r="IL176" s="35">
        <f t="shared" si="214"/>
        <v>0</v>
      </c>
      <c r="IM176" s="35">
        <f t="shared" si="215"/>
        <v>5776.408156446385</v>
      </c>
      <c r="IN176" s="15">
        <f t="shared" si="270"/>
        <v>1.4223423624398655E-2</v>
      </c>
      <c r="IO176" s="28">
        <f t="shared" si="271"/>
        <v>0.30334218067231467</v>
      </c>
      <c r="IP176" s="28">
        <f t="shared" si="272"/>
        <v>21.326945514859439</v>
      </c>
      <c r="IQ176" s="33"/>
      <c r="IU176" s="31"/>
      <c r="JC176" s="35">
        <f t="shared" si="180"/>
        <v>0</v>
      </c>
      <c r="JD176" s="35">
        <f t="shared" si="216"/>
        <v>7352.6522743883343</v>
      </c>
      <c r="JE176" s="15">
        <f t="shared" si="273"/>
        <v>5.5229730604217124E-3</v>
      </c>
      <c r="JF176" s="28">
        <f t="shared" si="274"/>
        <v>3.0470569135258769E-2</v>
      </c>
      <c r="JG176" s="28">
        <f t="shared" si="275"/>
        <v>5.5170591639518438</v>
      </c>
      <c r="JH176" s="33"/>
      <c r="JL176" s="31"/>
      <c r="JR176" s="99"/>
      <c r="JS176" s="99"/>
      <c r="JT176" s="99"/>
      <c r="JU176" s="99"/>
      <c r="JV176" s="99"/>
      <c r="JW176" s="99"/>
      <c r="JX176" s="99"/>
      <c r="JY176" s="99"/>
      <c r="JZ176" s="99"/>
      <c r="KA176" s="99"/>
      <c r="KB176" s="99"/>
      <c r="KC176" s="99"/>
      <c r="KD176" s="99"/>
      <c r="KE176" s="99"/>
      <c r="KF176" s="99"/>
      <c r="KG176" s="99"/>
      <c r="KH176" s="99"/>
      <c r="KI176" s="99"/>
      <c r="KJ176" s="99"/>
      <c r="KK176" s="99"/>
      <c r="KL176" s="99"/>
      <c r="KM176" s="99"/>
      <c r="KN176" s="99"/>
      <c r="KO176" s="99"/>
      <c r="KP176" s="99"/>
      <c r="KQ176" s="99"/>
      <c r="KR176" s="99"/>
      <c r="KS176" s="99"/>
      <c r="KT176" s="99"/>
      <c r="KU176" s="99"/>
      <c r="KV176" s="99"/>
      <c r="KW176" s="99"/>
      <c r="KX176" s="99"/>
      <c r="KY176" s="99"/>
      <c r="KZ176" s="99"/>
      <c r="LA176" s="99"/>
      <c r="LB176" s="99"/>
      <c r="LC176" s="99"/>
      <c r="LD176" s="99"/>
      <c r="LE176" s="99"/>
      <c r="LF176" s="99"/>
      <c r="LG176" s="99"/>
      <c r="LH176" s="99"/>
      <c r="LI176" s="99"/>
      <c r="LJ176" s="99"/>
      <c r="LK176" s="99"/>
      <c r="LL176" s="99"/>
      <c r="LM176" s="99"/>
      <c r="LN176" s="99"/>
      <c r="LO176" s="99"/>
      <c r="LP176" s="99"/>
      <c r="LQ176" s="99"/>
      <c r="LR176" s="99"/>
      <c r="LS176" s="99"/>
      <c r="LT176" s="99"/>
      <c r="LU176" s="99"/>
      <c r="LV176" s="99"/>
      <c r="LW176" s="99"/>
      <c r="LX176" s="99"/>
      <c r="LY176" s="99"/>
      <c r="LZ176" s="99"/>
      <c r="MA176" s="99"/>
      <c r="MB176" s="99"/>
      <c r="MC176" s="99"/>
      <c r="MD176" s="99"/>
      <c r="ME176" s="99"/>
      <c r="MF176" s="99"/>
    </row>
    <row r="177" spans="1:344" ht="17.25" customHeight="1" x14ac:dyDescent="0.25">
      <c r="A177" s="156"/>
      <c r="B177" s="90" t="s">
        <v>6</v>
      </c>
      <c r="C177" s="91">
        <v>45311</v>
      </c>
      <c r="D177" s="49"/>
      <c r="G177" s="89">
        <f t="shared" si="194"/>
        <v>0</v>
      </c>
      <c r="H177" s="35">
        <f t="shared" si="195"/>
        <v>0</v>
      </c>
      <c r="I177" s="39">
        <v>10</v>
      </c>
      <c r="J177" s="39">
        <v>10</v>
      </c>
      <c r="K177" s="103">
        <v>100</v>
      </c>
      <c r="L177" s="89">
        <f t="shared" si="196"/>
        <v>6.6363636363636367</v>
      </c>
      <c r="M177" s="35">
        <f t="shared" si="217"/>
        <v>663.63636363636363</v>
      </c>
      <c r="N177" s="35">
        <f t="shared" si="218"/>
        <v>663.63636363636363</v>
      </c>
      <c r="O177" s="97">
        <f>SUM($Z177,$BH177,$AQ177,$BY177,$CP177,$DG177,$DX177,$EO177,$FF177,$FW177,$GN177)/J177</f>
        <v>0</v>
      </c>
      <c r="P177" s="150"/>
      <c r="Q177" s="132">
        <f t="shared" ref="Q177:Q222" si="355">SUM(AD177+AI177+AU177+AZ177+BL177+BQ177+CC177+CH177+CT177+CY177+DK177+DP177+EB177+EG177+ES177+EX177+FJ177+FO177+GA177+GF177+GR177+GW177)/10</f>
        <v>0</v>
      </c>
      <c r="R177" s="134">
        <f t="shared" ref="R177:R221" si="356">SUM(AE177+AJ177+AV177+BA177+BM177+BR177+CD177+CI177+CU177+CZ177+DL177+DQ177+EC177+EH177+ET177+EY177+FK177+FP177+GB177+GG177+GS177+GX177)/10</f>
        <v>0</v>
      </c>
      <c r="S177" s="136">
        <f t="shared" ref="S177:S221" si="357">SUM(AF177+AK177+AW177+BB177+BN177+BS177+CE177+CJ177+CV177+DA177+DM177+DR177+ED177+EI177+EU177+EZ177+FL177+FQ177+GC177+GH177+GT177+GY177)/10</f>
        <v>0</v>
      </c>
      <c r="T177" s="138">
        <f t="shared" ref="T177:T221" si="358">SUM(AG177+AL177+AX177+BC177+BO177+BT177+CF177+CK177+CW177+DB177+DN177+DS177+EE177+EJ177+EV177+FA177+FM177+FR177+GD177+GI177+GU177+GZ177)/10</f>
        <v>0</v>
      </c>
      <c r="U177" s="144">
        <f t="shared" ref="U177:U221" si="359">SUM(AH177+AM177+AY177+BD177+BP177+BU177+CG177+CL177+CX177+DC177+DO177+DT177+EF177+EK177+EW177+FB177+FN177+FS177+GE177+GJ177+GV177+HA177)/10</f>
        <v>0</v>
      </c>
      <c r="W177" s="11">
        <v>0</v>
      </c>
      <c r="X177" s="1">
        <v>0</v>
      </c>
      <c r="Y177" s="35">
        <f t="shared" si="201"/>
        <v>0</v>
      </c>
      <c r="Z177" s="35">
        <f t="shared" si="220"/>
        <v>0</v>
      </c>
      <c r="AA177" s="15">
        <f t="shared" si="233"/>
        <v>0.31794785320477204</v>
      </c>
      <c r="AB177" s="43">
        <f t="shared" si="298"/>
        <v>117.93872651688287</v>
      </c>
      <c r="AC177" s="43">
        <f t="shared" si="299"/>
        <v>370.937326131041</v>
      </c>
      <c r="AD177" s="33"/>
      <c r="AH177" s="31"/>
      <c r="AO177" s="1">
        <v>6</v>
      </c>
      <c r="AP177" s="35">
        <f t="shared" si="202"/>
        <v>600</v>
      </c>
      <c r="AQ177" s="35">
        <f t="shared" si="221"/>
        <v>0</v>
      </c>
      <c r="AR177" s="15">
        <f t="shared" si="234"/>
        <v>1.086659888597697</v>
      </c>
      <c r="AS177" s="28">
        <f t="shared" si="235"/>
        <v>678.38291606942903</v>
      </c>
      <c r="AT177" s="28">
        <f t="shared" si="236"/>
        <v>624.28265107389075</v>
      </c>
      <c r="AU177" s="33"/>
      <c r="AY177" s="31"/>
      <c r="BF177" s="1">
        <v>2</v>
      </c>
      <c r="BG177" s="35">
        <f t="shared" si="203"/>
        <v>200</v>
      </c>
      <c r="BH177" s="35">
        <f t="shared" si="222"/>
        <v>0</v>
      </c>
      <c r="BI177" s="15">
        <f t="shared" si="237"/>
        <v>1.3342990711679845</v>
      </c>
      <c r="BJ177" s="28">
        <f t="shared" si="238"/>
        <v>573.28201644449541</v>
      </c>
      <c r="BK177" s="28">
        <f t="shared" si="239"/>
        <v>429.65031515960698</v>
      </c>
      <c r="BL177" s="33"/>
      <c r="BP177" s="31"/>
      <c r="BW177" s="1">
        <v>8</v>
      </c>
      <c r="BX177" s="35">
        <f t="shared" si="204"/>
        <v>800</v>
      </c>
      <c r="BY177" s="35">
        <f t="shared" si="223"/>
        <v>0</v>
      </c>
      <c r="BZ177" s="15">
        <f t="shared" si="240"/>
        <v>1.1762070803987972</v>
      </c>
      <c r="CA177" s="28">
        <f t="shared" si="241"/>
        <v>632.379594999029</v>
      </c>
      <c r="CB177" s="28">
        <f t="shared" si="242"/>
        <v>537.64307793880857</v>
      </c>
      <c r="CC177" s="33"/>
      <c r="CG177" s="31"/>
      <c r="CN177" s="1">
        <v>7.5</v>
      </c>
      <c r="CO177" s="35">
        <f t="shared" si="205"/>
        <v>750</v>
      </c>
      <c r="CP177" s="35">
        <f t="shared" si="224"/>
        <v>0</v>
      </c>
      <c r="CQ177" s="15">
        <f t="shared" si="243"/>
        <v>1.1871807973954398</v>
      </c>
      <c r="CR177" s="28">
        <f t="shared" si="244"/>
        <v>710.34713769109953</v>
      </c>
      <c r="CS177" s="28">
        <f t="shared" si="245"/>
        <v>598.34790054685243</v>
      </c>
      <c r="CT177" s="33"/>
      <c r="CX177" s="31"/>
      <c r="DE177" s="1">
        <v>7.5</v>
      </c>
      <c r="DF177" s="35">
        <f t="shared" si="206"/>
        <v>750</v>
      </c>
      <c r="DG177" s="35">
        <f t="shared" si="225"/>
        <v>0</v>
      </c>
      <c r="DH177" s="15">
        <f t="shared" si="246"/>
        <v>1.1231106485957945</v>
      </c>
      <c r="DI177" s="28">
        <f t="shared" si="247"/>
        <v>513.31213691354139</v>
      </c>
      <c r="DJ177" s="28">
        <f t="shared" si="248"/>
        <v>457.04502717993682</v>
      </c>
      <c r="DK177" s="33"/>
      <c r="DO177" s="31"/>
      <c r="DV177" s="1">
        <v>8.5</v>
      </c>
      <c r="DW177" s="35">
        <f t="shared" si="207"/>
        <v>850</v>
      </c>
      <c r="DX177" s="35">
        <f t="shared" si="226"/>
        <v>0</v>
      </c>
      <c r="DY177" s="15">
        <f t="shared" si="249"/>
        <v>1.1590945405554849</v>
      </c>
      <c r="DZ177" s="28">
        <f t="shared" si="250"/>
        <v>536.0794943241599</v>
      </c>
      <c r="EA177" s="28">
        <f t="shared" si="251"/>
        <v>462.49850686661762</v>
      </c>
      <c r="EB177" s="33"/>
      <c r="EF177" s="31"/>
      <c r="EM177" s="1">
        <v>9</v>
      </c>
      <c r="EN177" s="35">
        <f t="shared" si="208"/>
        <v>900</v>
      </c>
      <c r="EO177" s="35">
        <f t="shared" si="227"/>
        <v>0</v>
      </c>
      <c r="EP177" s="15">
        <f t="shared" si="252"/>
        <v>1.1856454065914028</v>
      </c>
      <c r="EQ177" s="28">
        <f t="shared" si="253"/>
        <v>703.58240804385207</v>
      </c>
      <c r="ER177" s="28">
        <f t="shared" si="254"/>
        <v>593.41722586904996</v>
      </c>
      <c r="ES177" s="33"/>
      <c r="EW177" s="31"/>
      <c r="FD177" s="1">
        <v>9</v>
      </c>
      <c r="FE177" s="35">
        <f t="shared" si="209"/>
        <v>900</v>
      </c>
      <c r="FF177" s="35">
        <f t="shared" si="228"/>
        <v>0</v>
      </c>
      <c r="FG177" s="15">
        <f t="shared" si="255"/>
        <v>1.1378794408910782</v>
      </c>
      <c r="FH177" s="28">
        <f t="shared" si="256"/>
        <v>742.79078285132528</v>
      </c>
      <c r="FI177" s="28">
        <f t="shared" si="257"/>
        <v>652.78513360751356</v>
      </c>
      <c r="FJ177" s="33"/>
      <c r="FN177" s="31"/>
      <c r="FU177" s="1">
        <v>8.5</v>
      </c>
      <c r="FV177" s="35">
        <f t="shared" si="210"/>
        <v>850</v>
      </c>
      <c r="FW177" s="35">
        <f t="shared" si="229"/>
        <v>0</v>
      </c>
      <c r="FX177" s="15">
        <f t="shared" si="258"/>
        <v>1.1188225103296849</v>
      </c>
      <c r="FY177" s="28">
        <f t="shared" si="259"/>
        <v>685.35479214802103</v>
      </c>
      <c r="FZ177" s="28">
        <f t="shared" si="260"/>
        <v>612.56793264381724</v>
      </c>
      <c r="GA177" s="33"/>
      <c r="GE177" s="31"/>
      <c r="GL177" s="1">
        <v>7</v>
      </c>
      <c r="GM177" s="35">
        <f t="shared" si="211"/>
        <v>700</v>
      </c>
      <c r="GN177" s="35">
        <f t="shared" si="230"/>
        <v>0</v>
      </c>
      <c r="GO177" s="15">
        <f t="shared" si="261"/>
        <v>1.0493705900552406</v>
      </c>
      <c r="GP177" s="28">
        <f t="shared" si="262"/>
        <v>663.23390442281129</v>
      </c>
      <c r="GQ177" s="28">
        <f t="shared" si="263"/>
        <v>632.03020049179918</v>
      </c>
      <c r="GR177" s="33"/>
      <c r="GV177" s="31"/>
      <c r="HD177" s="35">
        <f t="shared" si="212"/>
        <v>0</v>
      </c>
      <c r="HE177" s="35">
        <f t="shared" si="231"/>
        <v>0</v>
      </c>
      <c r="HF177" s="15">
        <f t="shared" si="264"/>
        <v>1.009177977046428</v>
      </c>
      <c r="HG177" s="28">
        <f t="shared" si="265"/>
        <v>351.71836464009027</v>
      </c>
      <c r="HH177" s="28">
        <f t="shared" si="266"/>
        <v>348.51965920765349</v>
      </c>
      <c r="HI177" s="33"/>
      <c r="HM177" s="31"/>
      <c r="HU177" s="35">
        <f t="shared" si="213"/>
        <v>0</v>
      </c>
      <c r="HV177" s="35">
        <f t="shared" si="232"/>
        <v>0</v>
      </c>
      <c r="HW177" s="15">
        <f t="shared" si="267"/>
        <v>3.6203445087353731E-7</v>
      </c>
      <c r="HX177" s="28">
        <f t="shared" si="268"/>
        <v>8.5272972288084114E-8</v>
      </c>
      <c r="HY177" s="28">
        <f t="shared" si="269"/>
        <v>0.23553828118382833</v>
      </c>
      <c r="HZ177" s="33"/>
      <c r="ID177" s="31"/>
      <c r="II177" s="12"/>
      <c r="IL177" s="35">
        <f t="shared" si="214"/>
        <v>0</v>
      </c>
      <c r="IM177" s="35">
        <f t="shared" si="215"/>
        <v>6021.2623909313552</v>
      </c>
      <c r="IN177" s="15">
        <f t="shared" si="270"/>
        <v>1.1457757919654471E-2</v>
      </c>
      <c r="IO177" s="28">
        <f t="shared" si="271"/>
        <v>0.227506635504236</v>
      </c>
      <c r="IP177" s="28">
        <f t="shared" si="272"/>
        <v>19.856121686248443</v>
      </c>
      <c r="IQ177" s="33"/>
      <c r="IU177" s="31"/>
      <c r="JC177" s="35">
        <f t="shared" si="180"/>
        <v>0</v>
      </c>
      <c r="JD177" s="35">
        <f t="shared" si="216"/>
        <v>6586.6895958908462</v>
      </c>
      <c r="JE177" s="15">
        <f t="shared" si="273"/>
        <v>4.4490616320063793E-3</v>
      </c>
      <c r="JF177" s="28">
        <f t="shared" si="274"/>
        <v>2.2852926851444078E-2</v>
      </c>
      <c r="JG177" s="28">
        <f t="shared" si="275"/>
        <v>5.1365723250586131</v>
      </c>
      <c r="JH177" s="33"/>
      <c r="JL177" s="31"/>
      <c r="JR177" s="99"/>
      <c r="JS177" s="99"/>
      <c r="JT177" s="99"/>
      <c r="JU177" s="99"/>
      <c r="JV177" s="99"/>
      <c r="JW177" s="99"/>
      <c r="JX177" s="99"/>
      <c r="JY177" s="99"/>
      <c r="JZ177" s="99"/>
      <c r="KA177" s="99"/>
      <c r="KB177" s="99"/>
      <c r="KC177" s="99"/>
      <c r="KD177" s="99"/>
      <c r="KE177" s="99"/>
      <c r="KF177" s="99"/>
      <c r="KG177" s="99"/>
      <c r="KH177" s="99"/>
      <c r="KI177" s="99"/>
      <c r="KJ177" s="99"/>
      <c r="KK177" s="99"/>
      <c r="KL177" s="99"/>
      <c r="KM177" s="99"/>
      <c r="KN177" s="99"/>
      <c r="KO177" s="99"/>
      <c r="KP177" s="99"/>
      <c r="KQ177" s="99"/>
      <c r="KR177" s="99"/>
      <c r="KS177" s="99"/>
      <c r="KT177" s="99"/>
      <c r="KU177" s="99"/>
      <c r="KV177" s="99"/>
      <c r="KW177" s="99"/>
      <c r="KX177" s="99"/>
      <c r="KY177" s="99"/>
      <c r="KZ177" s="99"/>
      <c r="LA177" s="99"/>
      <c r="LB177" s="99"/>
      <c r="LC177" s="99"/>
      <c r="LD177" s="99"/>
      <c r="LE177" s="99"/>
      <c r="LF177" s="99"/>
      <c r="LG177" s="99"/>
      <c r="LH177" s="99"/>
      <c r="LI177" s="99"/>
      <c r="LJ177" s="99"/>
      <c r="LK177" s="99"/>
      <c r="LL177" s="99"/>
      <c r="LM177" s="99"/>
      <c r="LN177" s="99"/>
      <c r="LO177" s="99"/>
      <c r="LP177" s="99"/>
      <c r="LQ177" s="99"/>
      <c r="LR177" s="99"/>
      <c r="LS177" s="99"/>
      <c r="LT177" s="99"/>
      <c r="LU177" s="99"/>
      <c r="LV177" s="99"/>
      <c r="LW177" s="99"/>
      <c r="LX177" s="99"/>
      <c r="LY177" s="99"/>
      <c r="LZ177" s="99"/>
      <c r="MA177" s="99"/>
      <c r="MB177" s="99"/>
      <c r="MC177" s="99"/>
      <c r="MD177" s="99"/>
      <c r="ME177" s="99"/>
      <c r="MF177" s="99"/>
    </row>
    <row r="178" spans="1:344" ht="17.25" customHeight="1" x14ac:dyDescent="0.25">
      <c r="A178" s="157"/>
      <c r="B178" s="83" t="s">
        <v>7</v>
      </c>
      <c r="C178" s="84">
        <v>45312</v>
      </c>
      <c r="D178" s="51"/>
      <c r="E178" s="48"/>
      <c r="F178" s="104"/>
      <c r="G178" s="37">
        <f t="shared" si="194"/>
        <v>0</v>
      </c>
      <c r="H178" s="26">
        <f t="shared" si="195"/>
        <v>0</v>
      </c>
      <c r="I178" s="48"/>
      <c r="J178" s="48"/>
      <c r="K178" s="104"/>
      <c r="L178" s="37">
        <f t="shared" si="196"/>
        <v>4.5</v>
      </c>
      <c r="M178" s="26">
        <f t="shared" si="217"/>
        <v>0</v>
      </c>
      <c r="N178" s="26">
        <f t="shared" si="218"/>
        <v>0</v>
      </c>
      <c r="O178" s="98" t="e">
        <f>SUM($Z178,$BH178,$AQ178,$BY178,$CP178,$DG178,$DX178,$EO178,$FF178,$FW178,$GN178)/D178</f>
        <v>#DIV/0!</v>
      </c>
      <c r="P178" s="151"/>
      <c r="Q178" s="139">
        <f t="shared" si="355"/>
        <v>0</v>
      </c>
      <c r="R178" s="140">
        <f t="shared" si="356"/>
        <v>0</v>
      </c>
      <c r="S178" s="141">
        <f t="shared" si="357"/>
        <v>0</v>
      </c>
      <c r="T178" s="142">
        <f t="shared" si="358"/>
        <v>0</v>
      </c>
      <c r="U178" s="145">
        <f t="shared" si="359"/>
        <v>0</v>
      </c>
      <c r="V178" s="23"/>
      <c r="W178" s="13">
        <v>0</v>
      </c>
      <c r="X178" s="2">
        <v>0</v>
      </c>
      <c r="Y178" s="26">
        <f t="shared" si="201"/>
        <v>0</v>
      </c>
      <c r="Z178" s="26">
        <f t="shared" si="220"/>
        <v>0</v>
      </c>
      <c r="AA178" s="16">
        <f t="shared" si="233"/>
        <v>0.25612465952606633</v>
      </c>
      <c r="AB178" s="44">
        <f t="shared" si="298"/>
        <v>88.45404488766215</v>
      </c>
      <c r="AC178" s="44">
        <f t="shared" si="299"/>
        <v>345.35544157027954</v>
      </c>
      <c r="AD178" s="34"/>
      <c r="AE178" s="4"/>
      <c r="AF178" s="5"/>
      <c r="AG178" s="6"/>
      <c r="AH178" s="32"/>
      <c r="AI178" s="3"/>
      <c r="AJ178" s="4"/>
      <c r="AK178" s="5"/>
      <c r="AL178" s="6"/>
      <c r="AM178" s="14"/>
      <c r="AN178" s="13"/>
      <c r="AO178" s="2"/>
      <c r="AP178" s="26">
        <f t="shared" si="202"/>
        <v>0</v>
      </c>
      <c r="AQ178" s="26">
        <f t="shared" si="221"/>
        <v>0</v>
      </c>
      <c r="AR178" s="16">
        <f t="shared" si="234"/>
        <v>0.87536491025925589</v>
      </c>
      <c r="AS178" s="29">
        <f t="shared" si="235"/>
        <v>508.78718705207177</v>
      </c>
      <c r="AT178" s="29">
        <f t="shared" si="236"/>
        <v>581.22867513776032</v>
      </c>
      <c r="AU178" s="34"/>
      <c r="AV178" s="4"/>
      <c r="AW178" s="5"/>
      <c r="AX178" s="6"/>
      <c r="AY178" s="32"/>
      <c r="AZ178" s="3"/>
      <c r="BA178" s="4"/>
      <c r="BB178" s="5"/>
      <c r="BC178" s="6"/>
      <c r="BD178" s="14"/>
      <c r="BE178" s="13"/>
      <c r="BF178" s="2">
        <v>9</v>
      </c>
      <c r="BG178" s="26">
        <f>BF178*100</f>
        <v>900</v>
      </c>
      <c r="BH178" s="26">
        <f t="shared" si="222"/>
        <v>0</v>
      </c>
      <c r="BI178" s="16">
        <f t="shared" si="237"/>
        <v>1.4173949424923367</v>
      </c>
      <c r="BJ178" s="29">
        <f t="shared" si="238"/>
        <v>654.9615123333715</v>
      </c>
      <c r="BK178" s="29">
        <f t="shared" si="239"/>
        <v>462.08822445894441</v>
      </c>
      <c r="BL178" s="34"/>
      <c r="BM178" s="4"/>
      <c r="BN178" s="5"/>
      <c r="BO178" s="6"/>
      <c r="BP178" s="32"/>
      <c r="BQ178" s="3"/>
      <c r="BR178" s="4"/>
      <c r="BS178" s="5"/>
      <c r="BT178" s="6"/>
      <c r="BU178" s="14"/>
      <c r="BV178" s="13"/>
      <c r="BW178" s="2"/>
      <c r="BX178" s="26">
        <f t="shared" si="204"/>
        <v>0</v>
      </c>
      <c r="BY178" s="26">
        <f t="shared" si="223"/>
        <v>0</v>
      </c>
      <c r="BZ178" s="16">
        <f t="shared" si="240"/>
        <v>0.94750014809903116</v>
      </c>
      <c r="CA178" s="29">
        <f t="shared" si="241"/>
        <v>474.28469624927175</v>
      </c>
      <c r="CB178" s="29">
        <f t="shared" si="242"/>
        <v>500.56424497751141</v>
      </c>
      <c r="CC178" s="34"/>
      <c r="CD178" s="4"/>
      <c r="CE178" s="5"/>
      <c r="CF178" s="6"/>
      <c r="CG178" s="32"/>
      <c r="CH178" s="3"/>
      <c r="CI178" s="4"/>
      <c r="CJ178" s="5"/>
      <c r="CK178" s="6"/>
      <c r="CL178" s="14"/>
      <c r="CM178" s="13"/>
      <c r="CN178" s="2"/>
      <c r="CO178" s="26">
        <f t="shared" si="205"/>
        <v>0</v>
      </c>
      <c r="CP178" s="26">
        <f t="shared" si="224"/>
        <v>0</v>
      </c>
      <c r="CQ178" s="16">
        <f t="shared" si="243"/>
        <v>0.95634008679077109</v>
      </c>
      <c r="CR178" s="29">
        <f t="shared" si="244"/>
        <v>532.76035326832471</v>
      </c>
      <c r="CS178" s="29">
        <f t="shared" si="245"/>
        <v>557.08252809534531</v>
      </c>
      <c r="CT178" s="34"/>
      <c r="CU178" s="4"/>
      <c r="CV178" s="5"/>
      <c r="CW178" s="6"/>
      <c r="CX178" s="32"/>
      <c r="CY178" s="3"/>
      <c r="CZ178" s="4"/>
      <c r="DA178" s="5"/>
      <c r="DB178" s="6"/>
      <c r="DC178" s="14"/>
      <c r="DD178" s="13"/>
      <c r="DE178" s="2"/>
      <c r="DF178" s="26">
        <f t="shared" si="206"/>
        <v>0</v>
      </c>
      <c r="DG178" s="26">
        <f t="shared" si="225"/>
        <v>0</v>
      </c>
      <c r="DH178" s="16">
        <f t="shared" si="246"/>
        <v>0.90472802247994555</v>
      </c>
      <c r="DI178" s="29">
        <f t="shared" si="247"/>
        <v>384.98410268515602</v>
      </c>
      <c r="DJ178" s="29">
        <f t="shared" si="248"/>
        <v>425.52468047787221</v>
      </c>
      <c r="DK178" s="34"/>
      <c r="DL178" s="4"/>
      <c r="DM178" s="5"/>
      <c r="DN178" s="6"/>
      <c r="DO178" s="32"/>
      <c r="DP178" s="3"/>
      <c r="DQ178" s="4"/>
      <c r="DR178" s="5"/>
      <c r="DS178" s="6"/>
      <c r="DT178" s="14"/>
      <c r="DU178" s="13"/>
      <c r="DV178" s="2"/>
      <c r="DW178" s="26">
        <f t="shared" si="207"/>
        <v>0</v>
      </c>
      <c r="DX178" s="26">
        <f t="shared" si="226"/>
        <v>0</v>
      </c>
      <c r="DY178" s="16">
        <f t="shared" si="249"/>
        <v>0.93371504655858495</v>
      </c>
      <c r="DZ178" s="29">
        <f t="shared" si="250"/>
        <v>402.05962074311992</v>
      </c>
      <c r="EA178" s="29">
        <f t="shared" si="251"/>
        <v>430.60205811719572</v>
      </c>
      <c r="EB178" s="34"/>
      <c r="EC178" s="4"/>
      <c r="ED178" s="5"/>
      <c r="EE178" s="6"/>
      <c r="EF178" s="32"/>
      <c r="EG178" s="3"/>
      <c r="EH178" s="4"/>
      <c r="EI178" s="5"/>
      <c r="EJ178" s="6"/>
      <c r="EK178" s="14"/>
      <c r="EL178" s="13"/>
      <c r="EM178" s="2"/>
      <c r="EN178" s="26">
        <f t="shared" si="208"/>
        <v>0</v>
      </c>
      <c r="EO178" s="26">
        <f t="shared" si="227"/>
        <v>0</v>
      </c>
      <c r="EP178" s="16">
        <f t="shared" si="252"/>
        <v>0.95510324419863013</v>
      </c>
      <c r="EQ178" s="29">
        <f t="shared" si="253"/>
        <v>527.68680603288908</v>
      </c>
      <c r="ER178" s="29">
        <f t="shared" si="254"/>
        <v>552.49189994704648</v>
      </c>
      <c r="ES178" s="34"/>
      <c r="ET178" s="4"/>
      <c r="EU178" s="5"/>
      <c r="EV178" s="6"/>
      <c r="EW178" s="32"/>
      <c r="EX178" s="3"/>
      <c r="EY178" s="4"/>
      <c r="EZ178" s="5"/>
      <c r="FA178" s="6"/>
      <c r="FB178" s="14"/>
      <c r="FC178" s="13"/>
      <c r="FD178" s="2"/>
      <c r="FE178" s="26">
        <f t="shared" si="209"/>
        <v>0</v>
      </c>
      <c r="FF178" s="26">
        <f t="shared" si="228"/>
        <v>0</v>
      </c>
      <c r="FG178" s="16">
        <f t="shared" si="255"/>
        <v>0.91662510516225748</v>
      </c>
      <c r="FH178" s="29">
        <f t="shared" si="256"/>
        <v>557.09308713849396</v>
      </c>
      <c r="FI178" s="29">
        <f t="shared" si="257"/>
        <v>607.76546922078842</v>
      </c>
      <c r="FJ178" s="34"/>
      <c r="FK178" s="4"/>
      <c r="FL178" s="5"/>
      <c r="FM178" s="6"/>
      <c r="FN178" s="32"/>
      <c r="FO178" s="3"/>
      <c r="FP178" s="4"/>
      <c r="FQ178" s="5"/>
      <c r="FR178" s="6"/>
      <c r="FS178" s="14"/>
      <c r="FT178" s="13"/>
      <c r="FU178" s="2"/>
      <c r="FV178" s="26">
        <f t="shared" si="210"/>
        <v>0</v>
      </c>
      <c r="FW178" s="26">
        <f t="shared" si="229"/>
        <v>0</v>
      </c>
      <c r="FX178" s="16">
        <f t="shared" si="258"/>
        <v>0.90127368887669068</v>
      </c>
      <c r="FY178" s="29">
        <f t="shared" si="259"/>
        <v>514.01609411101572</v>
      </c>
      <c r="FZ178" s="29">
        <f t="shared" si="260"/>
        <v>570.32186832355399</v>
      </c>
      <c r="GA178" s="34"/>
      <c r="GB178" s="4"/>
      <c r="GC178" s="5"/>
      <c r="GD178" s="6"/>
      <c r="GE178" s="32"/>
      <c r="GF178" s="3"/>
      <c r="GG178" s="4"/>
      <c r="GH178" s="5"/>
      <c r="GI178" s="6"/>
      <c r="GJ178" s="14"/>
      <c r="GK178" s="13"/>
      <c r="GL178" s="2"/>
      <c r="GM178" s="26">
        <f t="shared" si="211"/>
        <v>0</v>
      </c>
      <c r="GN178" s="26">
        <f t="shared" si="230"/>
        <v>0</v>
      </c>
      <c r="GO178" s="16">
        <f t="shared" si="261"/>
        <v>0.84532630865561043</v>
      </c>
      <c r="GP178" s="29">
        <f t="shared" si="262"/>
        <v>497.42542831710847</v>
      </c>
      <c r="GQ178" s="29">
        <f t="shared" si="263"/>
        <v>588.44191080270957</v>
      </c>
      <c r="GR178" s="34"/>
      <c r="GS178" s="4"/>
      <c r="GT178" s="5"/>
      <c r="GU178" s="6"/>
      <c r="GV178" s="32"/>
      <c r="GW178" s="3"/>
      <c r="GX178" s="4"/>
      <c r="GY178" s="5"/>
      <c r="GZ178" s="6"/>
      <c r="HA178" s="14"/>
      <c r="HB178" s="13"/>
      <c r="HC178" s="2"/>
      <c r="HD178" s="26">
        <f t="shared" si="212"/>
        <v>0</v>
      </c>
      <c r="HE178" s="26">
        <f t="shared" si="231"/>
        <v>0</v>
      </c>
      <c r="HF178" s="16">
        <f t="shared" si="264"/>
        <v>0.81294892595406698</v>
      </c>
      <c r="HG178" s="29">
        <f t="shared" si="265"/>
        <v>263.78877348006768</v>
      </c>
      <c r="HH178" s="29">
        <f t="shared" si="266"/>
        <v>324.48382064160842</v>
      </c>
      <c r="HI178" s="34"/>
      <c r="HJ178" s="4"/>
      <c r="HK178" s="5"/>
      <c r="HL178" s="6"/>
      <c r="HM178" s="32"/>
      <c r="HN178" s="3"/>
      <c r="HO178" s="4"/>
      <c r="HP178" s="5"/>
      <c r="HQ178" s="6"/>
      <c r="HR178" s="14"/>
      <c r="HS178" s="13"/>
      <c r="HT178" s="2"/>
      <c r="HU178" s="26">
        <f t="shared" si="213"/>
        <v>0</v>
      </c>
      <c r="HV178" s="26">
        <f t="shared" si="232"/>
        <v>0</v>
      </c>
      <c r="HW178" s="16">
        <f t="shared" si="267"/>
        <v>2.9163886320368282E-7</v>
      </c>
      <c r="HX178" s="29">
        <f t="shared" si="268"/>
        <v>6.3954729216063085E-8</v>
      </c>
      <c r="HY178" s="29">
        <f t="shared" si="269"/>
        <v>0.21929426179184017</v>
      </c>
      <c r="HZ178" s="34"/>
      <c r="IA178" s="4"/>
      <c r="IB178" s="5"/>
      <c r="IC178" s="6"/>
      <c r="ID178" s="32"/>
      <c r="IE178" s="3"/>
      <c r="IF178" s="4"/>
      <c r="IG178" s="5"/>
      <c r="IH178" s="6"/>
      <c r="II178" s="14"/>
      <c r="IJ178" s="13"/>
      <c r="IK178" s="2"/>
      <c r="IL178" s="26">
        <f t="shared" si="214"/>
        <v>0</v>
      </c>
      <c r="IM178" s="26">
        <f t="shared" si="215"/>
        <v>4402.802510328941</v>
      </c>
      <c r="IN178" s="16">
        <f t="shared" si="270"/>
        <v>9.2298605463883247E-3</v>
      </c>
      <c r="IO178" s="29">
        <f t="shared" si="271"/>
        <v>0.170629976628177</v>
      </c>
      <c r="IP178" s="29">
        <f t="shared" si="272"/>
        <v>18.48673398374855</v>
      </c>
      <c r="IQ178" s="34"/>
      <c r="IR178" s="4"/>
      <c r="IS178" s="5"/>
      <c r="IT178" s="6"/>
      <c r="IU178" s="32"/>
      <c r="IV178" s="3"/>
      <c r="IW178" s="4"/>
      <c r="IX178" s="5"/>
      <c r="IY178" s="6"/>
      <c r="IZ178" s="14"/>
      <c r="JA178" s="13"/>
      <c r="JB178" s="2"/>
      <c r="JC178" s="26">
        <f t="shared" si="180"/>
        <v>0</v>
      </c>
      <c r="JD178" s="26">
        <f t="shared" si="216"/>
        <v>4919.3230738103975</v>
      </c>
      <c r="JE178" s="16">
        <f t="shared" si="273"/>
        <v>3.583966314671806E-3</v>
      </c>
      <c r="JF178" s="29">
        <f t="shared" si="274"/>
        <v>1.7139695138583058E-2</v>
      </c>
      <c r="JG178" s="29">
        <f t="shared" si="275"/>
        <v>4.7823259578131916</v>
      </c>
      <c r="JH178" s="34"/>
      <c r="JI178" s="4"/>
      <c r="JJ178" s="5"/>
      <c r="JK178" s="6"/>
      <c r="JL178" s="32"/>
      <c r="JM178" s="3"/>
      <c r="JN178" s="4"/>
      <c r="JO178" s="5"/>
      <c r="JP178" s="6"/>
      <c r="JQ178" s="14"/>
      <c r="JR178" s="99"/>
      <c r="JS178" s="99"/>
      <c r="JT178" s="99"/>
      <c r="JU178" s="99"/>
      <c r="JV178" s="99"/>
      <c r="JW178" s="99"/>
      <c r="JX178" s="99"/>
      <c r="JY178" s="99"/>
      <c r="JZ178" s="99"/>
      <c r="KA178" s="99"/>
      <c r="KB178" s="99"/>
      <c r="KC178" s="99"/>
      <c r="KD178" s="99"/>
      <c r="KE178" s="99"/>
      <c r="KF178" s="99"/>
      <c r="KG178" s="99"/>
      <c r="KH178" s="99"/>
      <c r="KI178" s="99"/>
      <c r="KJ178" s="99"/>
      <c r="KK178" s="99"/>
      <c r="KL178" s="99"/>
      <c r="KM178" s="99"/>
      <c r="KN178" s="99"/>
      <c r="KO178" s="99"/>
      <c r="KP178" s="99"/>
      <c r="KQ178" s="99"/>
      <c r="KR178" s="99"/>
      <c r="KS178" s="99"/>
      <c r="KT178" s="99"/>
      <c r="KU178" s="99"/>
      <c r="KV178" s="99"/>
      <c r="KW178" s="99"/>
      <c r="KX178" s="99"/>
      <c r="KY178" s="99"/>
      <c r="KZ178" s="99"/>
      <c r="LA178" s="99"/>
      <c r="LB178" s="99"/>
      <c r="LC178" s="99"/>
      <c r="LD178" s="99"/>
      <c r="LE178" s="99"/>
      <c r="LF178" s="99"/>
      <c r="LG178" s="99"/>
      <c r="LH178" s="99"/>
      <c r="LI178" s="99"/>
      <c r="LJ178" s="99"/>
      <c r="LK178" s="99"/>
      <c r="LL178" s="99"/>
      <c r="LM178" s="99"/>
      <c r="LN178" s="99"/>
      <c r="LO178" s="99"/>
      <c r="LP178" s="99"/>
      <c r="LQ178" s="99"/>
      <c r="LR178" s="99"/>
      <c r="LS178" s="99"/>
      <c r="LT178" s="99"/>
      <c r="LU178" s="99"/>
      <c r="LV178" s="99"/>
      <c r="LW178" s="99"/>
      <c r="LX178" s="99"/>
      <c r="LY178" s="99"/>
      <c r="LZ178" s="99"/>
      <c r="MA178" s="99"/>
      <c r="MB178" s="99"/>
      <c r="MC178" s="99"/>
      <c r="MD178" s="99"/>
      <c r="ME178" s="99"/>
      <c r="MF178" s="99"/>
    </row>
    <row r="179" spans="1:344" ht="17.25" customHeight="1" x14ac:dyDescent="0.25">
      <c r="A179" s="155" t="s">
        <v>31</v>
      </c>
      <c r="B179" s="79" t="s">
        <v>1</v>
      </c>
      <c r="C179" s="80">
        <v>45313</v>
      </c>
      <c r="D179" s="50">
        <v>10</v>
      </c>
      <c r="E179" s="39">
        <v>10</v>
      </c>
      <c r="F179" s="103">
        <v>50</v>
      </c>
      <c r="G179" s="36">
        <f t="shared" si="194"/>
        <v>3.63</v>
      </c>
      <c r="H179" s="27">
        <f t="shared" si="195"/>
        <v>181.5</v>
      </c>
      <c r="I179" s="47">
        <v>10</v>
      </c>
      <c r="J179" s="39">
        <v>10</v>
      </c>
      <c r="K179" s="105">
        <v>75</v>
      </c>
      <c r="L179" s="89">
        <f t="shared" si="196"/>
        <v>7.1888888888888891</v>
      </c>
      <c r="M179" s="27">
        <f t="shared" si="217"/>
        <v>539.16666666666663</v>
      </c>
      <c r="N179" s="35">
        <f t="shared" si="218"/>
        <v>720.66666666666663</v>
      </c>
      <c r="O179" s="97">
        <f>SUM($Z179,$BH179,$AQ179,$BY179,$CP179,$DG179,$DX179,$EO179,$FF179,$FW179,$GN179)/J179</f>
        <v>232.07499999999999</v>
      </c>
      <c r="P179" s="149">
        <f t="shared" ref="P179" si="360">SUM(N179:N185)</f>
        <v>4013.144303030303</v>
      </c>
      <c r="Q179" s="131">
        <f t="shared" si="355"/>
        <v>9.4</v>
      </c>
      <c r="R179" s="133">
        <f t="shared" si="356"/>
        <v>13.9</v>
      </c>
      <c r="S179" s="135">
        <f t="shared" si="357"/>
        <v>21.8</v>
      </c>
      <c r="T179" s="137">
        <f t="shared" si="358"/>
        <v>26.6</v>
      </c>
      <c r="U179" s="143">
        <f t="shared" si="359"/>
        <v>4.6150000000000002</v>
      </c>
      <c r="W179" s="11">
        <v>0</v>
      </c>
      <c r="X179" s="1">
        <v>0</v>
      </c>
      <c r="Y179" s="27">
        <f t="shared" si="201"/>
        <v>0</v>
      </c>
      <c r="Z179" s="27">
        <f t="shared" si="220"/>
        <v>279</v>
      </c>
      <c r="AA179" s="15">
        <f t="shared" si="233"/>
        <v>0.2063226423959979</v>
      </c>
      <c r="AB179" s="43">
        <f t="shared" si="298"/>
        <v>66.340533665746619</v>
      </c>
      <c r="AC179" s="43">
        <f t="shared" si="299"/>
        <v>321.53782491026027</v>
      </c>
      <c r="AD179" s="33"/>
      <c r="AH179" s="31"/>
      <c r="AI179" s="7">
        <v>6</v>
      </c>
      <c r="AJ179" s="8">
        <v>5</v>
      </c>
      <c r="AK179" s="9">
        <v>11</v>
      </c>
      <c r="AL179" s="10">
        <v>45</v>
      </c>
      <c r="AM179" s="12">
        <v>10</v>
      </c>
      <c r="AN179" s="11">
        <v>4</v>
      </c>
      <c r="AO179" s="1">
        <v>8</v>
      </c>
      <c r="AP179" s="27">
        <f t="shared" si="202"/>
        <v>800</v>
      </c>
      <c r="AQ179" s="27">
        <f t="shared" si="221"/>
        <v>210</v>
      </c>
      <c r="AR179" s="15">
        <f t="shared" si="234"/>
        <v>0.97530511722782831</v>
      </c>
      <c r="AS179" s="28">
        <f t="shared" si="235"/>
        <v>581.59039028905386</v>
      </c>
      <c r="AT179" s="28">
        <f t="shared" si="236"/>
        <v>596.31635271446657</v>
      </c>
      <c r="AU179" s="33"/>
      <c r="AY179" s="31"/>
      <c r="AZ179" s="7">
        <v>13</v>
      </c>
      <c r="BA179" s="8">
        <v>19</v>
      </c>
      <c r="BB179" s="9">
        <v>27</v>
      </c>
      <c r="BC179" s="10">
        <v>17</v>
      </c>
      <c r="BD179" s="12">
        <v>2</v>
      </c>
      <c r="BG179" s="27">
        <f t="shared" si="203"/>
        <v>0</v>
      </c>
      <c r="BH179" s="27">
        <f t="shared" si="222"/>
        <v>0</v>
      </c>
      <c r="BI179" s="15">
        <f t="shared" si="237"/>
        <v>1.141790370341049</v>
      </c>
      <c r="BJ179" s="28">
        <f t="shared" si="238"/>
        <v>491.22113425002863</v>
      </c>
      <c r="BK179" s="28">
        <f t="shared" si="239"/>
        <v>430.22007104798274</v>
      </c>
      <c r="BL179" s="33"/>
      <c r="BP179" s="31"/>
      <c r="BV179" s="11">
        <v>4</v>
      </c>
      <c r="BW179" s="1">
        <v>8</v>
      </c>
      <c r="BX179" s="27">
        <f t="shared" si="204"/>
        <v>800</v>
      </c>
      <c r="BY179" s="27">
        <f t="shared" si="223"/>
        <v>217</v>
      </c>
      <c r="BZ179" s="15">
        <f t="shared" si="240"/>
        <v>1.066188686748945</v>
      </c>
      <c r="CA179" s="28">
        <f t="shared" si="241"/>
        <v>555.71352218695381</v>
      </c>
      <c r="CB179" s="28">
        <f t="shared" si="242"/>
        <v>521.21498670320022</v>
      </c>
      <c r="CC179" s="33"/>
      <c r="CG179" s="31"/>
      <c r="CH179" s="7">
        <v>6</v>
      </c>
      <c r="CI179" s="8">
        <v>9</v>
      </c>
      <c r="CJ179" s="9">
        <v>13</v>
      </c>
      <c r="CK179" s="10">
        <v>31</v>
      </c>
      <c r="CL179" s="12">
        <v>6</v>
      </c>
      <c r="CM179" s="11">
        <v>4</v>
      </c>
      <c r="CN179" s="1">
        <v>9</v>
      </c>
      <c r="CO179" s="27">
        <f t="shared" si="205"/>
        <v>875</v>
      </c>
      <c r="CP179" s="27">
        <f t="shared" si="224"/>
        <v>223</v>
      </c>
      <c r="CQ179" s="15">
        <f t="shared" si="243"/>
        <v>1.0678961304947765</v>
      </c>
      <c r="CR179" s="28">
        <f t="shared" si="244"/>
        <v>618.32026495124353</v>
      </c>
      <c r="CS179" s="28">
        <f t="shared" si="245"/>
        <v>579.00787098532146</v>
      </c>
      <c r="CT179" s="33"/>
      <c r="CX179" s="31"/>
      <c r="CY179" s="7">
        <v>9</v>
      </c>
      <c r="CZ179" s="8">
        <v>20</v>
      </c>
      <c r="DA179" s="9">
        <v>23</v>
      </c>
      <c r="DB179" s="10">
        <v>25</v>
      </c>
      <c r="DC179" s="12">
        <v>1</v>
      </c>
      <c r="DD179" s="11">
        <v>4</v>
      </c>
      <c r="DE179" s="1">
        <v>4.2</v>
      </c>
      <c r="DF179" s="27">
        <f t="shared" si="206"/>
        <v>515</v>
      </c>
      <c r="DG179" s="27">
        <f t="shared" si="225"/>
        <v>198</v>
      </c>
      <c r="DH179" s="15">
        <f t="shared" si="246"/>
        <v>0.96708949084723439</v>
      </c>
      <c r="DI179" s="28">
        <f t="shared" si="247"/>
        <v>417.48807701386704</v>
      </c>
      <c r="DJ179" s="28">
        <f t="shared" si="248"/>
        <v>431.69539216905343</v>
      </c>
      <c r="DK179" s="33"/>
      <c r="DO179" s="31"/>
      <c r="DP179" s="7">
        <v>11</v>
      </c>
      <c r="DQ179" s="8">
        <v>19</v>
      </c>
      <c r="DR179" s="9">
        <v>27</v>
      </c>
      <c r="DS179" s="10">
        <v>17</v>
      </c>
      <c r="DT179" s="12">
        <v>0</v>
      </c>
      <c r="DU179" s="11">
        <v>4.3</v>
      </c>
      <c r="DW179" s="27">
        <f t="shared" si="207"/>
        <v>215</v>
      </c>
      <c r="DX179" s="27">
        <f t="shared" si="226"/>
        <v>153</v>
      </c>
      <c r="DY179" s="15">
        <f t="shared" si="249"/>
        <v>0.85462245653748026</v>
      </c>
      <c r="DZ179" s="28">
        <f t="shared" si="250"/>
        <v>355.29471555733994</v>
      </c>
      <c r="EA179" s="28">
        <f t="shared" si="251"/>
        <v>415.73295066083739</v>
      </c>
      <c r="EB179" s="33"/>
      <c r="EF179" s="31"/>
      <c r="EG179" s="7">
        <v>26</v>
      </c>
      <c r="EH179" s="8">
        <v>21</v>
      </c>
      <c r="EI179" s="9">
        <v>27</v>
      </c>
      <c r="EJ179" s="10">
        <v>1</v>
      </c>
      <c r="EK179" s="12">
        <v>0</v>
      </c>
      <c r="EL179" s="11">
        <v>4</v>
      </c>
      <c r="EM179" s="1">
        <v>9</v>
      </c>
      <c r="EN179" s="27">
        <f t="shared" si="208"/>
        <v>875</v>
      </c>
      <c r="EO179" s="27">
        <f t="shared" si="227"/>
        <v>272</v>
      </c>
      <c r="EP179" s="15">
        <f t="shared" si="252"/>
        <v>1.0692168513855975</v>
      </c>
      <c r="EQ179" s="28">
        <f t="shared" si="253"/>
        <v>614.51510452466687</v>
      </c>
      <c r="ER179" s="28">
        <f t="shared" si="254"/>
        <v>574.73383788173282</v>
      </c>
      <c r="ES179" s="33"/>
      <c r="EW179" s="31"/>
      <c r="EX179" s="7">
        <v>5</v>
      </c>
      <c r="EY179" s="8">
        <v>8</v>
      </c>
      <c r="EZ179" s="9">
        <v>19</v>
      </c>
      <c r="FA179" s="10">
        <v>46</v>
      </c>
      <c r="FB179" s="12">
        <v>2</v>
      </c>
      <c r="FC179" s="11">
        <v>4</v>
      </c>
      <c r="FD179" s="1">
        <v>9</v>
      </c>
      <c r="FE179" s="27">
        <f t="shared" si="209"/>
        <v>875</v>
      </c>
      <c r="FF179" s="27">
        <f t="shared" si="228"/>
        <v>204</v>
      </c>
      <c r="FG179" s="15">
        <f t="shared" si="255"/>
        <v>1.0165673172981675</v>
      </c>
      <c r="FH179" s="28">
        <f t="shared" si="256"/>
        <v>636.56981535387047</v>
      </c>
      <c r="FI179" s="28">
        <f t="shared" si="257"/>
        <v>626.19543686073405</v>
      </c>
      <c r="FJ179" s="33"/>
      <c r="FN179" s="31"/>
      <c r="FO179" s="7">
        <v>11</v>
      </c>
      <c r="FP179" s="8">
        <v>19</v>
      </c>
      <c r="FQ179" s="9">
        <v>37</v>
      </c>
      <c r="FR179" s="10">
        <v>11</v>
      </c>
      <c r="FS179" s="12">
        <v>0</v>
      </c>
      <c r="FT179" s="11">
        <v>4</v>
      </c>
      <c r="FU179" s="1">
        <v>8</v>
      </c>
      <c r="FV179" s="27">
        <f t="shared" si="210"/>
        <v>800</v>
      </c>
      <c r="FW179" s="27">
        <f t="shared" si="229"/>
        <v>253.75</v>
      </c>
      <c r="FX179" s="15">
        <f t="shared" si="258"/>
        <v>0.99889165592593043</v>
      </c>
      <c r="FY179" s="28">
        <f t="shared" si="259"/>
        <v>585.51207058326179</v>
      </c>
      <c r="FZ179" s="28">
        <f t="shared" si="260"/>
        <v>586.16173947365371</v>
      </c>
      <c r="GA179" s="33"/>
      <c r="GE179" s="31"/>
      <c r="GF179" s="33">
        <v>5</v>
      </c>
      <c r="GG179" s="8">
        <v>12</v>
      </c>
      <c r="GH179" s="9">
        <v>25</v>
      </c>
      <c r="GI179" s="10">
        <v>36</v>
      </c>
      <c r="GJ179" s="31">
        <v>1.1499999999999999</v>
      </c>
      <c r="GK179" s="11">
        <v>4</v>
      </c>
      <c r="GL179" s="1">
        <v>9.5</v>
      </c>
      <c r="GM179" s="27">
        <f>(GK179*$F179)+GL179*$K179</f>
        <v>912.5</v>
      </c>
      <c r="GN179" s="27">
        <f>(GR179*1+GS179*2+GT179*3+GU179*4+GV179*5)+(GW179*1+GX179*2+GY179*3+GZ179*4+HA179*5)</f>
        <v>311</v>
      </c>
      <c r="GO179" s="15">
        <f t="shared" si="261"/>
        <v>0.98428811603908195</v>
      </c>
      <c r="GP179" s="28">
        <f t="shared" si="262"/>
        <v>601.19407123783139</v>
      </c>
      <c r="GQ179" s="28">
        <f t="shared" si="263"/>
        <v>610.79074454045372</v>
      </c>
      <c r="GR179" s="33"/>
      <c r="GV179" s="31"/>
      <c r="GW179" s="33">
        <v>2</v>
      </c>
      <c r="GX179" s="8">
        <v>7</v>
      </c>
      <c r="GY179" s="9">
        <v>9</v>
      </c>
      <c r="GZ179" s="10">
        <v>37</v>
      </c>
      <c r="HA179" s="31">
        <v>24</v>
      </c>
      <c r="HB179" s="86"/>
      <c r="HC179" s="87"/>
      <c r="HD179" s="27">
        <f t="shared" si="212"/>
        <v>0</v>
      </c>
      <c r="HE179" s="27">
        <f t="shared" si="231"/>
        <v>0</v>
      </c>
      <c r="HF179" s="15">
        <f t="shared" si="264"/>
        <v>0.65487552368522073</v>
      </c>
      <c r="HG179" s="28">
        <f t="shared" si="265"/>
        <v>197.84158011005076</v>
      </c>
      <c r="HH179" s="28">
        <f t="shared" si="266"/>
        <v>302.10562611460091</v>
      </c>
      <c r="HI179" s="33"/>
      <c r="HM179" s="31"/>
      <c r="HU179" s="27">
        <f t="shared" si="213"/>
        <v>0</v>
      </c>
      <c r="HV179" s="27">
        <f t="shared" si="232"/>
        <v>0</v>
      </c>
      <c r="HW179" s="15">
        <f t="shared" si="267"/>
        <v>2.3493130646963339E-7</v>
      </c>
      <c r="HX179" s="28">
        <f t="shared" si="268"/>
        <v>4.7966046912047314E-8</v>
      </c>
      <c r="HY179" s="28">
        <f t="shared" si="269"/>
        <v>0.20417051959929947</v>
      </c>
      <c r="HZ179" s="33"/>
      <c r="ID179" s="31"/>
      <c r="II179" s="12"/>
      <c r="IL179" s="27">
        <f t="shared" si="214"/>
        <v>0</v>
      </c>
      <c r="IM179" s="27">
        <f t="shared" si="215"/>
        <v>6066.1275883240633</v>
      </c>
      <c r="IN179" s="15">
        <f t="shared" si="270"/>
        <v>7.4351654401461501E-3</v>
      </c>
      <c r="IO179" s="28">
        <f t="shared" si="271"/>
        <v>0.12797248247113274</v>
      </c>
      <c r="IP179" s="28">
        <f t="shared" si="272"/>
        <v>17.211786812455546</v>
      </c>
      <c r="IQ179" s="33"/>
      <c r="IU179" s="31"/>
      <c r="JC179" s="27">
        <f t="shared" si="180"/>
        <v>0</v>
      </c>
      <c r="JD179" s="27">
        <f t="shared" si="216"/>
        <v>6692.5241031230653</v>
      </c>
      <c r="JE179" s="15">
        <f t="shared" si="273"/>
        <v>2.8870839757078439E-3</v>
      </c>
      <c r="JF179" s="28">
        <f t="shared" si="274"/>
        <v>1.2854771353937294E-2</v>
      </c>
      <c r="JG179" s="28">
        <f t="shared" si="275"/>
        <v>4.4525103745157297</v>
      </c>
      <c r="JH179" s="33"/>
      <c r="JL179" s="31"/>
      <c r="JR179" s="99"/>
      <c r="JS179" s="99"/>
      <c r="JT179" s="99"/>
      <c r="JU179" s="99"/>
      <c r="JV179" s="99"/>
      <c r="JW179" s="99"/>
      <c r="JX179" s="99"/>
      <c r="JY179" s="99"/>
      <c r="JZ179" s="99"/>
      <c r="KA179" s="99"/>
      <c r="KB179" s="99"/>
      <c r="KC179" s="99"/>
      <c r="KD179" s="99"/>
      <c r="KE179" s="99"/>
      <c r="KF179" s="99"/>
      <c r="KG179" s="99"/>
      <c r="KH179" s="99"/>
      <c r="KI179" s="99"/>
      <c r="KJ179" s="99"/>
      <c r="KK179" s="99"/>
      <c r="KL179" s="99"/>
      <c r="KM179" s="99"/>
      <c r="KN179" s="99"/>
      <c r="KO179" s="99"/>
      <c r="KP179" s="99"/>
      <c r="KQ179" s="99"/>
      <c r="KR179" s="99"/>
      <c r="KS179" s="99"/>
      <c r="KT179" s="99"/>
      <c r="KU179" s="99"/>
      <c r="KV179" s="99"/>
      <c r="KW179" s="99"/>
      <c r="KX179" s="99"/>
      <c r="KY179" s="99"/>
      <c r="KZ179" s="99"/>
      <c r="LA179" s="99"/>
      <c r="LB179" s="99"/>
      <c r="LC179" s="99"/>
      <c r="LD179" s="99"/>
      <c r="LE179" s="99"/>
      <c r="LF179" s="99"/>
      <c r="LG179" s="99"/>
      <c r="LH179" s="99"/>
      <c r="LI179" s="99"/>
      <c r="LJ179" s="99"/>
      <c r="LK179" s="99"/>
      <c r="LL179" s="99"/>
      <c r="LM179" s="99"/>
      <c r="LN179" s="99"/>
      <c r="LO179" s="99"/>
      <c r="LP179" s="99"/>
      <c r="LQ179" s="99"/>
      <c r="LR179" s="99"/>
      <c r="LS179" s="99"/>
      <c r="LT179" s="99"/>
      <c r="LU179" s="99"/>
      <c r="LV179" s="99"/>
      <c r="LW179" s="99"/>
      <c r="LX179" s="99"/>
      <c r="LY179" s="99"/>
      <c r="LZ179" s="99"/>
      <c r="MA179" s="99"/>
      <c r="MB179" s="99"/>
      <c r="MC179" s="99"/>
      <c r="MD179" s="99"/>
      <c r="ME179" s="99"/>
      <c r="MF179" s="99"/>
    </row>
    <row r="180" spans="1:344" ht="17.25" customHeight="1" x14ac:dyDescent="0.25">
      <c r="A180" s="156"/>
      <c r="B180" s="81" t="s">
        <v>2</v>
      </c>
      <c r="C180" s="82">
        <v>45314</v>
      </c>
      <c r="D180" s="49">
        <v>11</v>
      </c>
      <c r="E180" s="39">
        <v>11</v>
      </c>
      <c r="F180" s="103">
        <v>80</v>
      </c>
      <c r="G180" s="89">
        <f t="shared" si="194"/>
        <v>7.4545454545454541</v>
      </c>
      <c r="H180" s="35">
        <f t="shared" si="195"/>
        <v>596.36363636363637</v>
      </c>
      <c r="I180" s="39"/>
      <c r="L180" s="89">
        <f t="shared" si="196"/>
        <v>0</v>
      </c>
      <c r="M180" s="35">
        <f t="shared" si="217"/>
        <v>0</v>
      </c>
      <c r="N180" s="35">
        <f t="shared" si="218"/>
        <v>596.36363636363637</v>
      </c>
      <c r="O180" s="97">
        <f>SUM($Z180,$BH180,$AQ180,$BY180,$CP180,$DG180,$DX180,$EO180,$FF180,$FW180,$GN180)/E180</f>
        <v>203.5</v>
      </c>
      <c r="P180" s="150"/>
      <c r="Q180" s="132">
        <f>SUM(AD180+AI180+AU180+AZ180+BL180+BQ180+CC180+CH180+CT180+CY180+DK180+DP180+EB180+EG180+ES180+EX180+FJ180+FO180+GA180+GF180+GR180+GW180)/11</f>
        <v>21.181818181818183</v>
      </c>
      <c r="R180" s="134">
        <f>SUM(AE180+AJ180+AV180+BA180+BM180+BR180+CD180+CI180+CU180+CZ180+DL180+DQ180+EC180+EH180+ET180+EY180+FK180+FP180+GB180+GG180+GS180+GX180)/11</f>
        <v>19.636363636363637</v>
      </c>
      <c r="S180" s="136">
        <f>SUM(AF180+AK180+AW180+BB180+BN180+BS180+CE180+CJ180+CV180+DA180+DM180+DR180+ED180+EI180+EU180+EZ180+FL180+FQ180+GC180+GH180+GT180+GY180)/11</f>
        <v>23.636363636363637</v>
      </c>
      <c r="T180" s="138">
        <f>SUM(AG180+AL180+AX180+BC180+BO180+BT180+CF180+CK180+CW180+DB180+DN180+DS180+EE180+EJ180+EV180+FA180+FM180+FR180+GD180+GI180+GU180+GZ180)/11</f>
        <v>15</v>
      </c>
      <c r="U180" s="144">
        <f>SUM(AH180+AM180+AY180+BD180+BP180+BU180+CG180+CL180+CX180+DC180+DO180+DT180+EF180+EK180+EW180+FB180+FN180+FS180+GE180+GJ180+GV180+HA180)/11</f>
        <v>2.4272727272727272</v>
      </c>
      <c r="W180" s="11">
        <v>0</v>
      </c>
      <c r="X180" s="1">
        <v>0</v>
      </c>
      <c r="Y180" s="35">
        <f t="shared" si="201"/>
        <v>0</v>
      </c>
      <c r="Z180" s="35">
        <f t="shared" si="220"/>
        <v>238</v>
      </c>
      <c r="AA180" s="15">
        <f t="shared" si="233"/>
        <v>0.16620435081899831</v>
      </c>
      <c r="AB180" s="43">
        <f t="shared" si="298"/>
        <v>49.755400249309965</v>
      </c>
      <c r="AC180" s="43">
        <f t="shared" si="299"/>
        <v>299.36280250265611</v>
      </c>
      <c r="AD180" s="33">
        <v>11</v>
      </c>
      <c r="AE180" s="8">
        <v>18</v>
      </c>
      <c r="AF180" s="9">
        <v>30</v>
      </c>
      <c r="AG180" s="10">
        <v>19</v>
      </c>
      <c r="AH180" s="31">
        <v>5</v>
      </c>
      <c r="AN180" s="11">
        <v>8</v>
      </c>
      <c r="AP180" s="35">
        <f t="shared" si="202"/>
        <v>640</v>
      </c>
      <c r="AQ180" s="35">
        <f t="shared" si="221"/>
        <v>183</v>
      </c>
      <c r="AR180" s="15">
        <f t="shared" si="234"/>
        <v>0.99476710582453365</v>
      </c>
      <c r="AS180" s="28">
        <f t="shared" si="235"/>
        <v>596.19279271679034</v>
      </c>
      <c r="AT180" s="28">
        <f t="shared" si="236"/>
        <v>599.32901804450341</v>
      </c>
      <c r="AU180" s="33">
        <v>35</v>
      </c>
      <c r="AV180" s="8">
        <v>18</v>
      </c>
      <c r="AW180" s="9">
        <v>16</v>
      </c>
      <c r="AX180" s="10">
        <v>11</v>
      </c>
      <c r="AY180" s="31">
        <v>4</v>
      </c>
      <c r="BE180" s="11">
        <v>8</v>
      </c>
      <c r="BG180" s="35">
        <f t="shared" si="203"/>
        <v>640</v>
      </c>
      <c r="BH180" s="35">
        <f t="shared" si="222"/>
        <v>152</v>
      </c>
      <c r="BI180" s="15">
        <f t="shared" si="237"/>
        <v>1.1882854131188205</v>
      </c>
      <c r="BJ180" s="28">
        <f t="shared" si="238"/>
        <v>528.41585068752147</v>
      </c>
      <c r="BK180" s="28">
        <f t="shared" si="239"/>
        <v>444.68765235501837</v>
      </c>
      <c r="BL180" s="33">
        <v>4</v>
      </c>
      <c r="BM180" s="8">
        <v>22</v>
      </c>
      <c r="BN180" s="9">
        <v>27</v>
      </c>
      <c r="BO180" s="10">
        <v>2</v>
      </c>
      <c r="BP180" s="31">
        <v>3</v>
      </c>
      <c r="BV180" s="11">
        <v>10</v>
      </c>
      <c r="BX180" s="35">
        <f t="shared" si="204"/>
        <v>800</v>
      </c>
      <c r="BY180" s="35">
        <f t="shared" si="223"/>
        <v>255</v>
      </c>
      <c r="BZ180" s="15">
        <f t="shared" si="240"/>
        <v>1.1412615366103676</v>
      </c>
      <c r="CA180" s="28">
        <f t="shared" si="241"/>
        <v>616.78514164021533</v>
      </c>
      <c r="CB180" s="28">
        <f t="shared" si="242"/>
        <v>540.44153934435883</v>
      </c>
      <c r="CC180" s="33">
        <v>21</v>
      </c>
      <c r="CD180" s="8">
        <v>19</v>
      </c>
      <c r="CE180" s="9">
        <v>29</v>
      </c>
      <c r="CF180" s="10">
        <v>26</v>
      </c>
      <c r="CG180" s="31">
        <v>1</v>
      </c>
      <c r="CM180" s="11">
        <v>8.5</v>
      </c>
      <c r="CO180" s="35">
        <f t="shared" si="205"/>
        <v>680</v>
      </c>
      <c r="CP180" s="35">
        <f t="shared" si="224"/>
        <v>179</v>
      </c>
      <c r="CQ180" s="15">
        <f t="shared" si="243"/>
        <v>1.0815180322574303</v>
      </c>
      <c r="CR180" s="28">
        <f t="shared" si="244"/>
        <v>633.74019871343262</v>
      </c>
      <c r="CS180" s="28">
        <f t="shared" si="245"/>
        <v>585.97284540012686</v>
      </c>
      <c r="CT180" s="33">
        <v>27</v>
      </c>
      <c r="CU180" s="8">
        <v>25</v>
      </c>
      <c r="CV180" s="9">
        <v>23</v>
      </c>
      <c r="CW180" s="10">
        <v>8</v>
      </c>
      <c r="CX180" s="31">
        <v>0.2</v>
      </c>
      <c r="DD180" s="11">
        <v>4.5</v>
      </c>
      <c r="DF180" s="35">
        <f t="shared" si="206"/>
        <v>360</v>
      </c>
      <c r="DG180" s="35">
        <f t="shared" si="225"/>
        <v>182</v>
      </c>
      <c r="DH180" s="15">
        <f t="shared" si="246"/>
        <v>0.94461681139837628</v>
      </c>
      <c r="DI180" s="28">
        <f t="shared" si="247"/>
        <v>403.11605776040028</v>
      </c>
      <c r="DJ180" s="28">
        <f t="shared" si="248"/>
        <v>426.75088236429116</v>
      </c>
      <c r="DK180" s="33">
        <v>30</v>
      </c>
      <c r="DL180" s="8">
        <v>22</v>
      </c>
      <c r="DM180" s="9">
        <v>16</v>
      </c>
      <c r="DN180" s="10">
        <v>15</v>
      </c>
      <c r="DO180" s="31">
        <v>0</v>
      </c>
      <c r="DU180" s="11">
        <v>4.5</v>
      </c>
      <c r="DW180" s="35">
        <f t="shared" si="207"/>
        <v>360</v>
      </c>
      <c r="DX180" s="35">
        <f t="shared" si="226"/>
        <v>173</v>
      </c>
      <c r="DY180" s="15">
        <f t="shared" si="249"/>
        <v>0.86545350322935111</v>
      </c>
      <c r="DZ180" s="28">
        <f t="shared" si="250"/>
        <v>356.47103666800496</v>
      </c>
      <c r="EA180" s="28">
        <f t="shared" si="251"/>
        <v>411.8892988911245</v>
      </c>
      <c r="EB180" s="33">
        <v>31</v>
      </c>
      <c r="EC180" s="8">
        <v>22</v>
      </c>
      <c r="ED180" s="9">
        <v>22</v>
      </c>
      <c r="EE180" s="10">
        <v>8</v>
      </c>
      <c r="EF180" s="31">
        <v>0</v>
      </c>
      <c r="EL180" s="11">
        <v>10</v>
      </c>
      <c r="EN180" s="35">
        <f t="shared" si="208"/>
        <v>800</v>
      </c>
      <c r="EO180" s="35">
        <f t="shared" si="227"/>
        <v>209</v>
      </c>
      <c r="EP180" s="15">
        <f t="shared" si="252"/>
        <v>1.1196350156468715</v>
      </c>
      <c r="EQ180" s="28">
        <f t="shared" si="253"/>
        <v>660.88632839350021</v>
      </c>
      <c r="ER180" s="28">
        <f t="shared" si="254"/>
        <v>590.26943526919956</v>
      </c>
      <c r="ES180" s="33">
        <v>18</v>
      </c>
      <c r="ET180" s="8">
        <v>17</v>
      </c>
      <c r="EU180" s="9">
        <v>35</v>
      </c>
      <c r="EV180" s="10">
        <v>13</v>
      </c>
      <c r="EW180" s="31">
        <v>0</v>
      </c>
      <c r="FC180" s="11">
        <v>9.5</v>
      </c>
      <c r="FE180" s="35">
        <f t="shared" si="209"/>
        <v>760</v>
      </c>
      <c r="FF180" s="35">
        <f t="shared" si="228"/>
        <v>160</v>
      </c>
      <c r="FG180" s="15">
        <f t="shared" si="255"/>
        <v>1.0503664594079694</v>
      </c>
      <c r="FH180" s="28">
        <f t="shared" si="256"/>
        <v>667.42736151540282</v>
      </c>
      <c r="FI180" s="28">
        <f t="shared" si="257"/>
        <v>635.42333776689031</v>
      </c>
      <c r="FJ180" s="33">
        <v>34</v>
      </c>
      <c r="FK180" s="8">
        <v>23</v>
      </c>
      <c r="FL180" s="9">
        <v>24</v>
      </c>
      <c r="FM180" s="10">
        <v>2</v>
      </c>
      <c r="FN180" s="31">
        <v>0</v>
      </c>
      <c r="FT180" s="11">
        <v>9</v>
      </c>
      <c r="FV180" s="35">
        <f t="shared" si="210"/>
        <v>720</v>
      </c>
      <c r="FW180" s="35">
        <f t="shared" si="229"/>
        <v>222.5</v>
      </c>
      <c r="FX180" s="15">
        <f t="shared" si="258"/>
        <v>1.0398764007947658</v>
      </c>
      <c r="FY180" s="28">
        <f t="shared" si="259"/>
        <v>619.13405293744631</v>
      </c>
      <c r="FZ180" s="28">
        <f t="shared" si="260"/>
        <v>595.39196433753966</v>
      </c>
      <c r="GA180" s="33">
        <v>16</v>
      </c>
      <c r="GB180" s="8">
        <v>19</v>
      </c>
      <c r="GC180" s="9">
        <v>19</v>
      </c>
      <c r="GD180" s="10">
        <v>26</v>
      </c>
      <c r="GE180" s="31">
        <v>1.5</v>
      </c>
      <c r="GK180" s="11">
        <v>10</v>
      </c>
      <c r="GM180" s="35">
        <f t="shared" si="211"/>
        <v>800</v>
      </c>
      <c r="GN180" s="35">
        <f t="shared" si="230"/>
        <v>285</v>
      </c>
      <c r="GO180" s="15">
        <f t="shared" si="261"/>
        <v>1.0433699498589746</v>
      </c>
      <c r="GP180" s="28">
        <f t="shared" si="262"/>
        <v>650.89555342837355</v>
      </c>
      <c r="GQ180" s="28">
        <f t="shared" si="263"/>
        <v>623.83965871007763</v>
      </c>
      <c r="GR180" s="33">
        <v>6</v>
      </c>
      <c r="GS180" s="8">
        <v>11</v>
      </c>
      <c r="GT180" s="9">
        <v>19</v>
      </c>
      <c r="GU180" s="10">
        <v>35</v>
      </c>
      <c r="GV180" s="31">
        <v>12</v>
      </c>
      <c r="HB180" s="86"/>
      <c r="HC180" s="87"/>
      <c r="HD180" s="35">
        <f t="shared" si="212"/>
        <v>0</v>
      </c>
      <c r="HE180" s="35">
        <f t="shared" si="231"/>
        <v>0</v>
      </c>
      <c r="HF180" s="15">
        <f t="shared" si="264"/>
        <v>0.5275386163019834</v>
      </c>
      <c r="HG180" s="28">
        <f t="shared" si="265"/>
        <v>148.38118508253808</v>
      </c>
      <c r="HH180" s="28">
        <f t="shared" si="266"/>
        <v>281.2707553480767</v>
      </c>
      <c r="HI180" s="33"/>
      <c r="HM180" s="31"/>
      <c r="HU180" s="35">
        <f t="shared" si="213"/>
        <v>0</v>
      </c>
      <c r="HV180" s="35">
        <f t="shared" si="232"/>
        <v>0</v>
      </c>
      <c r="HW180" s="15">
        <f t="shared" si="267"/>
        <v>1.8925021910053802E-7</v>
      </c>
      <c r="HX180" s="28">
        <f t="shared" si="268"/>
        <v>3.5974535184035487E-8</v>
      </c>
      <c r="HY180" s="28">
        <f t="shared" si="269"/>
        <v>0.19008979410969259</v>
      </c>
      <c r="HZ180" s="33"/>
      <c r="ID180" s="31"/>
      <c r="II180" s="12"/>
      <c r="IL180" s="35">
        <f t="shared" si="214"/>
        <v>0</v>
      </c>
      <c r="IM180" s="35">
        <f t="shared" si="215"/>
        <v>6737.7720478924857</v>
      </c>
      <c r="IN180" s="15">
        <f t="shared" si="270"/>
        <v>5.9894388267843985E-3</v>
      </c>
      <c r="IO180" s="28">
        <f t="shared" si="271"/>
        <v>9.5979361853349557E-2</v>
      </c>
      <c r="IP180" s="28">
        <f t="shared" si="272"/>
        <v>16.024767032286199</v>
      </c>
      <c r="IQ180" s="33"/>
      <c r="IU180" s="31"/>
      <c r="JC180" s="35">
        <f t="shared" si="180"/>
        <v>0</v>
      </c>
      <c r="JD180" s="35">
        <f t="shared" si="216"/>
        <v>6685.0695759511373</v>
      </c>
      <c r="JE180" s="15">
        <f t="shared" si="273"/>
        <v>2.3257065359868741E-3</v>
      </c>
      <c r="JF180" s="28">
        <f t="shared" si="274"/>
        <v>9.6410785154529693E-3</v>
      </c>
      <c r="JG180" s="28">
        <f t="shared" si="275"/>
        <v>4.1454406935146446</v>
      </c>
      <c r="JH180" s="33"/>
      <c r="JL180" s="31"/>
      <c r="JR180" s="99"/>
      <c r="JS180" s="99"/>
      <c r="JT180" s="99"/>
      <c r="JU180" s="99"/>
      <c r="JV180" s="99"/>
      <c r="JW180" s="99"/>
      <c r="JX180" s="99"/>
      <c r="JY180" s="99"/>
      <c r="JZ180" s="99"/>
      <c r="KA180" s="99"/>
      <c r="KB180" s="99"/>
      <c r="KC180" s="99"/>
      <c r="KD180" s="99"/>
      <c r="KE180" s="99"/>
      <c r="KF180" s="99"/>
      <c r="KG180" s="99"/>
      <c r="KH180" s="99"/>
      <c r="KI180" s="99"/>
      <c r="KJ180" s="99"/>
      <c r="KK180" s="99"/>
      <c r="KL180" s="99"/>
      <c r="KM180" s="99"/>
      <c r="KN180" s="99"/>
      <c r="KO180" s="99"/>
      <c r="KP180" s="99"/>
      <c r="KQ180" s="99"/>
      <c r="KR180" s="99"/>
      <c r="KS180" s="99"/>
      <c r="KT180" s="99"/>
      <c r="KU180" s="99"/>
      <c r="KV180" s="99"/>
      <c r="KW180" s="99"/>
      <c r="KX180" s="99"/>
      <c r="KY180" s="99"/>
      <c r="KZ180" s="99"/>
      <c r="LA180" s="99"/>
      <c r="LB180" s="99"/>
      <c r="LC180" s="99"/>
      <c r="LD180" s="99"/>
      <c r="LE180" s="99"/>
      <c r="LF180" s="99"/>
      <c r="LG180" s="99"/>
      <c r="LH180" s="99"/>
      <c r="LI180" s="99"/>
      <c r="LJ180" s="99"/>
      <c r="LK180" s="99"/>
      <c r="LL180" s="99"/>
      <c r="LM180" s="99"/>
      <c r="LN180" s="99"/>
      <c r="LO180" s="99"/>
      <c r="LP180" s="99"/>
      <c r="LQ180" s="99"/>
      <c r="LR180" s="99"/>
      <c r="LS180" s="99"/>
      <c r="LT180" s="99"/>
      <c r="LU180" s="99"/>
      <c r="LV180" s="99"/>
      <c r="LW180" s="99"/>
      <c r="LX180" s="99"/>
      <c r="LY180" s="99"/>
      <c r="LZ180" s="99"/>
      <c r="MA180" s="99"/>
      <c r="MB180" s="99"/>
      <c r="MC180" s="99"/>
      <c r="MD180" s="99"/>
      <c r="ME180" s="99"/>
      <c r="MF180" s="99"/>
    </row>
    <row r="181" spans="1:344" ht="17.25" customHeight="1" x14ac:dyDescent="0.25">
      <c r="A181" s="156"/>
      <c r="B181" s="81" t="s">
        <v>3</v>
      </c>
      <c r="C181" s="82">
        <v>45315</v>
      </c>
      <c r="D181" s="49">
        <v>11</v>
      </c>
      <c r="E181" s="39">
        <v>10</v>
      </c>
      <c r="F181" s="103">
        <v>95</v>
      </c>
      <c r="G181" s="89">
        <f t="shared" si="194"/>
        <v>7.2200000000000006</v>
      </c>
      <c r="H181" s="35">
        <f t="shared" si="195"/>
        <v>685.90000000000009</v>
      </c>
      <c r="I181" s="39">
        <v>10</v>
      </c>
      <c r="J181" s="39">
        <v>10</v>
      </c>
      <c r="K181" s="103">
        <v>45</v>
      </c>
      <c r="L181" s="89">
        <f t="shared" si="196"/>
        <v>4.4700000000000006</v>
      </c>
      <c r="M181" s="35">
        <f t="shared" si="217"/>
        <v>201.15000000000003</v>
      </c>
      <c r="N181" s="35">
        <f t="shared" si="218"/>
        <v>887.05000000000018</v>
      </c>
      <c r="O181" s="97">
        <f t="shared" ref="O181" si="361">SUM($Z181,$BH181,$AQ181,$BY181,$CP181,$DG181,$DX181,$EO181,$FF181,$FW181,$GN181)/E181</f>
        <v>352.14499999999998</v>
      </c>
      <c r="P181" s="150"/>
      <c r="Q181" s="132">
        <f t="shared" ref="Q181" si="362">SUM(AD181+AI181+AU181+AZ181+BL181+BQ181+CC181+CH181+CT181+CY181+DK181+DP181+EB181+EG181+ES181+EX181+FJ181+FO181+GA181+GF181+GR181+GW181)/10</f>
        <v>45.04</v>
      </c>
      <c r="R181" s="134">
        <f t="shared" ref="R181" si="363">SUM(AE181+AJ181+AV181+BA181+BM181+BR181+CD181+CI181+CU181+CZ181+DL181+DQ181+EC181+EH181+ET181+EY181+FK181+FP181+GB181+GG181+GS181+GX181)/10</f>
        <v>34.9</v>
      </c>
      <c r="S181" s="136">
        <f t="shared" ref="S181" si="364">SUM(AF181+AK181+AW181+BB181+BN181+BS181+CE181+CJ181+CV181+DA181+DM181+DR181+ED181+EI181+EU181+EZ181+FL181+FQ181+GC181+GH181+GT181+GY181)/10</f>
        <v>36.799999999999997</v>
      </c>
      <c r="T181" s="138">
        <f t="shared" ref="T181" si="365">SUM(AG181+AL181+AX181+BC181+BO181+BT181+CF181+CK181+CW181+DB181+DN181+DS181+EE181+EJ181+EV181+FA181+FM181+FR181+GD181+GI181+GU181+GZ181)/10</f>
        <v>25.870000000000005</v>
      </c>
      <c r="U181" s="144">
        <f t="shared" ref="U181" si="366">SUM(AH181+AM181+AY181+BD181+BP181+BU181+CG181+CL181+CX181+DC181+DO181+DT181+EF181+EK181+EW181+FB181+FN181+FS181+GE181+GJ181+GV181+HA181)/10</f>
        <v>4.6850000000000005</v>
      </c>
      <c r="W181" s="11">
        <v>0</v>
      </c>
      <c r="X181" s="1">
        <v>0</v>
      </c>
      <c r="Y181" s="35">
        <f t="shared" si="201"/>
        <v>0</v>
      </c>
      <c r="Z181" s="35">
        <f>(AD181*1+AE181*2+AF181*3+AG181*4+AH181*5)+(AI181*1+AJ181*2+AK181*3+AL181*4+AM181*5)</f>
        <v>370.25</v>
      </c>
      <c r="AA181" s="15">
        <f t="shared" si="233"/>
        <v>0.13388683815974867</v>
      </c>
      <c r="AB181" s="43">
        <f t="shared" si="298"/>
        <v>37.316550186982475</v>
      </c>
      <c r="AC181" s="43">
        <f t="shared" si="299"/>
        <v>278.71709198523155</v>
      </c>
      <c r="AD181" s="33">
        <v>42</v>
      </c>
      <c r="AE181" s="8">
        <v>17</v>
      </c>
      <c r="AF181" s="9">
        <v>21</v>
      </c>
      <c r="AG181" s="10">
        <v>21</v>
      </c>
      <c r="AH181" s="31">
        <v>0.05</v>
      </c>
      <c r="AI181" s="7">
        <v>4</v>
      </c>
      <c r="AJ181" s="8">
        <v>13</v>
      </c>
      <c r="AK181" s="9">
        <v>15</v>
      </c>
      <c r="AL181" s="10">
        <v>18</v>
      </c>
      <c r="AM181" s="12">
        <v>0</v>
      </c>
      <c r="AN181" s="11">
        <v>10</v>
      </c>
      <c r="AO181" s="1">
        <v>6</v>
      </c>
      <c r="AP181" s="35">
        <f t="shared" si="202"/>
        <v>1220</v>
      </c>
      <c r="AQ181" s="35">
        <f t="shared" si="221"/>
        <v>288.5</v>
      </c>
      <c r="AR181" s="15">
        <f t="shared" si="234"/>
        <v>1.1713204658691603</v>
      </c>
      <c r="AS181" s="28">
        <f t="shared" si="235"/>
        <v>752.14459453759275</v>
      </c>
      <c r="AT181" s="28">
        <f t="shared" si="236"/>
        <v>642.13391335177903</v>
      </c>
      <c r="AU181" s="33">
        <v>39</v>
      </c>
      <c r="AV181" s="8">
        <v>25</v>
      </c>
      <c r="AW181" s="9">
        <v>17</v>
      </c>
      <c r="AX181" s="10">
        <v>14</v>
      </c>
      <c r="AY181" s="31">
        <v>5.3</v>
      </c>
      <c r="AZ181" s="7">
        <v>35</v>
      </c>
      <c r="BA181" s="8">
        <v>14</v>
      </c>
      <c r="BB181" s="9">
        <v>1</v>
      </c>
      <c r="BC181" s="10">
        <v>0</v>
      </c>
      <c r="BD181" s="12">
        <v>0</v>
      </c>
      <c r="BE181" s="11">
        <v>8.25</v>
      </c>
      <c r="BF181" s="1">
        <v>6</v>
      </c>
      <c r="BG181" s="35">
        <f t="shared" si="203"/>
        <v>1053.75</v>
      </c>
      <c r="BH181" s="35">
        <f t="shared" si="222"/>
        <v>416</v>
      </c>
      <c r="BI181" s="15">
        <f t="shared" si="237"/>
        <v>1.3555789962077534</v>
      </c>
      <c r="BJ181" s="28">
        <f t="shared" si="238"/>
        <v>659.7493880156411</v>
      </c>
      <c r="BK181" s="28">
        <f t="shared" si="239"/>
        <v>486.69195219260331</v>
      </c>
      <c r="BL181" s="33">
        <v>13</v>
      </c>
      <c r="BM181" s="8">
        <v>23</v>
      </c>
      <c r="BN181" s="9">
        <v>29</v>
      </c>
      <c r="BO181" s="10">
        <v>30</v>
      </c>
      <c r="BP181" s="31">
        <v>5</v>
      </c>
      <c r="BQ181" s="7">
        <v>7</v>
      </c>
      <c r="BR181" s="8">
        <v>14</v>
      </c>
      <c r="BS181" s="9">
        <v>26</v>
      </c>
      <c r="BT181" s="10">
        <v>3</v>
      </c>
      <c r="BU181" s="12">
        <v>0</v>
      </c>
      <c r="BV181" s="11">
        <v>9</v>
      </c>
      <c r="BW181" s="1">
        <v>4</v>
      </c>
      <c r="BX181" s="35">
        <f t="shared" si="204"/>
        <v>1035</v>
      </c>
      <c r="BY181" s="35">
        <f t="shared" si="223"/>
        <v>362</v>
      </c>
      <c r="BZ181" s="15">
        <f t="shared" si="240"/>
        <v>1.2554870548670356</v>
      </c>
      <c r="CA181" s="28">
        <f t="shared" si="241"/>
        <v>721.33885623016147</v>
      </c>
      <c r="CB181" s="28">
        <f t="shared" si="242"/>
        <v>574.54901938957551</v>
      </c>
      <c r="CC181" s="33">
        <v>31</v>
      </c>
      <c r="CD181" s="8">
        <v>24</v>
      </c>
      <c r="CE181" s="9">
        <v>16</v>
      </c>
      <c r="CF181" s="10">
        <v>25</v>
      </c>
      <c r="CG181" s="31">
        <v>4</v>
      </c>
      <c r="CH181" s="7">
        <v>15</v>
      </c>
      <c r="CI181" s="8">
        <v>7</v>
      </c>
      <c r="CJ181" s="9">
        <v>22</v>
      </c>
      <c r="CK181" s="10">
        <v>5</v>
      </c>
      <c r="CL181" s="12">
        <v>0</v>
      </c>
      <c r="CM181" s="11">
        <v>9</v>
      </c>
      <c r="CN181" s="1">
        <v>4</v>
      </c>
      <c r="CO181" s="35">
        <f t="shared" si="205"/>
        <v>1035</v>
      </c>
      <c r="CP181" s="35">
        <f t="shared" si="224"/>
        <v>325.2</v>
      </c>
      <c r="CQ181" s="15">
        <f t="shared" si="243"/>
        <v>1.1898318620633068</v>
      </c>
      <c r="CR181" s="28">
        <f t="shared" si="244"/>
        <v>734.05514903507446</v>
      </c>
      <c r="CS181" s="28">
        <f t="shared" si="245"/>
        <v>616.9402353725319</v>
      </c>
      <c r="CT181" s="33">
        <v>44</v>
      </c>
      <c r="CU181" s="8">
        <v>21</v>
      </c>
      <c r="CV181" s="9">
        <v>15</v>
      </c>
      <c r="CW181" s="10">
        <v>19.3</v>
      </c>
      <c r="CX181" s="31">
        <v>1</v>
      </c>
      <c r="CY181" s="7">
        <v>13</v>
      </c>
      <c r="CZ181" s="8">
        <v>16</v>
      </c>
      <c r="DA181" s="9">
        <v>21</v>
      </c>
      <c r="DB181" s="10">
        <v>1</v>
      </c>
      <c r="DC181" s="12">
        <v>0</v>
      </c>
      <c r="DD181" s="11">
        <v>4.2</v>
      </c>
      <c r="DE181" s="1">
        <v>3</v>
      </c>
      <c r="DF181" s="35">
        <f t="shared" si="206"/>
        <v>534</v>
      </c>
      <c r="DG181" s="35">
        <f t="shared" si="225"/>
        <v>346</v>
      </c>
      <c r="DH181" s="15">
        <f t="shared" si="246"/>
        <v>1.0038919274622984</v>
      </c>
      <c r="DI181" s="28">
        <f t="shared" si="247"/>
        <v>435.83704332030021</v>
      </c>
      <c r="DJ181" s="28">
        <f t="shared" si="248"/>
        <v>434.14737323571939</v>
      </c>
      <c r="DK181" s="33">
        <v>30</v>
      </c>
      <c r="DL181" s="8">
        <v>22</v>
      </c>
      <c r="DM181" s="9">
        <v>29</v>
      </c>
      <c r="DN181" s="10">
        <v>19</v>
      </c>
      <c r="DO181" s="31">
        <v>1</v>
      </c>
      <c r="DP181" s="7">
        <v>16</v>
      </c>
      <c r="DQ181" s="8">
        <v>14</v>
      </c>
      <c r="DR181" s="9">
        <v>20</v>
      </c>
      <c r="DS181" s="10">
        <v>0</v>
      </c>
      <c r="DT181" s="12">
        <v>0</v>
      </c>
      <c r="DU181" s="11">
        <v>4</v>
      </c>
      <c r="DV181" s="1">
        <v>2.7</v>
      </c>
      <c r="DW181" s="35">
        <f t="shared" si="207"/>
        <v>501.5</v>
      </c>
      <c r="DX181" s="35">
        <f t="shared" si="226"/>
        <v>261</v>
      </c>
      <c r="DY181" s="15">
        <f t="shared" si="249"/>
        <v>0.93938548733710492</v>
      </c>
      <c r="DZ181" s="28">
        <f t="shared" si="250"/>
        <v>392.72827750100373</v>
      </c>
      <c r="EA181" s="28">
        <f t="shared" si="251"/>
        <v>418.06934724346075</v>
      </c>
      <c r="EB181" s="33">
        <v>47</v>
      </c>
      <c r="EC181" s="8">
        <v>24</v>
      </c>
      <c r="ED181" s="9">
        <v>22</v>
      </c>
      <c r="EE181" s="10">
        <v>7</v>
      </c>
      <c r="EF181" s="31">
        <v>0</v>
      </c>
      <c r="EG181" s="7">
        <v>28</v>
      </c>
      <c r="EH181" s="8">
        <v>22</v>
      </c>
      <c r="EI181" s="9">
        <v>0</v>
      </c>
      <c r="EJ181" s="10">
        <v>0</v>
      </c>
      <c r="EK181" s="12">
        <v>0</v>
      </c>
      <c r="EL181" s="11">
        <v>10</v>
      </c>
      <c r="EM181" s="1">
        <v>4</v>
      </c>
      <c r="EN181" s="35">
        <f t="shared" si="208"/>
        <v>1130</v>
      </c>
      <c r="EO181" s="35">
        <f t="shared" si="227"/>
        <v>338.6</v>
      </c>
      <c r="EP181" s="15">
        <f t="shared" si="252"/>
        <v>1.2401185314710688</v>
      </c>
      <c r="EQ181" s="28">
        <f t="shared" si="253"/>
        <v>778.16474629512516</v>
      </c>
      <c r="ER181" s="28">
        <f t="shared" si="254"/>
        <v>627.49223283684091</v>
      </c>
      <c r="ES181" s="33">
        <v>23</v>
      </c>
      <c r="ET181" s="8">
        <v>25</v>
      </c>
      <c r="EU181" s="9">
        <v>30</v>
      </c>
      <c r="EV181" s="10">
        <v>23.4</v>
      </c>
      <c r="EW181" s="31">
        <v>0</v>
      </c>
      <c r="EX181" s="7">
        <v>14</v>
      </c>
      <c r="EY181" s="8">
        <v>8</v>
      </c>
      <c r="EZ181" s="9">
        <v>16</v>
      </c>
      <c r="FA181" s="10">
        <v>1</v>
      </c>
      <c r="FB181" s="12">
        <v>0</v>
      </c>
      <c r="FC181" s="86"/>
      <c r="FD181" s="87"/>
      <c r="FE181" s="35">
        <f t="shared" si="209"/>
        <v>0</v>
      </c>
      <c r="FF181" s="35">
        <f t="shared" si="228"/>
        <v>0</v>
      </c>
      <c r="FG181" s="15">
        <f t="shared" si="255"/>
        <v>0.84612853674530863</v>
      </c>
      <c r="FH181" s="28">
        <f t="shared" si="256"/>
        <v>500.57052113655209</v>
      </c>
      <c r="FI181" s="28">
        <f t="shared" si="257"/>
        <v>591.60103861055302</v>
      </c>
      <c r="FJ181" s="33"/>
      <c r="FN181" s="31"/>
      <c r="FT181" s="11">
        <v>8.5</v>
      </c>
      <c r="FU181" s="1">
        <v>7</v>
      </c>
      <c r="FV181" s="35">
        <f t="shared" si="210"/>
        <v>1122.5</v>
      </c>
      <c r="FW181" s="35">
        <f t="shared" si="229"/>
        <v>342</v>
      </c>
      <c r="FX181" s="15">
        <f t="shared" si="258"/>
        <v>1.1792359777865038</v>
      </c>
      <c r="FY181" s="28">
        <f t="shared" si="259"/>
        <v>744.97553970308468</v>
      </c>
      <c r="FZ181" s="28">
        <f t="shared" si="260"/>
        <v>631.74424265908863</v>
      </c>
      <c r="GA181" s="33">
        <v>20</v>
      </c>
      <c r="GB181" s="8">
        <v>25</v>
      </c>
      <c r="GC181" s="9">
        <v>24</v>
      </c>
      <c r="GD181" s="10">
        <v>27</v>
      </c>
      <c r="GE181" s="31">
        <v>4</v>
      </c>
      <c r="GF181" s="7">
        <v>18</v>
      </c>
      <c r="GG181" s="8">
        <v>12</v>
      </c>
      <c r="GH181" s="9">
        <v>10</v>
      </c>
      <c r="GI181" s="10">
        <v>0</v>
      </c>
      <c r="GJ181" s="12">
        <v>0</v>
      </c>
      <c r="GK181" s="11">
        <v>9.25</v>
      </c>
      <c r="GL181" s="1">
        <v>8</v>
      </c>
      <c r="GM181" s="35">
        <f t="shared" si="211"/>
        <v>1238.75</v>
      </c>
      <c r="GN181" s="35">
        <f t="shared" si="230"/>
        <v>471.9</v>
      </c>
      <c r="GO181" s="15">
        <f t="shared" si="261"/>
        <v>1.1975421181424557</v>
      </c>
      <c r="GP181" s="28">
        <f t="shared" si="262"/>
        <v>797.85916507128013</v>
      </c>
      <c r="GQ181" s="28">
        <f t="shared" si="263"/>
        <v>666.24726845421014</v>
      </c>
      <c r="GR181" s="33">
        <v>10.4</v>
      </c>
      <c r="GS181" s="8">
        <v>18</v>
      </c>
      <c r="GT181" s="9">
        <v>26</v>
      </c>
      <c r="GU181" s="10">
        <v>36</v>
      </c>
      <c r="GV181" s="31">
        <v>10.5</v>
      </c>
      <c r="GW181" s="7">
        <v>1</v>
      </c>
      <c r="GX181" s="8">
        <v>5</v>
      </c>
      <c r="GY181" s="9">
        <v>8</v>
      </c>
      <c r="GZ181" s="10">
        <v>9</v>
      </c>
      <c r="HA181" s="12">
        <v>16</v>
      </c>
      <c r="HB181" s="86"/>
      <c r="HC181" s="87"/>
      <c r="HD181" s="35">
        <f t="shared" si="212"/>
        <v>0</v>
      </c>
      <c r="HE181" s="35">
        <f t="shared" si="231"/>
        <v>0</v>
      </c>
      <c r="HF181" s="15">
        <f t="shared" si="264"/>
        <v>0.42496166313215333</v>
      </c>
      <c r="HG181" s="28">
        <f t="shared" si="265"/>
        <v>111.28588881190356</v>
      </c>
      <c r="HH181" s="28">
        <f t="shared" si="266"/>
        <v>261.87277222062312</v>
      </c>
      <c r="HI181" s="33"/>
      <c r="HM181" s="31"/>
      <c r="HU181" s="35">
        <f t="shared" si="213"/>
        <v>0</v>
      </c>
      <c r="HV181" s="35">
        <f t="shared" si="232"/>
        <v>0</v>
      </c>
      <c r="HW181" s="15">
        <f t="shared" si="267"/>
        <v>1.5245156538654452E-7</v>
      </c>
      <c r="HX181" s="28">
        <f t="shared" si="268"/>
        <v>2.6980901388026614E-8</v>
      </c>
      <c r="HY181" s="28">
        <f t="shared" si="269"/>
        <v>0.17698015313661034</v>
      </c>
      <c r="HZ181" s="33"/>
      <c r="ID181" s="31"/>
      <c r="II181" s="12"/>
      <c r="IL181" s="35">
        <f t="shared" si="214"/>
        <v>0</v>
      </c>
      <c r="IM181" s="35">
        <f t="shared" si="215"/>
        <v>7767.8669830331246</v>
      </c>
      <c r="IN181" s="15">
        <f t="shared" si="270"/>
        <v>4.8248257215763209E-3</v>
      </c>
      <c r="IO181" s="28">
        <f t="shared" si="271"/>
        <v>7.1984521390012171E-2</v>
      </c>
      <c r="IP181" s="28">
        <f t="shared" si="272"/>
        <v>14.919610685231978</v>
      </c>
      <c r="IQ181" s="33"/>
      <c r="IU181" s="31"/>
      <c r="JC181" s="35">
        <f t="shared" si="180"/>
        <v>0</v>
      </c>
      <c r="JD181" s="35">
        <f t="shared" si="216"/>
        <v>7923.0912685891481</v>
      </c>
      <c r="JE181" s="15">
        <f t="shared" si="273"/>
        <v>1.873485820656093E-3</v>
      </c>
      <c r="JF181" s="28">
        <f t="shared" si="274"/>
        <v>7.230808886589727E-3</v>
      </c>
      <c r="JG181" s="28">
        <f t="shared" si="275"/>
        <v>3.859548231892945</v>
      </c>
      <c r="JH181" s="33"/>
      <c r="JL181" s="31"/>
      <c r="JR181" s="99"/>
      <c r="JS181" s="99"/>
      <c r="JT181" s="99"/>
      <c r="JU181" s="99"/>
      <c r="JV181" s="99"/>
      <c r="JW181" s="99"/>
      <c r="JX181" s="99"/>
      <c r="JY181" s="99"/>
      <c r="JZ181" s="99"/>
      <c r="KA181" s="99"/>
      <c r="KB181" s="99"/>
      <c r="KC181" s="99"/>
      <c r="KD181" s="99"/>
      <c r="KE181" s="99"/>
      <c r="KF181" s="99"/>
      <c r="KG181" s="99"/>
      <c r="KH181" s="99"/>
      <c r="KI181" s="99"/>
      <c r="KJ181" s="99"/>
      <c r="KK181" s="99"/>
      <c r="KL181" s="99"/>
      <c r="KM181" s="99"/>
      <c r="KN181" s="99"/>
      <c r="KO181" s="99"/>
      <c r="KP181" s="99"/>
      <c r="KQ181" s="99"/>
      <c r="KR181" s="99"/>
      <c r="KS181" s="99"/>
      <c r="KT181" s="99"/>
      <c r="KU181" s="99"/>
      <c r="KV181" s="99"/>
      <c r="KW181" s="99"/>
      <c r="KX181" s="99"/>
      <c r="KY181" s="99"/>
      <c r="KZ181" s="99"/>
      <c r="LA181" s="99"/>
      <c r="LB181" s="99"/>
      <c r="LC181" s="99"/>
      <c r="LD181" s="99"/>
      <c r="LE181" s="99"/>
      <c r="LF181" s="99"/>
      <c r="LG181" s="99"/>
      <c r="LH181" s="99"/>
      <c r="LI181" s="99"/>
      <c r="LJ181" s="99"/>
      <c r="LK181" s="99"/>
      <c r="LL181" s="99"/>
      <c r="LM181" s="99"/>
      <c r="LN181" s="99"/>
      <c r="LO181" s="99"/>
      <c r="LP181" s="99"/>
      <c r="LQ181" s="99"/>
      <c r="LR181" s="99"/>
      <c r="LS181" s="99"/>
      <c r="LT181" s="99"/>
      <c r="LU181" s="99"/>
      <c r="LV181" s="99"/>
      <c r="LW181" s="99"/>
      <c r="LX181" s="99"/>
      <c r="LY181" s="99"/>
      <c r="LZ181" s="99"/>
      <c r="MA181" s="99"/>
      <c r="MB181" s="99"/>
      <c r="MC181" s="99"/>
      <c r="MD181" s="99"/>
      <c r="ME181" s="99"/>
      <c r="MF181" s="99"/>
    </row>
    <row r="182" spans="1:344" ht="17.25" customHeight="1" x14ac:dyDescent="0.25">
      <c r="A182" s="156"/>
      <c r="B182" s="81" t="s">
        <v>4</v>
      </c>
      <c r="C182" s="82">
        <v>45316</v>
      </c>
      <c r="D182" s="49">
        <v>11</v>
      </c>
      <c r="E182" s="39">
        <v>10</v>
      </c>
      <c r="F182" s="103">
        <v>72</v>
      </c>
      <c r="G182" s="89">
        <f t="shared" si="194"/>
        <v>6.3120000000000003</v>
      </c>
      <c r="H182" s="35">
        <f t="shared" si="195"/>
        <v>454.464</v>
      </c>
      <c r="I182" s="39"/>
      <c r="L182" s="89">
        <f t="shared" si="196"/>
        <v>0</v>
      </c>
      <c r="M182" s="35">
        <f t="shared" si="217"/>
        <v>0</v>
      </c>
      <c r="N182" s="35">
        <f t="shared" si="218"/>
        <v>454.464</v>
      </c>
      <c r="O182" s="97">
        <f>SUM($Z182,$BH182,$AQ182,$BY182,$CP182,$DG182,$DX182,$EO182,$FF182,$FW182,$GN182)/E182</f>
        <v>203.9</v>
      </c>
      <c r="P182" s="150"/>
      <c r="Q182" s="132">
        <f t="shared" si="355"/>
        <v>19.100000000000001</v>
      </c>
      <c r="R182" s="134">
        <f t="shared" si="356"/>
        <v>17.5</v>
      </c>
      <c r="S182" s="136">
        <f t="shared" si="357"/>
        <v>18.899999999999999</v>
      </c>
      <c r="T182" s="138">
        <f t="shared" si="358"/>
        <v>19.899999999999999</v>
      </c>
      <c r="U182" s="144">
        <f t="shared" si="359"/>
        <v>2.7</v>
      </c>
      <c r="W182" s="11">
        <v>0</v>
      </c>
      <c r="X182" s="1">
        <v>0</v>
      </c>
      <c r="Y182" s="35">
        <f t="shared" si="201"/>
        <v>0</v>
      </c>
      <c r="Z182" s="35">
        <f t="shared" si="220"/>
        <v>254</v>
      </c>
      <c r="AA182" s="15">
        <f t="shared" si="233"/>
        <v>0.10785328629535308</v>
      </c>
      <c r="AB182" s="43">
        <f t="shared" si="298"/>
        <v>27.987412640236855</v>
      </c>
      <c r="AC182" s="43">
        <f t="shared" si="299"/>
        <v>259.49522357245695</v>
      </c>
      <c r="AD182" s="33">
        <v>6</v>
      </c>
      <c r="AE182" s="8">
        <v>15</v>
      </c>
      <c r="AF182" s="9">
        <v>17</v>
      </c>
      <c r="AG182" s="10">
        <v>33</v>
      </c>
      <c r="AH182" s="31">
        <v>7</v>
      </c>
      <c r="AN182" s="11">
        <v>8.5</v>
      </c>
      <c r="AP182" s="35">
        <f t="shared" si="202"/>
        <v>612</v>
      </c>
      <c r="AQ182" s="35">
        <f t="shared" si="221"/>
        <v>210</v>
      </c>
      <c r="AR182" s="15">
        <f t="shared" si="234"/>
        <v>1.1203844165058341</v>
      </c>
      <c r="AS182" s="28">
        <f t="shared" si="235"/>
        <v>717.10844590319459</v>
      </c>
      <c r="AT182" s="28">
        <f t="shared" si="236"/>
        <v>640.05571243096676</v>
      </c>
      <c r="AU182" s="33">
        <v>19</v>
      </c>
      <c r="AV182" s="8">
        <v>16</v>
      </c>
      <c r="AW182" s="9">
        <v>16</v>
      </c>
      <c r="AX182" s="10">
        <v>24</v>
      </c>
      <c r="AY182" s="31">
        <v>3</v>
      </c>
      <c r="BE182" s="11">
        <v>8.5</v>
      </c>
      <c r="BG182" s="35">
        <f t="shared" si="203"/>
        <v>612</v>
      </c>
      <c r="BH182" s="35">
        <f t="shared" si="222"/>
        <v>225</v>
      </c>
      <c r="BI182" s="15">
        <f t="shared" si="237"/>
        <v>1.3078290394334842</v>
      </c>
      <c r="BJ182" s="28">
        <f t="shared" si="238"/>
        <v>647.8120410117308</v>
      </c>
      <c r="BK182" s="28">
        <f t="shared" si="239"/>
        <v>495.33388652414789</v>
      </c>
      <c r="BL182" s="33">
        <v>7</v>
      </c>
      <c r="BM182" s="8">
        <v>23</v>
      </c>
      <c r="BN182" s="9">
        <v>22</v>
      </c>
      <c r="BO182" s="10">
        <v>24</v>
      </c>
      <c r="BP182" s="31">
        <v>2</v>
      </c>
      <c r="BV182" s="11">
        <v>6</v>
      </c>
      <c r="BX182" s="35">
        <f t="shared" si="204"/>
        <v>432</v>
      </c>
      <c r="BY182" s="35">
        <f t="shared" si="223"/>
        <v>217</v>
      </c>
      <c r="BZ182" s="15">
        <f t="shared" si="240"/>
        <v>1.1492534004520016</v>
      </c>
      <c r="CA182" s="28">
        <f t="shared" si="241"/>
        <v>649.00414217262107</v>
      </c>
      <c r="CB182" s="28">
        <f t="shared" si="242"/>
        <v>564.71805253512196</v>
      </c>
      <c r="CC182" s="33">
        <v>19</v>
      </c>
      <c r="CD182" s="8">
        <v>13</v>
      </c>
      <c r="CE182" s="9">
        <v>15</v>
      </c>
      <c r="CF182" s="10">
        <v>28</v>
      </c>
      <c r="CG182" s="31">
        <v>3</v>
      </c>
      <c r="CM182" s="11">
        <v>8</v>
      </c>
      <c r="CO182" s="35">
        <f t="shared" si="205"/>
        <v>576</v>
      </c>
      <c r="CP182" s="35">
        <f t="shared" si="224"/>
        <v>167</v>
      </c>
      <c r="CQ182" s="15">
        <f t="shared" si="243"/>
        <v>1.1309597697504084</v>
      </c>
      <c r="CR182" s="28">
        <f t="shared" si="244"/>
        <v>694.54136177630585</v>
      </c>
      <c r="CS182" s="28">
        <f t="shared" si="245"/>
        <v>614.11677086408145</v>
      </c>
      <c r="CT182" s="33">
        <v>28</v>
      </c>
      <c r="CU182" s="8">
        <v>22</v>
      </c>
      <c r="CV182" s="9">
        <v>17</v>
      </c>
      <c r="CW182" s="10">
        <v>11</v>
      </c>
      <c r="CX182" s="31">
        <v>0</v>
      </c>
      <c r="DD182" s="11">
        <v>3.7</v>
      </c>
      <c r="DF182" s="35">
        <f t="shared" si="206"/>
        <v>266.40000000000003</v>
      </c>
      <c r="DG182" s="35">
        <f t="shared" si="225"/>
        <v>185</v>
      </c>
      <c r="DH182" s="15">
        <f t="shared" si="246"/>
        <v>0.93113516124442508</v>
      </c>
      <c r="DI182" s="28">
        <f t="shared" si="247"/>
        <v>393.4777824902252</v>
      </c>
      <c r="DJ182" s="28">
        <f t="shared" si="248"/>
        <v>422.57858887463533</v>
      </c>
      <c r="DK182" s="33">
        <v>23</v>
      </c>
      <c r="DL182" s="8">
        <v>19</v>
      </c>
      <c r="DM182" s="9">
        <v>21</v>
      </c>
      <c r="DN182" s="10">
        <v>14</v>
      </c>
      <c r="DO182" s="31">
        <v>1</v>
      </c>
      <c r="DU182" s="11">
        <v>4.2</v>
      </c>
      <c r="DW182" s="35">
        <f t="shared" si="207"/>
        <v>302.40000000000003</v>
      </c>
      <c r="DX182" s="35">
        <f t="shared" si="226"/>
        <v>178</v>
      </c>
      <c r="DY182" s="15">
        <f t="shared" si="249"/>
        <v>0.90259276440626313</v>
      </c>
      <c r="DZ182" s="28">
        <f t="shared" si="250"/>
        <v>370.14620812575282</v>
      </c>
      <c r="EA182" s="28">
        <f t="shared" si="251"/>
        <v>410.09215088184277</v>
      </c>
      <c r="EB182" s="33">
        <v>24</v>
      </c>
      <c r="EC182" s="8">
        <v>20</v>
      </c>
      <c r="ED182" s="9">
        <v>26</v>
      </c>
      <c r="EE182" s="10">
        <v>9</v>
      </c>
      <c r="EF182" s="31">
        <v>0</v>
      </c>
      <c r="EL182" s="11">
        <v>9</v>
      </c>
      <c r="EN182" s="35">
        <f t="shared" si="208"/>
        <v>648</v>
      </c>
      <c r="EO182" s="35">
        <f t="shared" si="227"/>
        <v>168</v>
      </c>
      <c r="EP182" s="15">
        <f t="shared" si="252"/>
        <v>1.1855871845516197</v>
      </c>
      <c r="EQ182" s="28">
        <f t="shared" si="253"/>
        <v>745.6235597213439</v>
      </c>
      <c r="ER182" s="28">
        <f t="shared" si="254"/>
        <v>628.90656160671404</v>
      </c>
      <c r="ES182" s="33">
        <v>31</v>
      </c>
      <c r="ET182" s="8">
        <v>15</v>
      </c>
      <c r="EU182" s="9">
        <v>21</v>
      </c>
      <c r="EV182" s="10">
        <v>11</v>
      </c>
      <c r="EW182" s="31">
        <v>0</v>
      </c>
      <c r="FC182" s="86"/>
      <c r="FD182" s="87"/>
      <c r="FE182" s="35">
        <f t="shared" si="209"/>
        <v>0</v>
      </c>
      <c r="FF182" s="35">
        <f t="shared" si="228"/>
        <v>0</v>
      </c>
      <c r="FG182" s="15">
        <f t="shared" si="255"/>
        <v>0.68160354348927654</v>
      </c>
      <c r="FH182" s="28">
        <f t="shared" si="256"/>
        <v>375.42789085241407</v>
      </c>
      <c r="FI182" s="28">
        <f t="shared" si="257"/>
        <v>550.80096698223895</v>
      </c>
      <c r="FJ182" s="33"/>
      <c r="FN182" s="31"/>
      <c r="FT182" s="11">
        <v>7.5</v>
      </c>
      <c r="FV182" s="35">
        <f t="shared" si="210"/>
        <v>540</v>
      </c>
      <c r="FW182" s="35">
        <f t="shared" si="229"/>
        <v>225</v>
      </c>
      <c r="FX182" s="15">
        <f t="shared" si="258"/>
        <v>1.1092304741031735</v>
      </c>
      <c r="FY182" s="28">
        <f t="shared" si="259"/>
        <v>693.73165477731345</v>
      </c>
      <c r="FZ182" s="28">
        <f t="shared" si="260"/>
        <v>625.41705351018595</v>
      </c>
      <c r="GA182" s="33">
        <v>15</v>
      </c>
      <c r="GB182" s="8">
        <v>16</v>
      </c>
      <c r="GC182" s="9">
        <v>18</v>
      </c>
      <c r="GD182" s="10">
        <v>21</v>
      </c>
      <c r="GE182" s="31">
        <v>8</v>
      </c>
      <c r="GK182" s="11">
        <v>7.72</v>
      </c>
      <c r="GM182" s="35">
        <f t="shared" si="211"/>
        <v>555.84</v>
      </c>
      <c r="GN182" s="35">
        <f t="shared" si="230"/>
        <v>210</v>
      </c>
      <c r="GO182" s="15">
        <f t="shared" si="261"/>
        <v>1.1195224090254443</v>
      </c>
      <c r="GP182" s="28">
        <f t="shared" si="262"/>
        <v>737.35437380346013</v>
      </c>
      <c r="GQ182" s="28">
        <f t="shared" si="263"/>
        <v>658.63297407805771</v>
      </c>
      <c r="GR182" s="33">
        <v>19</v>
      </c>
      <c r="GS182" s="8">
        <v>16</v>
      </c>
      <c r="GT182" s="9">
        <v>16</v>
      </c>
      <c r="GU182" s="10">
        <v>24</v>
      </c>
      <c r="GV182" s="31">
        <v>3</v>
      </c>
      <c r="HB182" s="86"/>
      <c r="HC182" s="87"/>
      <c r="HD182" s="35">
        <f t="shared" si="212"/>
        <v>0</v>
      </c>
      <c r="HE182" s="35">
        <f t="shared" si="231"/>
        <v>0</v>
      </c>
      <c r="HF182" s="15">
        <f t="shared" si="264"/>
        <v>0.34233022863423468</v>
      </c>
      <c r="HG182" s="28">
        <f t="shared" si="265"/>
        <v>83.464416608927678</v>
      </c>
      <c r="HH182" s="28">
        <f t="shared" si="266"/>
        <v>243.81258103299393</v>
      </c>
      <c r="HI182" s="33"/>
      <c r="HM182" s="31"/>
      <c r="HU182" s="35">
        <f t="shared" si="213"/>
        <v>0</v>
      </c>
      <c r="HV182" s="35">
        <f t="shared" si="232"/>
        <v>0</v>
      </c>
      <c r="HW182" s="15">
        <f t="shared" si="267"/>
        <v>1.2280820545027197E-7</v>
      </c>
      <c r="HX182" s="28">
        <f t="shared" si="268"/>
        <v>2.0235676041019959E-8</v>
      </c>
      <c r="HY182" s="28">
        <f t="shared" si="269"/>
        <v>0.16477462533408549</v>
      </c>
      <c r="HZ182" s="33"/>
      <c r="ID182" s="31"/>
      <c r="II182" s="12"/>
      <c r="IL182" s="35">
        <f t="shared" si="214"/>
        <v>0</v>
      </c>
      <c r="IM182" s="35">
        <f t="shared" si="215"/>
        <v>6506.0545915674502</v>
      </c>
      <c r="IN182" s="15">
        <f t="shared" si="270"/>
        <v>3.886665164603148E-3</v>
      </c>
      <c r="IO182" s="28">
        <f t="shared" si="271"/>
        <v>5.3988391042509132E-2</v>
      </c>
      <c r="IP182" s="28">
        <f t="shared" si="272"/>
        <v>13.890672017284945</v>
      </c>
      <c r="IQ182" s="33"/>
      <c r="IU182" s="31"/>
      <c r="JC182" s="35">
        <f t="shared" si="180"/>
        <v>0</v>
      </c>
      <c r="JD182" s="35">
        <f t="shared" si="216"/>
        <v>6929.1421807348815</v>
      </c>
      <c r="JE182" s="15">
        <f t="shared" si="273"/>
        <v>1.5091969110840749E-3</v>
      </c>
      <c r="JF182" s="28">
        <f t="shared" si="274"/>
        <v>5.4231066649422953E-3</v>
      </c>
      <c r="JG182" s="28">
        <f t="shared" si="275"/>
        <v>3.593372491762397</v>
      </c>
      <c r="JH182" s="33"/>
      <c r="JL182" s="31"/>
      <c r="JR182" s="99"/>
      <c r="JS182" s="99"/>
      <c r="JT182" s="99"/>
      <c r="JU182" s="99"/>
      <c r="JV182" s="99"/>
      <c r="JW182" s="99"/>
      <c r="JX182" s="99"/>
      <c r="JY182" s="99"/>
      <c r="JZ182" s="99"/>
      <c r="KA182" s="99"/>
      <c r="KB182" s="99"/>
      <c r="KC182" s="99"/>
      <c r="KD182" s="99"/>
      <c r="KE182" s="99"/>
      <c r="KF182" s="99"/>
      <c r="KG182" s="99"/>
      <c r="KH182" s="99"/>
      <c r="KI182" s="99"/>
      <c r="KJ182" s="99"/>
      <c r="KK182" s="99"/>
      <c r="KL182" s="99"/>
      <c r="KM182" s="99"/>
      <c r="KN182" s="99"/>
      <c r="KO182" s="99"/>
      <c r="KP182" s="99"/>
      <c r="KQ182" s="99"/>
      <c r="KR182" s="99"/>
      <c r="KS182" s="99"/>
      <c r="KT182" s="99"/>
      <c r="KU182" s="99"/>
      <c r="KV182" s="99"/>
      <c r="KW182" s="99"/>
      <c r="KX182" s="99"/>
      <c r="KY182" s="99"/>
      <c r="KZ182" s="99"/>
      <c r="LA182" s="99"/>
      <c r="LB182" s="99"/>
      <c r="LC182" s="99"/>
      <c r="LD182" s="99"/>
      <c r="LE182" s="99"/>
      <c r="LF182" s="99"/>
      <c r="LG182" s="99"/>
      <c r="LH182" s="99"/>
      <c r="LI182" s="99"/>
      <c r="LJ182" s="99"/>
      <c r="LK182" s="99"/>
      <c r="LL182" s="99"/>
      <c r="LM182" s="99"/>
      <c r="LN182" s="99"/>
      <c r="LO182" s="99"/>
      <c r="LP182" s="99"/>
      <c r="LQ182" s="99"/>
      <c r="LR182" s="99"/>
      <c r="LS182" s="99"/>
      <c r="LT182" s="99"/>
      <c r="LU182" s="99"/>
      <c r="LV182" s="99"/>
      <c r="LW182" s="99"/>
      <c r="LX182" s="99"/>
      <c r="LY182" s="99"/>
      <c r="LZ182" s="99"/>
      <c r="MA182" s="99"/>
      <c r="MB182" s="99"/>
      <c r="MC182" s="99"/>
      <c r="MD182" s="99"/>
      <c r="ME182" s="99"/>
      <c r="MF182" s="99"/>
    </row>
    <row r="183" spans="1:344" ht="17.25" customHeight="1" x14ac:dyDescent="0.25">
      <c r="A183" s="156"/>
      <c r="B183" s="81" t="s">
        <v>5</v>
      </c>
      <c r="C183" s="82">
        <v>45317</v>
      </c>
      <c r="D183" s="49">
        <v>11</v>
      </c>
      <c r="E183" s="39">
        <v>10</v>
      </c>
      <c r="F183" s="103">
        <v>65</v>
      </c>
      <c r="G183" s="89">
        <f t="shared" si="194"/>
        <v>5.84</v>
      </c>
      <c r="H183" s="35">
        <f t="shared" si="195"/>
        <v>379.59999999999997</v>
      </c>
      <c r="I183" s="39"/>
      <c r="L183" s="89">
        <f t="shared" si="196"/>
        <v>0</v>
      </c>
      <c r="M183" s="35">
        <f t="shared" si="217"/>
        <v>0</v>
      </c>
      <c r="N183" s="35">
        <f t="shared" si="218"/>
        <v>379.59999999999997</v>
      </c>
      <c r="O183" s="97">
        <f>SUM($Z183,$BH183,$AQ183,$BY183,$CP183,$DG183,$DX183,$EO183,$FF183,$FW183,$GN183)/E183</f>
        <v>136.6</v>
      </c>
      <c r="P183" s="150"/>
      <c r="Q183" s="132">
        <f t="shared" si="355"/>
        <v>13.9</v>
      </c>
      <c r="R183" s="134">
        <f t="shared" si="356"/>
        <v>14.6</v>
      </c>
      <c r="S183" s="136">
        <f t="shared" si="357"/>
        <v>14.9</v>
      </c>
      <c r="T183" s="138">
        <f t="shared" si="358"/>
        <v>10.4</v>
      </c>
      <c r="U183" s="144">
        <f t="shared" si="359"/>
        <v>1.44</v>
      </c>
      <c r="W183" s="11">
        <v>0</v>
      </c>
      <c r="X183" s="1">
        <v>0</v>
      </c>
      <c r="Y183" s="35">
        <f t="shared" si="201"/>
        <v>0</v>
      </c>
      <c r="Z183" s="35">
        <f t="shared" si="220"/>
        <v>176</v>
      </c>
      <c r="AA183" s="15">
        <f t="shared" si="233"/>
        <v>8.6881813960145535E-2</v>
      </c>
      <c r="AB183" s="43">
        <f t="shared" si="298"/>
        <v>20.990559480177641</v>
      </c>
      <c r="AC183" s="43">
        <f t="shared" si="299"/>
        <v>241.59900125711508</v>
      </c>
      <c r="AD183" s="33">
        <v>3</v>
      </c>
      <c r="AE183" s="8">
        <v>14</v>
      </c>
      <c r="AF183" s="9">
        <v>12</v>
      </c>
      <c r="AG183" s="10">
        <v>21</v>
      </c>
      <c r="AH183" s="31">
        <v>5</v>
      </c>
      <c r="AN183" s="11">
        <v>7</v>
      </c>
      <c r="AP183" s="35">
        <f t="shared" si="202"/>
        <v>455</v>
      </c>
      <c r="AQ183" s="35">
        <f t="shared" si="221"/>
        <v>124</v>
      </c>
      <c r="AR183" s="15">
        <f t="shared" si="234"/>
        <v>1.0387188686342164</v>
      </c>
      <c r="AS183" s="28">
        <f t="shared" si="235"/>
        <v>651.58133442739597</v>
      </c>
      <c r="AT183" s="28">
        <f t="shared" si="236"/>
        <v>627.29324950469311</v>
      </c>
      <c r="AU183" s="33">
        <v>19</v>
      </c>
      <c r="AV183" s="8">
        <v>17</v>
      </c>
      <c r="AW183" s="9">
        <v>13</v>
      </c>
      <c r="AX183" s="10">
        <v>4</v>
      </c>
      <c r="AY183" s="31">
        <v>3.2</v>
      </c>
      <c r="BE183" s="11">
        <v>8</v>
      </c>
      <c r="BG183" s="35">
        <f t="shared" si="203"/>
        <v>520</v>
      </c>
      <c r="BH183" s="35">
        <f t="shared" si="222"/>
        <v>150</v>
      </c>
      <c r="BI183" s="15">
        <f t="shared" si="237"/>
        <v>1.2390657267331153</v>
      </c>
      <c r="BJ183" s="28">
        <f t="shared" si="238"/>
        <v>615.8590307587981</v>
      </c>
      <c r="BK183" s="28">
        <f t="shared" si="239"/>
        <v>497.03499779834453</v>
      </c>
      <c r="BL183" s="33">
        <v>6</v>
      </c>
      <c r="BM183" s="8">
        <v>18</v>
      </c>
      <c r="BN183" s="9">
        <v>20</v>
      </c>
      <c r="BO183" s="10">
        <v>12</v>
      </c>
      <c r="BP183" s="31">
        <v>0</v>
      </c>
      <c r="BV183" s="11">
        <v>5</v>
      </c>
      <c r="BX183" s="35">
        <f t="shared" si="204"/>
        <v>325</v>
      </c>
      <c r="BY183" s="35">
        <f t="shared" si="223"/>
        <v>130</v>
      </c>
      <c r="BZ183" s="15">
        <f t="shared" si="240"/>
        <v>1.0361507623032007</v>
      </c>
      <c r="CA183" s="28">
        <f t="shared" si="241"/>
        <v>568.00310662946583</v>
      </c>
      <c r="CB183" s="28">
        <f t="shared" si="242"/>
        <v>548.18577304994108</v>
      </c>
      <c r="CC183" s="33">
        <v>18</v>
      </c>
      <c r="CD183" s="8">
        <v>11</v>
      </c>
      <c r="CE183" s="9">
        <v>15</v>
      </c>
      <c r="CF183" s="10">
        <v>11</v>
      </c>
      <c r="CG183" s="31">
        <v>0.2</v>
      </c>
      <c r="CM183" s="11">
        <v>8</v>
      </c>
      <c r="CO183" s="35">
        <f t="shared" si="205"/>
        <v>520</v>
      </c>
      <c r="CP183" s="35">
        <f t="shared" si="224"/>
        <v>98</v>
      </c>
      <c r="CQ183" s="15">
        <f t="shared" si="243"/>
        <v>1.0712281323816093</v>
      </c>
      <c r="CR183" s="28">
        <f t="shared" si="244"/>
        <v>650.90602133222933</v>
      </c>
      <c r="CS183" s="28">
        <f t="shared" si="245"/>
        <v>607.62595908035166</v>
      </c>
      <c r="CT183" s="33">
        <v>27</v>
      </c>
      <c r="CU183" s="8">
        <v>15</v>
      </c>
      <c r="CV183" s="9">
        <v>11</v>
      </c>
      <c r="CW183" s="10">
        <v>2</v>
      </c>
      <c r="CX183" s="31">
        <v>0</v>
      </c>
      <c r="DD183" s="11">
        <v>4.4000000000000004</v>
      </c>
      <c r="DF183" s="35">
        <f t="shared" si="206"/>
        <v>286</v>
      </c>
      <c r="DG183" s="35">
        <f t="shared" si="225"/>
        <v>139</v>
      </c>
      <c r="DH183" s="15">
        <f t="shared" si="246"/>
        <v>0.88732909936874926</v>
      </c>
      <c r="DI183" s="28">
        <f t="shared" si="247"/>
        <v>366.60833686766887</v>
      </c>
      <c r="DJ183" s="28">
        <f t="shared" si="248"/>
        <v>413.15937584879839</v>
      </c>
      <c r="DK183" s="33">
        <v>12</v>
      </c>
      <c r="DL183" s="8">
        <v>14</v>
      </c>
      <c r="DM183" s="9">
        <v>17</v>
      </c>
      <c r="DN183" s="10">
        <v>12</v>
      </c>
      <c r="DO183" s="31">
        <v>0</v>
      </c>
      <c r="DU183" s="11">
        <v>4</v>
      </c>
      <c r="DW183" s="35">
        <f t="shared" si="207"/>
        <v>260</v>
      </c>
      <c r="DX183" s="35">
        <f t="shared" si="226"/>
        <v>106</v>
      </c>
      <c r="DY183" s="15">
        <f t="shared" si="249"/>
        <v>0.85707916742931467</v>
      </c>
      <c r="DZ183" s="28">
        <f t="shared" si="250"/>
        <v>342.60965609431463</v>
      </c>
      <c r="EA183" s="28">
        <f t="shared" si="251"/>
        <v>399.74096806240533</v>
      </c>
      <c r="EB183" s="33">
        <v>20</v>
      </c>
      <c r="EC183" s="8">
        <v>20</v>
      </c>
      <c r="ED183" s="9">
        <v>14</v>
      </c>
      <c r="EE183" s="10">
        <v>1</v>
      </c>
      <c r="EF183" s="31">
        <v>0</v>
      </c>
      <c r="EL183" s="11">
        <v>7</v>
      </c>
      <c r="EN183" s="35">
        <f t="shared" si="208"/>
        <v>455</v>
      </c>
      <c r="EO183" s="35">
        <f t="shared" si="227"/>
        <v>150</v>
      </c>
      <c r="EP183" s="15">
        <f t="shared" si="252"/>
        <v>1.0908631584117412</v>
      </c>
      <c r="EQ183" s="28">
        <f t="shared" si="253"/>
        <v>672.96766979100789</v>
      </c>
      <c r="ER183" s="28">
        <f t="shared" si="254"/>
        <v>616.9130056338372</v>
      </c>
      <c r="ES183" s="33">
        <v>9</v>
      </c>
      <c r="ET183" s="8">
        <v>14</v>
      </c>
      <c r="EU183" s="9">
        <v>20</v>
      </c>
      <c r="EV183" s="10">
        <v>12</v>
      </c>
      <c r="EW183" s="31">
        <v>1</v>
      </c>
      <c r="FC183" s="86"/>
      <c r="FD183" s="87"/>
      <c r="FE183" s="35">
        <f t="shared" si="209"/>
        <v>0</v>
      </c>
      <c r="FF183" s="35">
        <f t="shared" si="228"/>
        <v>0</v>
      </c>
      <c r="FG183" s="15">
        <f t="shared" si="255"/>
        <v>0.54906952114413943</v>
      </c>
      <c r="FH183" s="28">
        <f t="shared" si="256"/>
        <v>281.57091813931055</v>
      </c>
      <c r="FI183" s="28">
        <f t="shared" si="257"/>
        <v>512.81469339725697</v>
      </c>
      <c r="FJ183" s="33"/>
      <c r="FN183" s="31"/>
      <c r="FT183" s="11">
        <v>7</v>
      </c>
      <c r="FV183" s="35">
        <f t="shared" si="210"/>
        <v>455</v>
      </c>
      <c r="FW183" s="35">
        <f t="shared" si="229"/>
        <v>138</v>
      </c>
      <c r="FX183" s="15">
        <f t="shared" si="258"/>
        <v>1.0332178239617251</v>
      </c>
      <c r="FY183" s="28">
        <f t="shared" si="259"/>
        <v>634.04874108298509</v>
      </c>
      <c r="FZ183" s="28">
        <f t="shared" si="260"/>
        <v>613.66415326810409</v>
      </c>
      <c r="GA183" s="33">
        <v>16</v>
      </c>
      <c r="GB183" s="8">
        <v>12</v>
      </c>
      <c r="GC183" s="9">
        <v>13</v>
      </c>
      <c r="GD183" s="10">
        <v>11</v>
      </c>
      <c r="GE183" s="31">
        <v>3</v>
      </c>
      <c r="GK183" s="11">
        <v>8</v>
      </c>
      <c r="GM183" s="35">
        <f t="shared" si="211"/>
        <v>520</v>
      </c>
      <c r="GN183" s="35">
        <f t="shared" si="230"/>
        <v>155</v>
      </c>
      <c r="GO183" s="15">
        <f t="shared" si="261"/>
        <v>1.0522957343572898</v>
      </c>
      <c r="GP183" s="28">
        <f t="shared" si="262"/>
        <v>683.01578035259513</v>
      </c>
      <c r="GQ183" s="28">
        <f t="shared" si="263"/>
        <v>649.07207931405367</v>
      </c>
      <c r="GR183" s="33">
        <v>9</v>
      </c>
      <c r="GS183" s="8">
        <v>11</v>
      </c>
      <c r="GT183" s="9">
        <v>14</v>
      </c>
      <c r="GU183" s="10">
        <v>18</v>
      </c>
      <c r="GV183" s="31">
        <v>2</v>
      </c>
      <c r="HB183" s="86"/>
      <c r="HC183" s="87"/>
      <c r="HD183" s="35">
        <f t="shared" si="212"/>
        <v>0</v>
      </c>
      <c r="HE183" s="35">
        <f t="shared" si="231"/>
        <v>0</v>
      </c>
      <c r="HF183" s="15">
        <f t="shared" si="264"/>
        <v>0.27576601751091129</v>
      </c>
      <c r="HG183" s="28">
        <f t="shared" si="265"/>
        <v>62.598312456695758</v>
      </c>
      <c r="HH183" s="28">
        <f t="shared" si="266"/>
        <v>226.99792027209779</v>
      </c>
      <c r="HI183" s="33"/>
      <c r="HM183" s="31"/>
      <c r="HU183" s="35">
        <f t="shared" si="213"/>
        <v>0</v>
      </c>
      <c r="HV183" s="35">
        <f t="shared" si="232"/>
        <v>0</v>
      </c>
      <c r="HW183" s="15">
        <f t="shared" si="267"/>
        <v>9.8928832168274634E-8</v>
      </c>
      <c r="HX183" s="28">
        <f t="shared" si="268"/>
        <v>1.5176757030764967E-8</v>
      </c>
      <c r="HY183" s="28">
        <f t="shared" si="269"/>
        <v>0.15341085806966578</v>
      </c>
      <c r="HZ183" s="33"/>
      <c r="ID183" s="31"/>
      <c r="II183" s="12"/>
      <c r="IL183" s="35">
        <f t="shared" si="214"/>
        <v>0</v>
      </c>
      <c r="IM183" s="35">
        <f t="shared" si="215"/>
        <v>5731.0497440544787</v>
      </c>
      <c r="IN183" s="15">
        <f t="shared" si="270"/>
        <v>3.1309247159303135E-3</v>
      </c>
      <c r="IO183" s="28">
        <f t="shared" si="271"/>
        <v>4.0491293281881849E-2</v>
      </c>
      <c r="IP183" s="28">
        <f t="shared" si="272"/>
        <v>12.932694636782536</v>
      </c>
      <c r="IQ183" s="33"/>
      <c r="IU183" s="31"/>
      <c r="JC183" s="35">
        <f t="shared" si="180"/>
        <v>0</v>
      </c>
      <c r="JD183" s="35">
        <f t="shared" si="216"/>
        <v>6458.9675651278203</v>
      </c>
      <c r="JE183" s="15">
        <f t="shared" si="273"/>
        <v>1.2157419561510605E-3</v>
      </c>
      <c r="JF183" s="28">
        <f t="shared" si="274"/>
        <v>4.0673299987067212E-3</v>
      </c>
      <c r="JG183" s="28">
        <f t="shared" si="275"/>
        <v>3.3455536992270591</v>
      </c>
      <c r="JH183" s="33"/>
      <c r="JL183" s="31"/>
      <c r="JR183" s="99"/>
      <c r="JS183" s="99"/>
      <c r="JT183" s="99"/>
      <c r="JU183" s="99"/>
      <c r="JV183" s="99"/>
      <c r="JW183" s="99"/>
      <c r="JX183" s="99"/>
      <c r="JY183" s="99"/>
      <c r="JZ183" s="99"/>
      <c r="KA183" s="99"/>
      <c r="KB183" s="99"/>
      <c r="KC183" s="99"/>
      <c r="KD183" s="99"/>
      <c r="KE183" s="99"/>
      <c r="KF183" s="99"/>
      <c r="KG183" s="99"/>
      <c r="KH183" s="99"/>
      <c r="KI183" s="99"/>
      <c r="KJ183" s="99"/>
      <c r="KK183" s="99"/>
      <c r="KL183" s="99"/>
      <c r="KM183" s="99"/>
      <c r="KN183" s="99"/>
      <c r="KO183" s="99"/>
      <c r="KP183" s="99"/>
      <c r="KQ183" s="99"/>
      <c r="KR183" s="99"/>
      <c r="KS183" s="99"/>
      <c r="KT183" s="99"/>
      <c r="KU183" s="99"/>
      <c r="KV183" s="99"/>
      <c r="KW183" s="99"/>
      <c r="KX183" s="99"/>
      <c r="KY183" s="99"/>
      <c r="KZ183" s="99"/>
      <c r="LA183" s="99"/>
      <c r="LB183" s="99"/>
      <c r="LC183" s="99"/>
      <c r="LD183" s="99"/>
      <c r="LE183" s="99"/>
      <c r="LF183" s="99"/>
      <c r="LG183" s="99"/>
      <c r="LH183" s="99"/>
      <c r="LI183" s="99"/>
      <c r="LJ183" s="99"/>
      <c r="LK183" s="99"/>
      <c r="LL183" s="99"/>
      <c r="LM183" s="99"/>
      <c r="LN183" s="99"/>
      <c r="LO183" s="99"/>
      <c r="LP183" s="99"/>
      <c r="LQ183" s="99"/>
      <c r="LR183" s="99"/>
      <c r="LS183" s="99"/>
      <c r="LT183" s="99"/>
      <c r="LU183" s="99"/>
      <c r="LV183" s="99"/>
      <c r="LW183" s="99"/>
      <c r="LX183" s="99"/>
      <c r="LY183" s="99"/>
      <c r="LZ183" s="99"/>
      <c r="MA183" s="99"/>
      <c r="MB183" s="99"/>
      <c r="MC183" s="99"/>
      <c r="MD183" s="99"/>
      <c r="ME183" s="99"/>
      <c r="MF183" s="99"/>
    </row>
    <row r="184" spans="1:344" ht="17.25" customHeight="1" x14ac:dyDescent="0.25">
      <c r="A184" s="156"/>
      <c r="B184" s="90" t="s">
        <v>6</v>
      </c>
      <c r="C184" s="91">
        <v>45318</v>
      </c>
      <c r="D184" s="49">
        <v>12</v>
      </c>
      <c r="E184" s="39">
        <v>11</v>
      </c>
      <c r="F184" s="103">
        <v>45</v>
      </c>
      <c r="G184" s="89">
        <f t="shared" si="194"/>
        <v>1.9090909090909092</v>
      </c>
      <c r="H184" s="35">
        <f t="shared" si="195"/>
        <v>85.909090909090907</v>
      </c>
      <c r="I184" s="39">
        <v>11</v>
      </c>
      <c r="J184" s="39">
        <v>11</v>
      </c>
      <c r="K184" s="103">
        <v>120</v>
      </c>
      <c r="L184" s="89">
        <f t="shared" si="196"/>
        <v>7.4090909090909092</v>
      </c>
      <c r="M184" s="35">
        <f t="shared" si="217"/>
        <v>889.09090909090912</v>
      </c>
      <c r="N184" s="35">
        <f t="shared" si="218"/>
        <v>975</v>
      </c>
      <c r="O184" s="97">
        <f>SUM($Z184,$BH184,$AQ184,$BY184,$CP184,$DG184,$DX184,$EO184,$FF184,$FW184,$GN184)/D184</f>
        <v>0</v>
      </c>
      <c r="P184" s="150"/>
      <c r="Q184" s="132">
        <f t="shared" si="355"/>
        <v>0</v>
      </c>
      <c r="R184" s="134">
        <f t="shared" si="356"/>
        <v>0</v>
      </c>
      <c r="S184" s="136">
        <f t="shared" si="357"/>
        <v>0</v>
      </c>
      <c r="T184" s="138">
        <f t="shared" si="358"/>
        <v>0</v>
      </c>
      <c r="U184" s="144">
        <f t="shared" si="359"/>
        <v>0</v>
      </c>
      <c r="W184" s="11">
        <v>0</v>
      </c>
      <c r="X184" s="1">
        <v>0</v>
      </c>
      <c r="Y184" s="35">
        <f t="shared" si="201"/>
        <v>0</v>
      </c>
      <c r="Z184" s="35">
        <f t="shared" si="220"/>
        <v>0</v>
      </c>
      <c r="AA184" s="15">
        <f t="shared" si="233"/>
        <v>6.9988127912339465E-2</v>
      </c>
      <c r="AB184" s="43">
        <f t="shared" si="298"/>
        <v>15.742919610133232</v>
      </c>
      <c r="AC184" s="43">
        <f t="shared" si="299"/>
        <v>224.93700117041749</v>
      </c>
      <c r="AD184" s="33"/>
      <c r="AH184" s="31"/>
      <c r="AN184" s="11">
        <v>2</v>
      </c>
      <c r="AO184" s="1">
        <v>8</v>
      </c>
      <c r="AP184" s="35">
        <f t="shared" si="202"/>
        <v>1050</v>
      </c>
      <c r="AQ184" s="35">
        <f t="shared" si="221"/>
        <v>0</v>
      </c>
      <c r="AR184" s="15">
        <f t="shared" si="234"/>
        <v>1.1443235887857544</v>
      </c>
      <c r="AS184" s="28">
        <f t="shared" si="235"/>
        <v>751.18600082054695</v>
      </c>
      <c r="AT184" s="28">
        <f t="shared" si="236"/>
        <v>656.44543919402463</v>
      </c>
      <c r="AU184" s="33"/>
      <c r="AY184" s="31"/>
      <c r="BE184" s="11">
        <v>2</v>
      </c>
      <c r="BF184" s="1">
        <v>3.5</v>
      </c>
      <c r="BG184" s="35">
        <f t="shared" si="203"/>
        <v>510</v>
      </c>
      <c r="BH184" s="35">
        <f t="shared" si="222"/>
        <v>0</v>
      </c>
      <c r="BI184" s="15">
        <f t="shared" si="237"/>
        <v>1.1836910728792953</v>
      </c>
      <c r="BJ184" s="28">
        <f t="shared" si="238"/>
        <v>589.39427306909852</v>
      </c>
      <c r="BK184" s="28">
        <f t="shared" si="239"/>
        <v>497.92913588121729</v>
      </c>
      <c r="BL184" s="33"/>
      <c r="BP184" s="31"/>
      <c r="BV184" s="11">
        <v>2</v>
      </c>
      <c r="BW184" s="1">
        <v>9</v>
      </c>
      <c r="BX184" s="35">
        <f t="shared" si="204"/>
        <v>1170</v>
      </c>
      <c r="BY184" s="35">
        <f t="shared" si="223"/>
        <v>0</v>
      </c>
      <c r="BZ184" s="15">
        <f t="shared" si="240"/>
        <v>1.2155970057062997</v>
      </c>
      <c r="CA184" s="28">
        <f t="shared" si="241"/>
        <v>718.50232997209935</v>
      </c>
      <c r="CB184" s="28">
        <f t="shared" si="242"/>
        <v>591.06951283960029</v>
      </c>
      <c r="CC184" s="33"/>
      <c r="CG184" s="31"/>
      <c r="CM184" s="11">
        <v>2</v>
      </c>
      <c r="CN184" s="1">
        <v>8.5</v>
      </c>
      <c r="CO184" s="35">
        <f t="shared" si="205"/>
        <v>1110</v>
      </c>
      <c r="CP184" s="35">
        <f t="shared" si="224"/>
        <v>0</v>
      </c>
      <c r="CQ184" s="15">
        <f t="shared" si="243"/>
        <v>1.1921413138053707</v>
      </c>
      <c r="CR184" s="28">
        <f t="shared" si="244"/>
        <v>765.67951599917205</v>
      </c>
      <c r="CS184" s="28">
        <f t="shared" si="245"/>
        <v>642.27244466101706</v>
      </c>
      <c r="CT184" s="33"/>
      <c r="CX184" s="31"/>
      <c r="DD184" s="11">
        <v>1</v>
      </c>
      <c r="DE184" s="1">
        <v>9.5</v>
      </c>
      <c r="DF184" s="35">
        <f t="shared" si="206"/>
        <v>1185</v>
      </c>
      <c r="DG184" s="35">
        <f t="shared" si="225"/>
        <v>0</v>
      </c>
      <c r="DH184" s="15">
        <f t="shared" si="246"/>
        <v>1.2247401145624044</v>
      </c>
      <c r="DI184" s="28">
        <f t="shared" si="247"/>
        <v>571.20625265075159</v>
      </c>
      <c r="DJ184" s="28">
        <f t="shared" si="248"/>
        <v>466.38976372129503</v>
      </c>
      <c r="DK184" s="33"/>
      <c r="DO184" s="31"/>
      <c r="DU184" s="11">
        <v>1</v>
      </c>
      <c r="DV184" s="1">
        <v>6</v>
      </c>
      <c r="DW184" s="35">
        <f t="shared" si="207"/>
        <v>765</v>
      </c>
      <c r="DX184" s="35">
        <f t="shared" si="226"/>
        <v>0</v>
      </c>
      <c r="DY184" s="15">
        <f t="shared" si="249"/>
        <v>1.0547759105874477</v>
      </c>
      <c r="DZ184" s="28">
        <f t="shared" si="250"/>
        <v>448.20724207073596</v>
      </c>
      <c r="EA184" s="28">
        <f t="shared" si="251"/>
        <v>424.93124612706703</v>
      </c>
      <c r="EB184" s="33"/>
      <c r="EF184" s="31"/>
      <c r="EL184" s="11">
        <v>2</v>
      </c>
      <c r="EM184" s="1">
        <v>10</v>
      </c>
      <c r="EN184" s="35">
        <f t="shared" si="208"/>
        <v>1290</v>
      </c>
      <c r="EO184" s="35">
        <f t="shared" si="227"/>
        <v>0</v>
      </c>
      <c r="EP184" s="15">
        <f t="shared" si="252"/>
        <v>1.2470750042851715</v>
      </c>
      <c r="EQ184" s="28">
        <f t="shared" si="253"/>
        <v>827.22575234325586</v>
      </c>
      <c r="ER184" s="28">
        <f t="shared" si="254"/>
        <v>663.33279834874497</v>
      </c>
      <c r="ES184" s="33"/>
      <c r="EW184" s="31"/>
      <c r="FC184" s="11">
        <v>5</v>
      </c>
      <c r="FD184" s="1">
        <v>10</v>
      </c>
      <c r="FE184" s="35">
        <f t="shared" si="209"/>
        <v>1425</v>
      </c>
      <c r="FF184" s="35">
        <f t="shared" si="228"/>
        <v>0</v>
      </c>
      <c r="FG184" s="15">
        <f t="shared" si="255"/>
        <v>0.98559060257343745</v>
      </c>
      <c r="FH184" s="28">
        <f t="shared" si="256"/>
        <v>567.4281886044829</v>
      </c>
      <c r="FI184" s="28">
        <f t="shared" si="257"/>
        <v>575.72402488710134</v>
      </c>
      <c r="FJ184" s="33"/>
      <c r="FN184" s="31"/>
      <c r="FT184" s="11">
        <v>2</v>
      </c>
      <c r="FU184" s="1">
        <v>9</v>
      </c>
      <c r="FV184" s="35">
        <f t="shared" si="210"/>
        <v>1170</v>
      </c>
      <c r="FW184" s="35">
        <f t="shared" si="229"/>
        <v>0</v>
      </c>
      <c r="FX184" s="15">
        <f t="shared" si="258"/>
        <v>1.1779121081889634</v>
      </c>
      <c r="FY184" s="28">
        <f t="shared" si="259"/>
        <v>768.03655581223882</v>
      </c>
      <c r="FZ184" s="28">
        <f t="shared" si="260"/>
        <v>652.03214269789009</v>
      </c>
      <c r="GA184" s="33"/>
      <c r="GE184" s="31"/>
      <c r="GK184" s="11">
        <v>2</v>
      </c>
      <c r="GL184" s="1">
        <v>8</v>
      </c>
      <c r="GM184" s="35">
        <f t="shared" si="211"/>
        <v>1050</v>
      </c>
      <c r="GN184" s="35">
        <f t="shared" si="230"/>
        <v>0</v>
      </c>
      <c r="GO184" s="15">
        <f t="shared" si="261"/>
        <v>1.1448741342112627</v>
      </c>
      <c r="GP184" s="28">
        <f t="shared" si="262"/>
        <v>774.76183526444629</v>
      </c>
      <c r="GQ184" s="28">
        <f t="shared" si="263"/>
        <v>676.72228074067061</v>
      </c>
      <c r="GR184" s="33"/>
      <c r="GV184" s="31"/>
      <c r="HB184" s="11">
        <v>2.5</v>
      </c>
      <c r="HD184" s="35">
        <f t="shared" si="212"/>
        <v>112.5</v>
      </c>
      <c r="HE184" s="35">
        <f t="shared" si="231"/>
        <v>0</v>
      </c>
      <c r="HF184" s="15">
        <f t="shared" si="264"/>
        <v>0.34264361603420362</v>
      </c>
      <c r="HG184" s="28">
        <f t="shared" si="265"/>
        <v>75.073734342521817</v>
      </c>
      <c r="HH184" s="28">
        <f t="shared" si="266"/>
        <v>219.10151197747035</v>
      </c>
      <c r="HI184" s="33"/>
      <c r="HM184" s="31"/>
      <c r="HU184" s="35">
        <f t="shared" si="213"/>
        <v>0</v>
      </c>
      <c r="HV184" s="35">
        <f t="shared" si="232"/>
        <v>0</v>
      </c>
      <c r="HW184" s="15">
        <f t="shared" si="267"/>
        <v>7.9692670357776796E-8</v>
      </c>
      <c r="HX184" s="28">
        <f t="shared" si="268"/>
        <v>1.1382567773073726E-8</v>
      </c>
      <c r="HY184" s="28">
        <f t="shared" si="269"/>
        <v>0.14283079889244746</v>
      </c>
      <c r="HZ184" s="33"/>
      <c r="ID184" s="31"/>
      <c r="II184" s="12"/>
      <c r="IL184" s="35">
        <f t="shared" si="214"/>
        <v>0</v>
      </c>
      <c r="IM184" s="35">
        <f t="shared" si="215"/>
        <v>7003.0036751035177</v>
      </c>
      <c r="IN184" s="15">
        <f t="shared" si="270"/>
        <v>2.5221337989438639E-3</v>
      </c>
      <c r="IO184" s="28">
        <f t="shared" si="271"/>
        <v>3.0368469961411387E-2</v>
      </c>
      <c r="IP184" s="28">
        <f t="shared" si="272"/>
        <v>12.040784661832015</v>
      </c>
      <c r="IQ184" s="33"/>
      <c r="IU184" s="31"/>
      <c r="JC184" s="35">
        <f t="shared" si="180"/>
        <v>0</v>
      </c>
      <c r="JD184" s="35">
        <f t="shared" si="216"/>
        <v>7387.6567112431903</v>
      </c>
      <c r="JE184" s="15">
        <f t="shared" si="273"/>
        <v>9.7934768689946546E-4</v>
      </c>
      <c r="JF184" s="28">
        <f t="shared" si="274"/>
        <v>3.0504974990300409E-3</v>
      </c>
      <c r="JG184" s="28">
        <f t="shared" si="275"/>
        <v>3.1148258579010548</v>
      </c>
      <c r="JH184" s="33"/>
      <c r="JL184" s="31"/>
      <c r="JR184" s="99"/>
      <c r="JS184" s="99"/>
      <c r="JT184" s="99"/>
      <c r="JU184" s="99"/>
      <c r="JV184" s="99"/>
      <c r="JW184" s="99"/>
      <c r="JX184" s="99"/>
      <c r="JY184" s="99"/>
      <c r="JZ184" s="99"/>
      <c r="KA184" s="99"/>
      <c r="KB184" s="99"/>
      <c r="KC184" s="99"/>
      <c r="KD184" s="99"/>
      <c r="KE184" s="99"/>
      <c r="KF184" s="99"/>
      <c r="KG184" s="99"/>
      <c r="KH184" s="99"/>
      <c r="KI184" s="99"/>
      <c r="KJ184" s="99"/>
      <c r="KK184" s="99"/>
      <c r="KL184" s="99"/>
      <c r="KM184" s="99"/>
      <c r="KN184" s="99"/>
      <c r="KO184" s="99"/>
      <c r="KP184" s="99"/>
      <c r="KQ184" s="99"/>
      <c r="KR184" s="99"/>
      <c r="KS184" s="99"/>
      <c r="KT184" s="99"/>
      <c r="KU184" s="99"/>
      <c r="KV184" s="99"/>
      <c r="KW184" s="99"/>
      <c r="KX184" s="99"/>
      <c r="KY184" s="99"/>
      <c r="KZ184" s="99"/>
      <c r="LA184" s="99"/>
      <c r="LB184" s="99"/>
      <c r="LC184" s="99"/>
      <c r="LD184" s="99"/>
      <c r="LE184" s="99"/>
      <c r="LF184" s="99"/>
      <c r="LG184" s="99"/>
      <c r="LH184" s="99"/>
      <c r="LI184" s="99"/>
      <c r="LJ184" s="99"/>
      <c r="LK184" s="99"/>
      <c r="LL184" s="99"/>
      <c r="LM184" s="99"/>
      <c r="LN184" s="99"/>
      <c r="LO184" s="99"/>
      <c r="LP184" s="99"/>
      <c r="LQ184" s="99"/>
      <c r="LR184" s="99"/>
      <c r="LS184" s="99"/>
      <c r="LT184" s="99"/>
      <c r="LU184" s="99"/>
      <c r="LV184" s="99"/>
      <c r="LW184" s="99"/>
      <c r="LX184" s="99"/>
      <c r="LY184" s="99"/>
      <c r="LZ184" s="99"/>
      <c r="MA184" s="99"/>
      <c r="MB184" s="99"/>
      <c r="MC184" s="99"/>
      <c r="MD184" s="99"/>
      <c r="ME184" s="99"/>
      <c r="MF184" s="99"/>
    </row>
    <row r="185" spans="1:344" ht="17.25" customHeight="1" x14ac:dyDescent="0.25">
      <c r="A185" s="157"/>
      <c r="B185" s="83" t="s">
        <v>7</v>
      </c>
      <c r="C185" s="84">
        <v>45319</v>
      </c>
      <c r="D185" s="51"/>
      <c r="E185" s="48"/>
      <c r="F185" s="104"/>
      <c r="G185" s="37">
        <f t="shared" si="194"/>
        <v>0</v>
      </c>
      <c r="H185" s="26">
        <f t="shared" si="195"/>
        <v>0</v>
      </c>
      <c r="I185" s="48"/>
      <c r="J185" s="48"/>
      <c r="K185" s="104"/>
      <c r="L185" s="37">
        <f t="shared" si="196"/>
        <v>0</v>
      </c>
      <c r="M185" s="26">
        <f t="shared" si="217"/>
        <v>0</v>
      </c>
      <c r="N185" s="26">
        <f t="shared" si="218"/>
        <v>0</v>
      </c>
      <c r="O185" s="98" t="e">
        <f>SUM($Z185,$BH185,$AQ185,$BY185,$CP185,$DG185,$DX185,$EO185,$FF185,$FW185,$GN185)/D185</f>
        <v>#DIV/0!</v>
      </c>
      <c r="P185" s="151"/>
      <c r="Q185" s="139">
        <f t="shared" si="355"/>
        <v>0</v>
      </c>
      <c r="R185" s="140">
        <f t="shared" si="356"/>
        <v>0</v>
      </c>
      <c r="S185" s="141">
        <f t="shared" si="357"/>
        <v>0</v>
      </c>
      <c r="T185" s="142">
        <f t="shared" si="358"/>
        <v>0</v>
      </c>
      <c r="U185" s="145">
        <f t="shared" si="359"/>
        <v>0</v>
      </c>
      <c r="V185" s="23"/>
      <c r="W185" s="13">
        <v>0</v>
      </c>
      <c r="X185" s="2">
        <v>0</v>
      </c>
      <c r="Y185" s="26">
        <f t="shared" si="201"/>
        <v>0</v>
      </c>
      <c r="Z185" s="26">
        <f t="shared" si="220"/>
        <v>0</v>
      </c>
      <c r="AA185" s="16">
        <f t="shared" si="233"/>
        <v>5.6379325262717911E-2</v>
      </c>
      <c r="AB185" s="44">
        <f t="shared" si="298"/>
        <v>11.807189707599925</v>
      </c>
      <c r="AC185" s="44">
        <f t="shared" si="299"/>
        <v>209.4241045379749</v>
      </c>
      <c r="AD185" s="34"/>
      <c r="AE185" s="4"/>
      <c r="AF185" s="5"/>
      <c r="AG185" s="6"/>
      <c r="AH185" s="32"/>
      <c r="AI185" s="3"/>
      <c r="AJ185" s="4"/>
      <c r="AK185" s="5"/>
      <c r="AL185" s="6"/>
      <c r="AM185" s="14"/>
      <c r="AN185" s="13"/>
      <c r="AO185" s="2"/>
      <c r="AP185" s="26">
        <f t="shared" si="202"/>
        <v>0</v>
      </c>
      <c r="AQ185" s="26">
        <f t="shared" si="221"/>
        <v>0</v>
      </c>
      <c r="AR185" s="16">
        <f t="shared" si="234"/>
        <v>0.9218162242996355</v>
      </c>
      <c r="AS185" s="29">
        <f t="shared" si="235"/>
        <v>563.38950061541027</v>
      </c>
      <c r="AT185" s="29">
        <f t="shared" si="236"/>
        <v>611.17333993926434</v>
      </c>
      <c r="AU185" s="34"/>
      <c r="AV185" s="4"/>
      <c r="AW185" s="5"/>
      <c r="AX185" s="6"/>
      <c r="AY185" s="32"/>
      <c r="AZ185" s="3"/>
      <c r="BA185" s="4"/>
      <c r="BB185" s="5"/>
      <c r="BC185" s="6"/>
      <c r="BD185" s="14"/>
      <c r="BE185" s="13"/>
      <c r="BF185" s="2"/>
      <c r="BG185" s="26">
        <f t="shared" si="203"/>
        <v>0</v>
      </c>
      <c r="BH185" s="26">
        <f t="shared" si="222"/>
        <v>0</v>
      </c>
      <c r="BI185" s="16">
        <f t="shared" si="237"/>
        <v>0.95352891981943244</v>
      </c>
      <c r="BJ185" s="29">
        <f t="shared" si="238"/>
        <v>442.04570480182389</v>
      </c>
      <c r="BK185" s="29">
        <f t="shared" si="239"/>
        <v>463.58919547561607</v>
      </c>
      <c r="BL185" s="34"/>
      <c r="BM185" s="4"/>
      <c r="BN185" s="5"/>
      <c r="BO185" s="6"/>
      <c r="BP185" s="32"/>
      <c r="BQ185" s="3"/>
      <c r="BR185" s="4"/>
      <c r="BS185" s="5"/>
      <c r="BT185" s="6"/>
      <c r="BU185" s="14"/>
      <c r="BV185" s="13"/>
      <c r="BW185" s="2"/>
      <c r="BX185" s="26">
        <f t="shared" si="204"/>
        <v>0</v>
      </c>
      <c r="BY185" s="26">
        <f t="shared" si="223"/>
        <v>0</v>
      </c>
      <c r="BZ185" s="16">
        <f t="shared" si="240"/>
        <v>0.97923092126340805</v>
      </c>
      <c r="CA185" s="29">
        <f t="shared" si="241"/>
        <v>538.87674747907454</v>
      </c>
      <c r="CB185" s="29">
        <f t="shared" si="242"/>
        <v>550.30609816100718</v>
      </c>
      <c r="CC185" s="34"/>
      <c r="CD185" s="4"/>
      <c r="CE185" s="5"/>
      <c r="CF185" s="6"/>
      <c r="CG185" s="32"/>
      <c r="CH185" s="3"/>
      <c r="CI185" s="4"/>
      <c r="CJ185" s="5"/>
      <c r="CK185" s="6"/>
      <c r="CL185" s="14"/>
      <c r="CM185" s="13"/>
      <c r="CN185" s="2"/>
      <c r="CO185" s="26">
        <f t="shared" si="205"/>
        <v>0</v>
      </c>
      <c r="CP185" s="26">
        <f t="shared" si="224"/>
        <v>0</v>
      </c>
      <c r="CQ185" s="16">
        <f t="shared" si="243"/>
        <v>0.96033605834321534</v>
      </c>
      <c r="CR185" s="29">
        <f t="shared" si="244"/>
        <v>574.25963699937904</v>
      </c>
      <c r="CS185" s="29">
        <f t="shared" si="245"/>
        <v>597.97779330508479</v>
      </c>
      <c r="CT185" s="34"/>
      <c r="CU185" s="4"/>
      <c r="CV185" s="5"/>
      <c r="CW185" s="6"/>
      <c r="CX185" s="32"/>
      <c r="CY185" s="3"/>
      <c r="CZ185" s="4"/>
      <c r="DA185" s="5"/>
      <c r="DB185" s="6"/>
      <c r="DC185" s="14"/>
      <c r="DD185" s="13"/>
      <c r="DE185" s="2"/>
      <c r="DF185" s="26">
        <f t="shared" si="206"/>
        <v>0</v>
      </c>
      <c r="DG185" s="26">
        <f t="shared" si="225"/>
        <v>0</v>
      </c>
      <c r="DH185" s="16">
        <f t="shared" si="246"/>
        <v>0.98659620339749243</v>
      </c>
      <c r="DI185" s="29">
        <f t="shared" si="247"/>
        <v>428.4046894880637</v>
      </c>
      <c r="DJ185" s="29">
        <f t="shared" si="248"/>
        <v>434.22495243017124</v>
      </c>
      <c r="DK185" s="34"/>
      <c r="DL185" s="4"/>
      <c r="DM185" s="5"/>
      <c r="DN185" s="6"/>
      <c r="DO185" s="32"/>
      <c r="DP185" s="3"/>
      <c r="DQ185" s="4"/>
      <c r="DR185" s="5"/>
      <c r="DS185" s="6"/>
      <c r="DT185" s="14"/>
      <c r="DU185" s="13"/>
      <c r="DV185" s="2"/>
      <c r="DW185" s="26">
        <f t="shared" si="207"/>
        <v>0</v>
      </c>
      <c r="DX185" s="26">
        <f t="shared" si="226"/>
        <v>0</v>
      </c>
      <c r="DY185" s="16">
        <f t="shared" si="249"/>
        <v>0.84968059463988843</v>
      </c>
      <c r="DZ185" s="29">
        <f t="shared" si="250"/>
        <v>336.15543155305198</v>
      </c>
      <c r="EA185" s="29">
        <f t="shared" si="251"/>
        <v>395.62564294588998</v>
      </c>
      <c r="EB185" s="34"/>
      <c r="EC185" s="4"/>
      <c r="ED185" s="5"/>
      <c r="EE185" s="6"/>
      <c r="EF185" s="32"/>
      <c r="EG185" s="3"/>
      <c r="EH185" s="4"/>
      <c r="EI185" s="5"/>
      <c r="EJ185" s="6"/>
      <c r="EK185" s="14"/>
      <c r="EL185" s="13"/>
      <c r="EM185" s="2"/>
      <c r="EN185" s="26">
        <f t="shared" si="208"/>
        <v>0</v>
      </c>
      <c r="EO185" s="26">
        <f t="shared" si="227"/>
        <v>0</v>
      </c>
      <c r="EP185" s="16">
        <f t="shared" si="252"/>
        <v>1.0045881978963882</v>
      </c>
      <c r="EQ185" s="29">
        <f t="shared" si="253"/>
        <v>620.4193142574419</v>
      </c>
      <c r="ER185" s="29">
        <f t="shared" si="254"/>
        <v>617.58570880745219</v>
      </c>
      <c r="ES185" s="34"/>
      <c r="ET185" s="4"/>
      <c r="EU185" s="5"/>
      <c r="EV185" s="6"/>
      <c r="EW185" s="32"/>
      <c r="EX185" s="3"/>
      <c r="EY185" s="4"/>
      <c r="EZ185" s="5"/>
      <c r="FA185" s="6"/>
      <c r="FB185" s="14"/>
      <c r="FC185" s="13"/>
      <c r="FD185" s="2"/>
      <c r="FE185" s="26">
        <f t="shared" si="209"/>
        <v>0</v>
      </c>
      <c r="FF185" s="26">
        <f t="shared" si="228"/>
        <v>0</v>
      </c>
      <c r="FG185" s="16">
        <f t="shared" si="255"/>
        <v>0.79394798540638012</v>
      </c>
      <c r="FH185" s="29">
        <f t="shared" si="256"/>
        <v>425.5711414533622</v>
      </c>
      <c r="FI185" s="29">
        <f t="shared" si="257"/>
        <v>536.0189197224737</v>
      </c>
      <c r="FJ185" s="34"/>
      <c r="FK185" s="4"/>
      <c r="FL185" s="5"/>
      <c r="FM185" s="6"/>
      <c r="FN185" s="32"/>
      <c r="FO185" s="3"/>
      <c r="FP185" s="4"/>
      <c r="FQ185" s="5"/>
      <c r="FR185" s="6"/>
      <c r="FS185" s="14"/>
      <c r="FT185" s="13"/>
      <c r="FU185" s="2"/>
      <c r="FV185" s="26">
        <f t="shared" si="210"/>
        <v>0</v>
      </c>
      <c r="FW185" s="26">
        <f t="shared" si="229"/>
        <v>0</v>
      </c>
      <c r="FX185" s="16">
        <f t="shared" si="258"/>
        <v>0.94887364270777619</v>
      </c>
      <c r="FY185" s="29">
        <f t="shared" si="259"/>
        <v>576.02741685917908</v>
      </c>
      <c r="FZ185" s="29">
        <f t="shared" si="260"/>
        <v>607.06440871872519</v>
      </c>
      <c r="GA185" s="34"/>
      <c r="GB185" s="4"/>
      <c r="GC185" s="5"/>
      <c r="GD185" s="6"/>
      <c r="GE185" s="32"/>
      <c r="GF185" s="3"/>
      <c r="GG185" s="4"/>
      <c r="GH185" s="5"/>
      <c r="GI185" s="6"/>
      <c r="GJ185" s="14"/>
      <c r="GK185" s="13"/>
      <c r="GL185" s="2"/>
      <c r="GM185" s="26">
        <f t="shared" si="211"/>
        <v>0</v>
      </c>
      <c r="GN185" s="26">
        <f t="shared" si="230"/>
        <v>0</v>
      </c>
      <c r="GO185" s="16">
        <f t="shared" si="261"/>
        <v>0.92225971922573946</v>
      </c>
      <c r="GP185" s="29">
        <f t="shared" si="262"/>
        <v>581.07137644833472</v>
      </c>
      <c r="GQ185" s="29">
        <f t="shared" si="263"/>
        <v>630.0517786206243</v>
      </c>
      <c r="GR185" s="34"/>
      <c r="GS185" s="4"/>
      <c r="GT185" s="5"/>
      <c r="GU185" s="6"/>
      <c r="GV185" s="32"/>
      <c r="GW185" s="3"/>
      <c r="GX185" s="4"/>
      <c r="GY185" s="5"/>
      <c r="GZ185" s="6"/>
      <c r="HA185" s="14"/>
      <c r="HB185" s="13"/>
      <c r="HC185" s="2"/>
      <c r="HD185" s="26">
        <f t="shared" si="212"/>
        <v>0</v>
      </c>
      <c r="HE185" s="26">
        <f t="shared" si="231"/>
        <v>0</v>
      </c>
      <c r="HF185" s="16">
        <f t="shared" si="264"/>
        <v>0.2760184684719974</v>
      </c>
      <c r="HG185" s="29">
        <f t="shared" si="265"/>
        <v>56.305300756891363</v>
      </c>
      <c r="HH185" s="29">
        <f t="shared" si="266"/>
        <v>203.99106287557584</v>
      </c>
      <c r="HI185" s="34"/>
      <c r="HJ185" s="4"/>
      <c r="HK185" s="5"/>
      <c r="HL185" s="6"/>
      <c r="HM185" s="32"/>
      <c r="HN185" s="3"/>
      <c r="HO185" s="4"/>
      <c r="HP185" s="5"/>
      <c r="HQ185" s="6"/>
      <c r="HR185" s="14"/>
      <c r="HS185" s="13"/>
      <c r="HT185" s="2"/>
      <c r="HU185" s="26">
        <f t="shared" si="213"/>
        <v>0</v>
      </c>
      <c r="HV185" s="26">
        <f t="shared" si="232"/>
        <v>0</v>
      </c>
      <c r="HW185" s="16">
        <f t="shared" si="267"/>
        <v>6.4196873343764647E-8</v>
      </c>
      <c r="HX185" s="29">
        <f t="shared" si="268"/>
        <v>8.5369258298052945E-9</v>
      </c>
      <c r="HY185" s="29">
        <f t="shared" si="269"/>
        <v>0.13298039896883038</v>
      </c>
      <c r="HZ185" s="34"/>
      <c r="IA185" s="4"/>
      <c r="IB185" s="5"/>
      <c r="IC185" s="6"/>
      <c r="ID185" s="32"/>
      <c r="IE185" s="3"/>
      <c r="IF185" s="4"/>
      <c r="IG185" s="5"/>
      <c r="IH185" s="6"/>
      <c r="II185" s="14"/>
      <c r="IJ185" s="13"/>
      <c r="IK185" s="2"/>
      <c r="IL185" s="26">
        <f t="shared" si="214"/>
        <v>0</v>
      </c>
      <c r="IM185" s="26">
        <f t="shared" si="215"/>
        <v>4909.9751734851243</v>
      </c>
      <c r="IN185" s="16">
        <f t="shared" si="270"/>
        <v>2.0317188935936679E-3</v>
      </c>
      <c r="IO185" s="29">
        <f t="shared" si="271"/>
        <v>2.2776352471058539E-2</v>
      </c>
      <c r="IP185" s="29">
        <f t="shared" si="272"/>
        <v>11.210385719636704</v>
      </c>
      <c r="IQ185" s="34"/>
      <c r="IR185" s="4"/>
      <c r="IS185" s="5"/>
      <c r="IT185" s="6"/>
      <c r="IU185" s="32"/>
      <c r="IV185" s="3"/>
      <c r="IW185" s="4"/>
      <c r="IX185" s="5"/>
      <c r="IY185" s="6"/>
      <c r="IZ185" s="14"/>
      <c r="JA185" s="13"/>
      <c r="JB185" s="2"/>
      <c r="JC185" s="26">
        <f t="shared" si="180"/>
        <v>0</v>
      </c>
      <c r="JD185" s="26">
        <f t="shared" si="216"/>
        <v>5289.8085226979692</v>
      </c>
      <c r="JE185" s="16">
        <f t="shared" si="273"/>
        <v>7.8891897000234721E-4</v>
      </c>
      <c r="JF185" s="29">
        <f t="shared" si="274"/>
        <v>2.2878731242725308E-3</v>
      </c>
      <c r="JG185" s="29">
        <f t="shared" si="275"/>
        <v>2.9000102814940854</v>
      </c>
      <c r="JH185" s="34"/>
      <c r="JI185" s="4"/>
      <c r="JJ185" s="5"/>
      <c r="JK185" s="6"/>
      <c r="JL185" s="32"/>
      <c r="JM185" s="3"/>
      <c r="JN185" s="4"/>
      <c r="JO185" s="5"/>
      <c r="JP185" s="6"/>
      <c r="JQ185" s="14"/>
      <c r="JR185" s="99"/>
      <c r="JS185" s="99"/>
      <c r="JT185" s="99"/>
      <c r="JU185" s="99"/>
      <c r="JV185" s="99"/>
      <c r="JW185" s="99"/>
      <c r="JX185" s="99"/>
      <c r="JY185" s="99"/>
      <c r="JZ185" s="99"/>
      <c r="KA185" s="99"/>
      <c r="KB185" s="99"/>
      <c r="KC185" s="99"/>
      <c r="KD185" s="99"/>
      <c r="KE185" s="99"/>
      <c r="KF185" s="99"/>
      <c r="KG185" s="99"/>
      <c r="KH185" s="99"/>
      <c r="KI185" s="99"/>
      <c r="KJ185" s="99"/>
      <c r="KK185" s="99"/>
      <c r="KL185" s="99"/>
      <c r="KM185" s="99"/>
      <c r="KN185" s="99"/>
      <c r="KO185" s="99"/>
      <c r="KP185" s="99"/>
      <c r="KQ185" s="99"/>
      <c r="KR185" s="99"/>
      <c r="KS185" s="99"/>
      <c r="KT185" s="99"/>
      <c r="KU185" s="99"/>
      <c r="KV185" s="99"/>
      <c r="KW185" s="99"/>
      <c r="KX185" s="99"/>
      <c r="KY185" s="99"/>
      <c r="KZ185" s="99"/>
      <c r="LA185" s="99"/>
      <c r="LB185" s="99"/>
      <c r="LC185" s="99"/>
      <c r="LD185" s="99"/>
      <c r="LE185" s="99"/>
      <c r="LF185" s="99"/>
      <c r="LG185" s="99"/>
      <c r="LH185" s="99"/>
      <c r="LI185" s="99"/>
      <c r="LJ185" s="99"/>
      <c r="LK185" s="99"/>
      <c r="LL185" s="99"/>
      <c r="LM185" s="99"/>
      <c r="LN185" s="99"/>
      <c r="LO185" s="99"/>
      <c r="LP185" s="99"/>
      <c r="LQ185" s="99"/>
      <c r="LR185" s="99"/>
      <c r="LS185" s="99"/>
      <c r="LT185" s="99"/>
      <c r="LU185" s="99"/>
      <c r="LV185" s="99"/>
      <c r="LW185" s="99"/>
      <c r="LX185" s="99"/>
      <c r="LY185" s="99"/>
      <c r="LZ185" s="99"/>
      <c r="MA185" s="99"/>
      <c r="MB185" s="99"/>
      <c r="MC185" s="99"/>
      <c r="MD185" s="99"/>
      <c r="ME185" s="99"/>
      <c r="MF185" s="99"/>
    </row>
    <row r="186" spans="1:344" ht="17.25" customHeight="1" x14ac:dyDescent="0.25">
      <c r="A186" s="155" t="s">
        <v>32</v>
      </c>
      <c r="B186" s="79" t="s">
        <v>1</v>
      </c>
      <c r="C186" s="80">
        <v>45320</v>
      </c>
      <c r="D186" s="50">
        <v>12</v>
      </c>
      <c r="E186" s="39">
        <v>11</v>
      </c>
      <c r="F186" s="103">
        <v>50</v>
      </c>
      <c r="G186" s="36">
        <f t="shared" si="194"/>
        <v>3.4090909090909092</v>
      </c>
      <c r="H186" s="27">
        <f t="shared" si="195"/>
        <v>170.45454545454547</v>
      </c>
      <c r="I186" s="47">
        <v>13</v>
      </c>
      <c r="J186" s="39">
        <v>11</v>
      </c>
      <c r="K186" s="105">
        <v>65</v>
      </c>
      <c r="L186" s="89">
        <f t="shared" si="196"/>
        <v>6.3090909090909095</v>
      </c>
      <c r="M186" s="27">
        <f t="shared" si="217"/>
        <v>410.09090909090912</v>
      </c>
      <c r="N186" s="35">
        <f t="shared" si="218"/>
        <v>580.54545454545462</v>
      </c>
      <c r="O186" s="97">
        <f>SUM($Z186,$BH186,$AQ186,$BY186,$CP186,$DG186,$DX186,$EO186,$FF186,$FW186,$GN186)/J186</f>
        <v>183.97727272727272</v>
      </c>
      <c r="P186" s="149">
        <f t="shared" ref="P186" si="367">SUM(N186:N192)</f>
        <v>3947.6402597402603</v>
      </c>
      <c r="Q186" s="131">
        <f t="shared" si="355"/>
        <v>22</v>
      </c>
      <c r="R186" s="133">
        <f t="shared" si="356"/>
        <v>22.3</v>
      </c>
      <c r="S186" s="135">
        <f t="shared" si="357"/>
        <v>21.1</v>
      </c>
      <c r="T186" s="137">
        <f t="shared" si="358"/>
        <v>16.7</v>
      </c>
      <c r="U186" s="143">
        <f t="shared" si="359"/>
        <v>1.1350000000000002</v>
      </c>
      <c r="W186" s="11">
        <v>0</v>
      </c>
      <c r="X186" s="1">
        <v>0</v>
      </c>
      <c r="Y186" s="27">
        <f t="shared" si="201"/>
        <v>0</v>
      </c>
      <c r="Z186" s="27">
        <f t="shared" si="220"/>
        <v>201</v>
      </c>
      <c r="AA186" s="15">
        <f t="shared" si="233"/>
        <v>4.5416678683856092E-2</v>
      </c>
      <c r="AB186" s="43">
        <f t="shared" si="298"/>
        <v>8.8553922806999434</v>
      </c>
      <c r="AC186" s="43">
        <f t="shared" si="299"/>
        <v>194.98106284570076</v>
      </c>
      <c r="AD186" s="33"/>
      <c r="AH186" s="31"/>
      <c r="AI186" s="7">
        <v>15</v>
      </c>
      <c r="AJ186" s="8">
        <v>19</v>
      </c>
      <c r="AK186" s="9">
        <v>24</v>
      </c>
      <c r="AL186" s="10">
        <v>14</v>
      </c>
      <c r="AM186" s="12">
        <v>4</v>
      </c>
      <c r="AN186" s="11">
        <v>4</v>
      </c>
      <c r="AO186" s="1">
        <v>6</v>
      </c>
      <c r="AP186" s="27">
        <f t="shared" si="202"/>
        <v>590</v>
      </c>
      <c r="AQ186" s="27">
        <f t="shared" si="221"/>
        <v>135</v>
      </c>
      <c r="AR186" s="15">
        <f t="shared" si="234"/>
        <v>0.9349349989158291</v>
      </c>
      <c r="AS186" s="28">
        <f t="shared" si="235"/>
        <v>570.0421254615577</v>
      </c>
      <c r="AT186" s="28">
        <f t="shared" si="236"/>
        <v>609.71310959862546</v>
      </c>
      <c r="AU186" s="33"/>
      <c r="AY186" s="31"/>
      <c r="AZ186" s="7">
        <v>38</v>
      </c>
      <c r="BA186" s="8">
        <v>19</v>
      </c>
      <c r="BB186" s="9">
        <v>13</v>
      </c>
      <c r="BC186" s="10">
        <v>5</v>
      </c>
      <c r="BD186" s="12">
        <v>0</v>
      </c>
      <c r="BE186" s="11">
        <v>4</v>
      </c>
      <c r="BF186" s="1">
        <v>8</v>
      </c>
      <c r="BG186" s="27">
        <f t="shared" si="203"/>
        <v>720</v>
      </c>
      <c r="BH186" s="27">
        <f t="shared" si="222"/>
        <v>219</v>
      </c>
      <c r="BI186" s="15">
        <f t="shared" si="237"/>
        <v>1.0628782380830943</v>
      </c>
      <c r="BJ186" s="28">
        <f t="shared" si="238"/>
        <v>511.53427860136793</v>
      </c>
      <c r="BK186" s="28">
        <f t="shared" si="239"/>
        <v>481.27269923591837</v>
      </c>
      <c r="BL186" s="33"/>
      <c r="BP186" s="31"/>
      <c r="BQ186" s="7">
        <v>6</v>
      </c>
      <c r="BR186" s="8">
        <v>23</v>
      </c>
      <c r="BS186" s="9">
        <v>23</v>
      </c>
      <c r="BT186" s="10">
        <v>24</v>
      </c>
      <c r="BU186" s="12">
        <v>0.4</v>
      </c>
      <c r="BV186" s="11">
        <v>4</v>
      </c>
      <c r="BW186" s="1">
        <v>8</v>
      </c>
      <c r="BX186" s="27">
        <f t="shared" si="204"/>
        <v>720</v>
      </c>
      <c r="BY186" s="27">
        <f t="shared" si="223"/>
        <v>208</v>
      </c>
      <c r="BZ186" s="15">
        <f t="shared" si="240"/>
        <v>1.0394093862814402</v>
      </c>
      <c r="CA186" s="28">
        <f t="shared" si="241"/>
        <v>584.15756060930585</v>
      </c>
      <c r="CB186" s="28">
        <f t="shared" si="242"/>
        <v>562.00912587404116</v>
      </c>
      <c r="CC186" s="33"/>
      <c r="CG186" s="31"/>
      <c r="CH186" s="7">
        <v>18</v>
      </c>
      <c r="CI186" s="8">
        <v>15</v>
      </c>
      <c r="CJ186" s="9">
        <v>16</v>
      </c>
      <c r="CK186" s="10">
        <v>24</v>
      </c>
      <c r="CL186" s="12">
        <v>3.2</v>
      </c>
      <c r="CM186" s="11">
        <v>4</v>
      </c>
      <c r="CN186" s="1">
        <v>7.5</v>
      </c>
      <c r="CO186" s="27">
        <f t="shared" si="205"/>
        <v>687.5</v>
      </c>
      <c r="CP186" s="27">
        <f t="shared" si="224"/>
        <v>171.75</v>
      </c>
      <c r="CQ186" s="15">
        <f t="shared" si="243"/>
        <v>0.99738143459036366</v>
      </c>
      <c r="CR186" s="28">
        <f t="shared" si="244"/>
        <v>602.56972774953431</v>
      </c>
      <c r="CS186" s="28">
        <f t="shared" si="245"/>
        <v>604.15173859438926</v>
      </c>
      <c r="CT186" s="33"/>
      <c r="CX186" s="31"/>
      <c r="CY186" s="7">
        <v>25</v>
      </c>
      <c r="CZ186" s="8">
        <v>19</v>
      </c>
      <c r="DA186" s="9">
        <v>15</v>
      </c>
      <c r="DB186" s="10">
        <v>15</v>
      </c>
      <c r="DC186" s="12">
        <v>0.75</v>
      </c>
      <c r="DD186" s="11">
        <v>3</v>
      </c>
      <c r="DE186" s="1">
        <v>4.4000000000000004</v>
      </c>
      <c r="DF186" s="27">
        <f t="shared" si="206"/>
        <v>436</v>
      </c>
      <c r="DG186" s="27">
        <f t="shared" si="225"/>
        <v>171</v>
      </c>
      <c r="DH186" s="15">
        <f t="shared" si="246"/>
        <v>0.99068981955036794</v>
      </c>
      <c r="DI186" s="28">
        <f t="shared" si="247"/>
        <v>430.30351711604777</v>
      </c>
      <c r="DJ186" s="28">
        <f t="shared" si="248"/>
        <v>434.34736950395256</v>
      </c>
      <c r="DK186" s="33"/>
      <c r="DO186" s="31"/>
      <c r="DP186" s="7">
        <v>23</v>
      </c>
      <c r="DQ186" s="8">
        <v>22</v>
      </c>
      <c r="DR186" s="9">
        <v>20</v>
      </c>
      <c r="DS186" s="10">
        <v>11</v>
      </c>
      <c r="DT186" s="12">
        <v>0</v>
      </c>
      <c r="DU186" s="11">
        <v>2</v>
      </c>
      <c r="DV186" s="1">
        <v>4</v>
      </c>
      <c r="DW186" s="27">
        <f t="shared" si="207"/>
        <v>360</v>
      </c>
      <c r="DX186" s="27">
        <f t="shared" si="226"/>
        <v>144</v>
      </c>
      <c r="DY186" s="15">
        <f t="shared" si="249"/>
        <v>0.87015210488094752</v>
      </c>
      <c r="DZ186" s="28">
        <f t="shared" si="250"/>
        <v>342.11657366478897</v>
      </c>
      <c r="EA186" s="28">
        <f t="shared" si="251"/>
        <v>393.16870205306998</v>
      </c>
      <c r="EB186" s="33"/>
      <c r="EF186" s="31"/>
      <c r="EG186" s="7">
        <v>29</v>
      </c>
      <c r="EH186" s="8">
        <v>26</v>
      </c>
      <c r="EI186" s="9">
        <v>17</v>
      </c>
      <c r="EJ186" s="10">
        <v>3</v>
      </c>
      <c r="EK186" s="12">
        <v>0</v>
      </c>
      <c r="EL186" s="11">
        <v>4</v>
      </c>
      <c r="EM186" s="1">
        <v>8</v>
      </c>
      <c r="EN186" s="27">
        <f t="shared" si="208"/>
        <v>720</v>
      </c>
      <c r="EO186" s="27">
        <f t="shared" si="227"/>
        <v>208</v>
      </c>
      <c r="EP186" s="15">
        <f t="shared" si="252"/>
        <v>1.0330837480715602</v>
      </c>
      <c r="EQ186" s="28">
        <f t="shared" si="253"/>
        <v>645.31448569308145</v>
      </c>
      <c r="ER186" s="28">
        <f t="shared" si="254"/>
        <v>624.64876337245551</v>
      </c>
      <c r="ES186" s="33"/>
      <c r="EW186" s="31"/>
      <c r="EX186" s="7">
        <v>10</v>
      </c>
      <c r="EY186" s="8">
        <v>19</v>
      </c>
      <c r="EZ186" s="9">
        <v>24</v>
      </c>
      <c r="FA186" s="10">
        <v>22</v>
      </c>
      <c r="FB186" s="12">
        <v>0</v>
      </c>
      <c r="FC186" s="11">
        <v>4.5</v>
      </c>
      <c r="FD186" s="1">
        <v>7.5</v>
      </c>
      <c r="FE186" s="27">
        <f t="shared" si="209"/>
        <v>712.5</v>
      </c>
      <c r="FF186" s="27">
        <f t="shared" si="228"/>
        <v>167.5</v>
      </c>
      <c r="FG186" s="15">
        <f t="shared" si="255"/>
        <v>0.9071732976662823</v>
      </c>
      <c r="FH186" s="28">
        <f t="shared" si="256"/>
        <v>497.30335609002168</v>
      </c>
      <c r="FI186" s="28">
        <f t="shared" si="257"/>
        <v>548.19002870713064</v>
      </c>
      <c r="FJ186" s="33"/>
      <c r="FN186" s="31"/>
      <c r="FO186" s="33">
        <v>26</v>
      </c>
      <c r="FP186" s="8">
        <v>22</v>
      </c>
      <c r="FQ186" s="9">
        <v>13</v>
      </c>
      <c r="FR186" s="10">
        <v>14</v>
      </c>
      <c r="FS186" s="31">
        <v>0.5</v>
      </c>
      <c r="FT186" s="11">
        <v>4</v>
      </c>
      <c r="FU186" s="1">
        <v>8</v>
      </c>
      <c r="FV186" s="27">
        <f t="shared" si="210"/>
        <v>720</v>
      </c>
      <c r="FW186" s="27">
        <f t="shared" si="229"/>
        <v>198</v>
      </c>
      <c r="FX186" s="15">
        <f t="shared" si="258"/>
        <v>0.99539319606689725</v>
      </c>
      <c r="FY186" s="28">
        <f t="shared" si="259"/>
        <v>612.02056264438431</v>
      </c>
      <c r="FZ186" s="28">
        <f t="shared" si="260"/>
        <v>614.85307018639935</v>
      </c>
      <c r="GA186" s="33"/>
      <c r="GE186" s="31"/>
      <c r="GF186" s="7">
        <v>14</v>
      </c>
      <c r="GG186" s="8">
        <v>23</v>
      </c>
      <c r="GH186" s="9">
        <v>23</v>
      </c>
      <c r="GI186" s="10">
        <v>16</v>
      </c>
      <c r="GJ186" s="12">
        <v>1</v>
      </c>
      <c r="GK186" s="11">
        <v>4</v>
      </c>
      <c r="GL186" s="1">
        <v>8</v>
      </c>
      <c r="GM186" s="27">
        <f t="shared" si="211"/>
        <v>720</v>
      </c>
      <c r="GN186" s="27">
        <f t="shared" si="230"/>
        <v>200.5</v>
      </c>
      <c r="GO186" s="15">
        <f t="shared" si="261"/>
        <v>0.96785633347272171</v>
      </c>
      <c r="GP186" s="28">
        <f t="shared" si="262"/>
        <v>615.80353233625101</v>
      </c>
      <c r="GQ186" s="28">
        <f t="shared" si="263"/>
        <v>636.25510423299511</v>
      </c>
      <c r="GR186" s="33"/>
      <c r="GV186" s="31"/>
      <c r="GW186" s="7">
        <v>16</v>
      </c>
      <c r="GX186" s="8">
        <v>16</v>
      </c>
      <c r="GY186" s="9">
        <v>23</v>
      </c>
      <c r="GZ186" s="10">
        <v>19</v>
      </c>
      <c r="HA186" s="12">
        <v>1.5</v>
      </c>
      <c r="HB186" s="11">
        <v>4</v>
      </c>
      <c r="HC186" s="1">
        <v>7.9</v>
      </c>
      <c r="HD186" s="27">
        <f t="shared" si="212"/>
        <v>713.5</v>
      </c>
      <c r="HE186" s="27">
        <f t="shared" si="231"/>
        <v>203</v>
      </c>
      <c r="HF186" s="15">
        <f t="shared" si="264"/>
        <v>0.92252889687986561</v>
      </c>
      <c r="HG186" s="28">
        <f t="shared" si="265"/>
        <v>220.60397556766853</v>
      </c>
      <c r="HH186" s="28">
        <f t="shared" si="266"/>
        <v>239.12961026346713</v>
      </c>
      <c r="HI186" s="33"/>
      <c r="HM186" s="31"/>
      <c r="HN186" s="7">
        <v>16</v>
      </c>
      <c r="HO186" s="8">
        <v>19</v>
      </c>
      <c r="HP186" s="9">
        <v>20</v>
      </c>
      <c r="HQ186" s="10">
        <v>21</v>
      </c>
      <c r="HR186" s="12">
        <v>1</v>
      </c>
      <c r="HU186" s="27">
        <f t="shared" si="213"/>
        <v>0</v>
      </c>
      <c r="HV186" s="27">
        <f t="shared" si="232"/>
        <v>0</v>
      </c>
      <c r="HW186" s="15">
        <f t="shared" si="267"/>
        <v>5.1714147971365968E-8</v>
      </c>
      <c r="HX186" s="28">
        <f t="shared" si="268"/>
        <v>6.4026943723539709E-9</v>
      </c>
      <c r="HY186" s="28">
        <f t="shared" si="269"/>
        <v>0.12380933697098</v>
      </c>
      <c r="HZ186" s="33"/>
      <c r="ID186" s="31"/>
      <c r="II186" s="12"/>
      <c r="IL186" s="27">
        <f t="shared" si="214"/>
        <v>0</v>
      </c>
      <c r="IM186" s="27">
        <f t="shared" si="215"/>
        <v>6285.7940999662733</v>
      </c>
      <c r="IN186" s="15">
        <f t="shared" si="270"/>
        <v>1.6366624420615656E-3</v>
      </c>
      <c r="IO186" s="28">
        <f t="shared" si="271"/>
        <v>1.7082264353293904E-2</v>
      </c>
      <c r="IP186" s="28">
        <f t="shared" si="272"/>
        <v>10.437255670006587</v>
      </c>
      <c r="IQ186" s="33"/>
      <c r="IU186" s="31"/>
      <c r="JC186" s="27">
        <f t="shared" si="180"/>
        <v>0</v>
      </c>
      <c r="JD186" s="27">
        <f t="shared" si="216"/>
        <v>6465.0297482738551</v>
      </c>
      <c r="JE186" s="15">
        <f t="shared" si="273"/>
        <v>6.3551805916855749E-4</v>
      </c>
      <c r="JF186" s="28">
        <f t="shared" si="274"/>
        <v>1.7159048432043981E-3</v>
      </c>
      <c r="JG186" s="28">
        <f t="shared" si="275"/>
        <v>2.7000095724255275</v>
      </c>
      <c r="JH186" s="33"/>
      <c r="JL186" s="31"/>
      <c r="JR186" s="99"/>
      <c r="JS186" s="99"/>
      <c r="JT186" s="99"/>
      <c r="JU186" s="99"/>
      <c r="JV186" s="99"/>
      <c r="JW186" s="99"/>
      <c r="JX186" s="99"/>
      <c r="JY186" s="99"/>
      <c r="JZ186" s="99"/>
      <c r="KA186" s="99"/>
      <c r="KB186" s="99"/>
      <c r="KC186" s="99"/>
      <c r="KD186" s="99"/>
      <c r="KE186" s="99"/>
      <c r="KF186" s="99"/>
      <c r="KG186" s="99"/>
      <c r="KH186" s="99"/>
      <c r="KI186" s="99"/>
      <c r="KJ186" s="99"/>
      <c r="KK186" s="99"/>
      <c r="KL186" s="99"/>
      <c r="KM186" s="99"/>
      <c r="KN186" s="99"/>
      <c r="KO186" s="99"/>
      <c r="KP186" s="99"/>
      <c r="KQ186" s="99"/>
      <c r="KR186" s="99"/>
      <c r="KS186" s="99"/>
      <c r="KT186" s="99"/>
      <c r="KU186" s="99"/>
      <c r="KV186" s="99"/>
      <c r="KW186" s="99"/>
      <c r="KX186" s="99"/>
      <c r="KY186" s="99"/>
      <c r="KZ186" s="99"/>
      <c r="LA186" s="99"/>
      <c r="LB186" s="99"/>
      <c r="LC186" s="99"/>
      <c r="LD186" s="99"/>
      <c r="LE186" s="99"/>
      <c r="LF186" s="99"/>
      <c r="LG186" s="99"/>
      <c r="LH186" s="99"/>
      <c r="LI186" s="99"/>
      <c r="LJ186" s="99"/>
      <c r="LK186" s="99"/>
      <c r="LL186" s="99"/>
      <c r="LM186" s="99"/>
      <c r="LN186" s="99"/>
      <c r="LO186" s="99"/>
      <c r="LP186" s="99"/>
      <c r="LQ186" s="99"/>
      <c r="LR186" s="99"/>
      <c r="LS186" s="99"/>
      <c r="LT186" s="99"/>
      <c r="LU186" s="99"/>
      <c r="LV186" s="99"/>
      <c r="LW186" s="99"/>
      <c r="LX186" s="99"/>
      <c r="LY186" s="99"/>
      <c r="LZ186" s="99"/>
      <c r="MA186" s="99"/>
      <c r="MB186" s="99"/>
      <c r="MC186" s="99"/>
      <c r="MD186" s="99"/>
      <c r="ME186" s="99"/>
      <c r="MF186" s="99"/>
    </row>
    <row r="187" spans="1:344" ht="17.25" customHeight="1" x14ac:dyDescent="0.25">
      <c r="A187" s="156"/>
      <c r="B187" s="81" t="s">
        <v>2</v>
      </c>
      <c r="C187" s="82">
        <v>45321</v>
      </c>
      <c r="D187" s="49">
        <v>13</v>
      </c>
      <c r="E187" s="39">
        <v>11</v>
      </c>
      <c r="F187" s="103">
        <v>84</v>
      </c>
      <c r="G187" s="89">
        <f t="shared" si="194"/>
        <v>7.1409090909090907</v>
      </c>
      <c r="H187" s="35">
        <f t="shared" si="195"/>
        <v>599.83636363636356</v>
      </c>
      <c r="I187" s="39"/>
      <c r="L187" s="89">
        <f t="shared" si="196"/>
        <v>3.5</v>
      </c>
      <c r="M187" s="35">
        <f t="shared" si="217"/>
        <v>0</v>
      </c>
      <c r="N187" s="35">
        <f t="shared" si="218"/>
        <v>599.83636363636356</v>
      </c>
      <c r="O187" s="97">
        <f>SUM($Z187,$BH187,$AQ187,$BY187,$CP187,$DG187,$DX187,$EO187,$FF187,$FW187,$GN187)/E187-15</f>
        <v>209.31818181818181</v>
      </c>
      <c r="P187" s="150"/>
      <c r="Q187" s="132">
        <f>SUM(AD187+AI187+AU187+AZ187+BL187+BQ187+CC187+CH187+CT187+CY187+DK187+DP187+EB187+EG187+ES187+EX187+FJ187+FO187+GA187+GF187+GR187+GW187)/10</f>
        <v>28.6</v>
      </c>
      <c r="R187" s="134">
        <f>SUM(AE187+AJ187+AV187+BA187+BM187+BR187+CD187+CI187+CU187+CZ187+DL187+DQ187+EC187+EH187+ET187+EY187+FK187+FP187+GB187+GG187+GS187+GX187)/10</f>
        <v>24.4</v>
      </c>
      <c r="S187" s="136">
        <f>SUM(AF187+AK187+AW187+BB187+BN187+BS187+CE187+CJ187+CV187+DA187+DM187+DR187+ED187+EI187+EU187+EZ187+FL187+FQ187+GC187+GH187+GT187+GY187)/10</f>
        <v>24.7</v>
      </c>
      <c r="T187" s="138">
        <f>SUM(AG187+AL187+AX187+BC187+BO187+BT187+CF187+CK187+CW187+DB187+DN187+DS187+EE187+EJ187+EV187+FA187+FM187+FR187+GD187+GI187+GU187+GZ187)/10</f>
        <v>20.100000000000001</v>
      </c>
      <c r="U187" s="144">
        <f>SUM(AH187+AM187+AY187+BD187+BP187+BU187+CG187+CL187+CX187+DC187+DO187+DT187+EF187+EK187+EW187+FB187+FN187+FS187+GE187+GJ187+GV187+HA187)/10</f>
        <v>2.97</v>
      </c>
      <c r="W187" s="11">
        <v>0</v>
      </c>
      <c r="X187" s="1">
        <v>0</v>
      </c>
      <c r="Y187" s="35">
        <f t="shared" si="201"/>
        <v>0</v>
      </c>
      <c r="Z187" s="35">
        <f t="shared" si="220"/>
        <v>272.5</v>
      </c>
      <c r="AA187" s="15">
        <f t="shared" si="233"/>
        <v>3.6585657828661855E-2</v>
      </c>
      <c r="AB187" s="43">
        <f t="shared" si="298"/>
        <v>6.6415442105249571</v>
      </c>
      <c r="AC187" s="43">
        <f t="shared" si="299"/>
        <v>181.53409299427312</v>
      </c>
      <c r="AD187" s="33">
        <v>13</v>
      </c>
      <c r="AE187" s="8">
        <v>18</v>
      </c>
      <c r="AF187" s="9">
        <v>26</v>
      </c>
      <c r="AG187" s="10">
        <v>27</v>
      </c>
      <c r="AH187" s="31">
        <v>7.5</v>
      </c>
      <c r="AN187" s="11">
        <v>10</v>
      </c>
      <c r="AP187" s="35">
        <f t="shared" si="202"/>
        <v>840</v>
      </c>
      <c r="AQ187" s="35">
        <f t="shared" si="221"/>
        <v>185</v>
      </c>
      <c r="AR187" s="15">
        <f t="shared" si="234"/>
        <v>1.019080444491913</v>
      </c>
      <c r="AS187" s="28">
        <f t="shared" si="235"/>
        <v>637.53159409616831</v>
      </c>
      <c r="AT187" s="28">
        <f t="shared" si="236"/>
        <v>625.59496410906502</v>
      </c>
      <c r="AU187" s="33">
        <v>41</v>
      </c>
      <c r="AV187" s="8">
        <v>24</v>
      </c>
      <c r="AW187" s="9">
        <v>12</v>
      </c>
      <c r="AX187" s="10">
        <v>10</v>
      </c>
      <c r="AY187" s="31">
        <v>4</v>
      </c>
      <c r="BE187" s="11">
        <v>8.75</v>
      </c>
      <c r="BG187" s="35">
        <f t="shared" si="203"/>
        <v>735</v>
      </c>
      <c r="BH187" s="35">
        <f t="shared" si="222"/>
        <v>233</v>
      </c>
      <c r="BI187" s="15">
        <f t="shared" si="237"/>
        <v>1.1375973277778186</v>
      </c>
      <c r="BJ187" s="28">
        <f t="shared" si="238"/>
        <v>567.40070895102599</v>
      </c>
      <c r="BK187" s="28">
        <f t="shared" si="239"/>
        <v>498.77113377137226</v>
      </c>
      <c r="BL187" s="33">
        <v>15</v>
      </c>
      <c r="BM187" s="8">
        <v>36</v>
      </c>
      <c r="BN187" s="9">
        <v>24</v>
      </c>
      <c r="BO187" s="10">
        <v>16</v>
      </c>
      <c r="BP187" s="31">
        <v>2</v>
      </c>
      <c r="BV187" s="11">
        <v>9</v>
      </c>
      <c r="BX187" s="35">
        <f t="shared" si="204"/>
        <v>756</v>
      </c>
      <c r="BY187" s="35">
        <f t="shared" si="223"/>
        <v>233</v>
      </c>
      <c r="BZ187" s="15">
        <f t="shared" si="240"/>
        <v>1.089905213480441</v>
      </c>
      <c r="CA187" s="28">
        <f t="shared" si="241"/>
        <v>627.11817045697944</v>
      </c>
      <c r="CB187" s="28">
        <f t="shared" si="242"/>
        <v>575.38780684824519</v>
      </c>
      <c r="CC187" s="33">
        <v>27</v>
      </c>
      <c r="CD187" s="8">
        <v>18</v>
      </c>
      <c r="CE187" s="9">
        <v>17</v>
      </c>
      <c r="CF187" s="10">
        <v>26</v>
      </c>
      <c r="CG187" s="31">
        <v>3</v>
      </c>
      <c r="CM187" s="11">
        <v>8.5</v>
      </c>
      <c r="CO187" s="35">
        <f t="shared" si="205"/>
        <v>714</v>
      </c>
      <c r="CP187" s="35">
        <f t="shared" si="224"/>
        <v>195</v>
      </c>
      <c r="CQ187" s="15">
        <f t="shared" si="243"/>
        <v>1.0305688654507004</v>
      </c>
      <c r="CR187" s="28">
        <f t="shared" si="244"/>
        <v>630.42729581215076</v>
      </c>
      <c r="CS187" s="28">
        <f t="shared" si="245"/>
        <v>611.72748076029347</v>
      </c>
      <c r="CT187" s="33">
        <v>33</v>
      </c>
      <c r="CU187" s="8">
        <v>24</v>
      </c>
      <c r="CV187" s="9">
        <v>23</v>
      </c>
      <c r="CW187" s="10">
        <v>11</v>
      </c>
      <c r="CX187" s="31">
        <v>0.2</v>
      </c>
      <c r="DD187" s="11">
        <v>3.8</v>
      </c>
      <c r="DF187" s="35">
        <f t="shared" si="206"/>
        <v>319.2</v>
      </c>
      <c r="DG187" s="35">
        <f>(DK187*1+DL187*2+DM187*3+DN187*4+DO187*5)+(DP187*1+DQ187*2+DR187*3+DS187*4+DT187*5)</f>
        <v>198</v>
      </c>
      <c r="DH187" s="15">
        <f t="shared" si="246"/>
        <v>0.94400049680309739</v>
      </c>
      <c r="DI187" s="28">
        <f t="shared" si="247"/>
        <v>402.52763783703585</v>
      </c>
      <c r="DJ187" s="28">
        <f t="shared" si="248"/>
        <v>426.40617160712821</v>
      </c>
      <c r="DK187" s="148">
        <v>34</v>
      </c>
      <c r="DL187" s="8">
        <v>22</v>
      </c>
      <c r="DM187" s="9">
        <v>24</v>
      </c>
      <c r="DN187" s="10">
        <v>12</v>
      </c>
      <c r="DO187" s="31">
        <v>0</v>
      </c>
      <c r="DU187" s="11">
        <v>3.5</v>
      </c>
      <c r="DW187" s="35">
        <f t="shared" si="207"/>
        <v>294</v>
      </c>
      <c r="DX187" s="35">
        <f t="shared" si="226"/>
        <v>171</v>
      </c>
      <c r="DY187" s="15">
        <f t="shared" si="249"/>
        <v>0.854419469113881</v>
      </c>
      <c r="DZ187" s="28">
        <f t="shared" si="250"/>
        <v>330.08743024859172</v>
      </c>
      <c r="EA187" s="28">
        <f t="shared" si="251"/>
        <v>386.32948122182376</v>
      </c>
      <c r="EB187" s="33">
        <v>42</v>
      </c>
      <c r="EC187" s="8">
        <v>25</v>
      </c>
      <c r="ED187" s="9">
        <v>21</v>
      </c>
      <c r="EE187" s="10">
        <v>4</v>
      </c>
      <c r="EF187" s="31">
        <v>0</v>
      </c>
      <c r="EL187" s="11">
        <v>8.5</v>
      </c>
      <c r="EN187" s="35">
        <f t="shared" si="208"/>
        <v>714</v>
      </c>
      <c r="EO187" s="35">
        <f t="shared" si="227"/>
        <v>230.5</v>
      </c>
      <c r="EP187" s="15">
        <f t="shared" si="252"/>
        <v>1.050213060304275</v>
      </c>
      <c r="EQ187" s="28">
        <f t="shared" si="253"/>
        <v>662.48586426981115</v>
      </c>
      <c r="ER187" s="28">
        <f t="shared" si="254"/>
        <v>630.810917622631</v>
      </c>
      <c r="ES187" s="33">
        <v>25</v>
      </c>
      <c r="ET187" s="8">
        <v>15</v>
      </c>
      <c r="EU187" s="9">
        <v>31</v>
      </c>
      <c r="EV187" s="10">
        <v>20</v>
      </c>
      <c r="EW187" s="31">
        <v>0.5</v>
      </c>
      <c r="FC187" s="11">
        <v>9.5</v>
      </c>
      <c r="FE187" s="35">
        <f t="shared" si="209"/>
        <v>798</v>
      </c>
      <c r="FF187" s="35">
        <f t="shared" si="228"/>
        <v>211.5</v>
      </c>
      <c r="FG187" s="15">
        <f t="shared" si="255"/>
        <v>1.0124849415835857</v>
      </c>
      <c r="FH187" s="28">
        <f t="shared" si="256"/>
        <v>572.47751706751626</v>
      </c>
      <c r="FI187" s="28">
        <f t="shared" si="257"/>
        <v>565.4183025893974</v>
      </c>
      <c r="FJ187" s="33">
        <v>25</v>
      </c>
      <c r="FK187" s="8">
        <v>26</v>
      </c>
      <c r="FL187" s="9">
        <v>26</v>
      </c>
      <c r="FM187" s="10">
        <v>14</v>
      </c>
      <c r="FN187" s="31">
        <v>0.1</v>
      </c>
      <c r="FT187" s="11">
        <v>8</v>
      </c>
      <c r="FU187" s="1">
        <v>7</v>
      </c>
      <c r="FV187" s="35">
        <f>(FT187*$F187)+FU187*60</f>
        <v>1092</v>
      </c>
      <c r="FW187" s="35">
        <f t="shared" si="229"/>
        <v>267</v>
      </c>
      <c r="FX187" s="15">
        <f t="shared" si="258"/>
        <v>1.1300724015835328</v>
      </c>
      <c r="FY187" s="28">
        <f t="shared" si="259"/>
        <v>732.01542198328821</v>
      </c>
      <c r="FZ187" s="28">
        <f t="shared" si="260"/>
        <v>647.75975500113032</v>
      </c>
      <c r="GA187" s="33">
        <v>16</v>
      </c>
      <c r="GB187" s="8">
        <v>19</v>
      </c>
      <c r="GC187" s="9">
        <v>21</v>
      </c>
      <c r="GD187" s="10">
        <v>30</v>
      </c>
      <c r="GE187" s="31">
        <v>6</v>
      </c>
      <c r="GK187" s="11">
        <v>9</v>
      </c>
      <c r="GM187" s="35">
        <f t="shared" si="211"/>
        <v>756</v>
      </c>
      <c r="GN187" s="35">
        <f t="shared" si="230"/>
        <v>271</v>
      </c>
      <c r="GO187" s="15">
        <f t="shared" si="261"/>
        <v>1.0098357561100992</v>
      </c>
      <c r="GP187" s="28">
        <f t="shared" si="262"/>
        <v>650.85264925218826</v>
      </c>
      <c r="GQ187" s="28">
        <f t="shared" si="263"/>
        <v>644.51337290658171</v>
      </c>
      <c r="GR187" s="33">
        <v>15</v>
      </c>
      <c r="GS187" s="8">
        <v>17</v>
      </c>
      <c r="GT187" s="9">
        <v>22</v>
      </c>
      <c r="GU187" s="10">
        <v>31</v>
      </c>
      <c r="GV187" s="31">
        <v>6.4</v>
      </c>
      <c r="HB187" s="11">
        <v>7.8</v>
      </c>
      <c r="HD187" s="35">
        <f t="shared" si="212"/>
        <v>655.19999999999993</v>
      </c>
      <c r="HE187" s="35">
        <f t="shared" si="231"/>
        <v>248</v>
      </c>
      <c r="HF187" s="15">
        <f t="shared" si="264"/>
        <v>1.2293626944358507</v>
      </c>
      <c r="HG187" s="28">
        <f t="shared" si="265"/>
        <v>329.25298167575136</v>
      </c>
      <c r="HH187" s="28">
        <f t="shared" si="266"/>
        <v>267.82411990046938</v>
      </c>
      <c r="HI187" s="33">
        <v>14</v>
      </c>
      <c r="HJ187" s="8">
        <v>24</v>
      </c>
      <c r="HK187" s="9">
        <v>30</v>
      </c>
      <c r="HL187" s="10">
        <v>24</v>
      </c>
      <c r="HM187" s="31">
        <v>0</v>
      </c>
      <c r="HU187" s="35">
        <f t="shared" si="213"/>
        <v>0</v>
      </c>
      <c r="HV187" s="35">
        <f t="shared" si="232"/>
        <v>0</v>
      </c>
      <c r="HW187" s="15">
        <f t="shared" si="267"/>
        <v>4.1658619199155919E-8</v>
      </c>
      <c r="HX187" s="28">
        <f t="shared" si="268"/>
        <v>4.8020207792654778E-9</v>
      </c>
      <c r="HY187" s="28">
        <f t="shared" si="269"/>
        <v>0.11527076200746413</v>
      </c>
      <c r="HZ187" s="33"/>
      <c r="ID187" s="31"/>
      <c r="II187" s="12"/>
      <c r="IJ187" s="11">
        <v>6.5</v>
      </c>
      <c r="IL187" s="35">
        <f t="shared" si="214"/>
        <v>546</v>
      </c>
      <c r="IM187" s="35">
        <f t="shared" si="215"/>
        <v>6843.681431709585</v>
      </c>
      <c r="IN187" s="15">
        <f t="shared" si="270"/>
        <v>2.8816818521049989</v>
      </c>
      <c r="IO187" s="28">
        <f t="shared" si="271"/>
        <v>136.51281169826498</v>
      </c>
      <c r="IP187" s="28">
        <f t="shared" si="272"/>
        <v>47.372617347937165</v>
      </c>
      <c r="IQ187" s="33"/>
      <c r="IU187" s="31"/>
      <c r="JC187" s="35">
        <f t="shared" si="180"/>
        <v>0</v>
      </c>
      <c r="JD187" s="35">
        <f t="shared" si="216"/>
        <v>6882.4382936464226</v>
      </c>
      <c r="JE187" s="15">
        <f t="shared" si="273"/>
        <v>5.1194510321911585E-4</v>
      </c>
      <c r="JF187" s="28">
        <f t="shared" si="274"/>
        <v>1.2869286324032987E-3</v>
      </c>
      <c r="JG187" s="28">
        <f t="shared" si="275"/>
        <v>2.5138020157065255</v>
      </c>
      <c r="JH187" s="33"/>
      <c r="JL187" s="31"/>
      <c r="JR187" s="99"/>
      <c r="JS187" s="99"/>
      <c r="JT187" s="99"/>
      <c r="JU187" s="99"/>
      <c r="JV187" s="99"/>
      <c r="JW187" s="99"/>
      <c r="JX187" s="99"/>
      <c r="JY187" s="99"/>
      <c r="JZ187" s="99"/>
      <c r="KA187" s="99"/>
      <c r="KB187" s="99"/>
      <c r="KC187" s="99"/>
      <c r="KD187" s="99"/>
      <c r="KE187" s="99"/>
      <c r="KF187" s="99"/>
      <c r="KG187" s="99"/>
      <c r="KH187" s="99"/>
      <c r="KI187" s="99"/>
      <c r="KJ187" s="99"/>
      <c r="KK187" s="99"/>
      <c r="KL187" s="99"/>
      <c r="KM187" s="99"/>
      <c r="KN187" s="99"/>
      <c r="KO187" s="99"/>
      <c r="KP187" s="99"/>
      <c r="KQ187" s="99"/>
      <c r="KR187" s="99"/>
      <c r="KS187" s="99"/>
      <c r="KT187" s="99"/>
      <c r="KU187" s="99"/>
      <c r="KV187" s="99"/>
      <c r="KW187" s="99"/>
      <c r="KX187" s="99"/>
      <c r="KY187" s="99"/>
      <c r="KZ187" s="99"/>
      <c r="LA187" s="99"/>
      <c r="LB187" s="99"/>
      <c r="LC187" s="99"/>
      <c r="LD187" s="99"/>
      <c r="LE187" s="99"/>
      <c r="LF187" s="99"/>
      <c r="LG187" s="99"/>
      <c r="LH187" s="99"/>
      <c r="LI187" s="99"/>
      <c r="LJ187" s="99"/>
      <c r="LK187" s="99"/>
      <c r="LL187" s="99"/>
      <c r="LM187" s="99"/>
      <c r="LN187" s="99"/>
      <c r="LO187" s="99"/>
      <c r="LP187" s="99"/>
      <c r="LQ187" s="99"/>
      <c r="LR187" s="99"/>
      <c r="LS187" s="99"/>
      <c r="LT187" s="99"/>
      <c r="LU187" s="99"/>
      <c r="LV187" s="99"/>
      <c r="LW187" s="99"/>
      <c r="LX187" s="99"/>
      <c r="LY187" s="99"/>
      <c r="LZ187" s="99"/>
      <c r="MA187" s="99"/>
      <c r="MB187" s="99"/>
      <c r="MC187" s="99"/>
      <c r="MD187" s="99"/>
      <c r="ME187" s="99"/>
      <c r="MF187" s="99"/>
    </row>
    <row r="188" spans="1:344" ht="17.25" customHeight="1" x14ac:dyDescent="0.25">
      <c r="A188" s="156"/>
      <c r="B188" s="81" t="s">
        <v>3</v>
      </c>
      <c r="C188" s="82">
        <v>45322</v>
      </c>
      <c r="D188" s="49">
        <v>13</v>
      </c>
      <c r="E188" s="39">
        <v>11</v>
      </c>
      <c r="F188" s="103">
        <v>90</v>
      </c>
      <c r="G188" s="89">
        <f t="shared" si="194"/>
        <v>7.504545454545454</v>
      </c>
      <c r="H188" s="35">
        <f t="shared" si="195"/>
        <v>675.40909090909088</v>
      </c>
      <c r="I188" s="39"/>
      <c r="L188" s="89">
        <f t="shared" si="196"/>
        <v>3.5</v>
      </c>
      <c r="M188" s="35">
        <f t="shared" si="217"/>
        <v>0</v>
      </c>
      <c r="N188" s="35">
        <f t="shared" si="218"/>
        <v>675.40909090909088</v>
      </c>
      <c r="O188" s="97">
        <f>SUM($Z188,$BH188,$AQ188,$BY188,$CP188,$DG188,$DX188,$EO188,$FF188,$FW188,$GN188)/E188</f>
        <v>237.13636363636363</v>
      </c>
      <c r="P188" s="150"/>
      <c r="Q188" s="132">
        <f t="shared" si="355"/>
        <v>28.3</v>
      </c>
      <c r="R188" s="134">
        <f t="shared" si="356"/>
        <v>24</v>
      </c>
      <c r="S188" s="136">
        <f t="shared" si="357"/>
        <v>25.2</v>
      </c>
      <c r="T188" s="138">
        <f t="shared" si="358"/>
        <v>23.3</v>
      </c>
      <c r="U188" s="144">
        <f t="shared" si="359"/>
        <v>3.15</v>
      </c>
      <c r="W188" s="11">
        <v>0</v>
      </c>
      <c r="X188" s="1">
        <v>0</v>
      </c>
      <c r="Y188" s="35">
        <f t="shared" si="201"/>
        <v>0</v>
      </c>
      <c r="Z188" s="35">
        <f t="shared" si="220"/>
        <v>266</v>
      </c>
      <c r="AA188" s="15">
        <f t="shared" si="233"/>
        <v>2.9471779917533161E-2</v>
      </c>
      <c r="AB188" s="43">
        <f t="shared" si="298"/>
        <v>4.9811581578937183</v>
      </c>
      <c r="AC188" s="43">
        <f t="shared" si="299"/>
        <v>169.01450037397842</v>
      </c>
      <c r="AD188" s="33">
        <v>19</v>
      </c>
      <c r="AE188" s="8">
        <v>22</v>
      </c>
      <c r="AF188" s="9">
        <v>20</v>
      </c>
      <c r="AG188" s="10">
        <v>27</v>
      </c>
      <c r="AH188" s="31">
        <v>7</v>
      </c>
      <c r="AN188" s="11">
        <v>10</v>
      </c>
      <c r="AP188" s="35">
        <f t="shared" si="202"/>
        <v>900</v>
      </c>
      <c r="AQ188" s="35">
        <f t="shared" si="221"/>
        <v>220</v>
      </c>
      <c r="AR188" s="15">
        <f t="shared" si="234"/>
        <v>1.0909658293306357</v>
      </c>
      <c r="AS188" s="28">
        <f t="shared" si="235"/>
        <v>703.14869557212626</v>
      </c>
      <c r="AT188" s="28">
        <f t="shared" si="236"/>
        <v>644.5194493429226</v>
      </c>
      <c r="AU188" s="33">
        <v>34</v>
      </c>
      <c r="AV188" s="8">
        <v>21</v>
      </c>
      <c r="AW188" s="9">
        <v>19</v>
      </c>
      <c r="AX188" s="10">
        <v>18</v>
      </c>
      <c r="AY188" s="31">
        <v>3</v>
      </c>
      <c r="BE188" s="11">
        <v>9.25</v>
      </c>
      <c r="BG188" s="35">
        <f t="shared" si="203"/>
        <v>832.5</v>
      </c>
      <c r="BH188" s="35">
        <f t="shared" si="222"/>
        <v>219</v>
      </c>
      <c r="BI188" s="15">
        <f t="shared" si="237"/>
        <v>1.2144335365251189</v>
      </c>
      <c r="BJ188" s="28">
        <f t="shared" si="238"/>
        <v>633.67553171326949</v>
      </c>
      <c r="BK188" s="28">
        <f t="shared" si="239"/>
        <v>521.7869176492087</v>
      </c>
      <c r="BL188" s="33">
        <v>25</v>
      </c>
      <c r="BM188" s="8">
        <v>31</v>
      </c>
      <c r="BN188" s="9">
        <v>24</v>
      </c>
      <c r="BO188" s="10">
        <v>15</v>
      </c>
      <c r="BP188" s="31">
        <v>0</v>
      </c>
      <c r="BV188" s="11">
        <v>8</v>
      </c>
      <c r="BX188" s="35">
        <f t="shared" si="204"/>
        <v>720</v>
      </c>
      <c r="BY188" s="35">
        <f t="shared" si="223"/>
        <v>237</v>
      </c>
      <c r="BZ188" s="15">
        <f t="shared" si="240"/>
        <v>1.1110042511582392</v>
      </c>
      <c r="CA188" s="28">
        <f t="shared" si="241"/>
        <v>650.33862784273458</v>
      </c>
      <c r="CB188" s="28">
        <f t="shared" si="242"/>
        <v>585.36106154836625</v>
      </c>
      <c r="CC188" s="33">
        <v>30</v>
      </c>
      <c r="CD188" s="8">
        <v>15</v>
      </c>
      <c r="CE188" s="9">
        <v>22</v>
      </c>
      <c r="CF188" s="10">
        <v>24</v>
      </c>
      <c r="CG188" s="31">
        <v>3</v>
      </c>
      <c r="CM188" s="11">
        <v>8</v>
      </c>
      <c r="CO188" s="35">
        <f t="shared" si="205"/>
        <v>720</v>
      </c>
      <c r="CP188" s="35">
        <f t="shared" si="224"/>
        <v>186.5</v>
      </c>
      <c r="CQ188" s="15">
        <f t="shared" si="243"/>
        <v>1.0543059055498127</v>
      </c>
      <c r="CR188" s="28">
        <f t="shared" si="244"/>
        <v>652.82047185911301</v>
      </c>
      <c r="CS188" s="28">
        <f t="shared" si="245"/>
        <v>619.19455105268707</v>
      </c>
      <c r="CT188" s="33">
        <v>49</v>
      </c>
      <c r="CU188" s="8">
        <v>17</v>
      </c>
      <c r="CV188" s="9">
        <v>15</v>
      </c>
      <c r="CW188" s="10">
        <v>14</v>
      </c>
      <c r="CX188" s="31">
        <v>0.5</v>
      </c>
      <c r="DD188" s="11">
        <v>4</v>
      </c>
      <c r="DF188" s="35">
        <f t="shared" si="206"/>
        <v>360</v>
      </c>
      <c r="DG188" s="35">
        <f t="shared" si="225"/>
        <v>192</v>
      </c>
      <c r="DH188" s="15">
        <f t="shared" si="246"/>
        <v>0.92904497032898226</v>
      </c>
      <c r="DI188" s="28">
        <f t="shared" si="247"/>
        <v>391.89572837777689</v>
      </c>
      <c r="DJ188" s="28">
        <f t="shared" si="248"/>
        <v>421.82643563422283</v>
      </c>
      <c r="DK188" s="33">
        <v>39</v>
      </c>
      <c r="DL188" s="8">
        <v>23</v>
      </c>
      <c r="DM188" s="9">
        <v>21</v>
      </c>
      <c r="DN188" s="10">
        <v>11</v>
      </c>
      <c r="DO188" s="31">
        <v>0</v>
      </c>
      <c r="DU188" s="11">
        <v>4.3</v>
      </c>
      <c r="DW188" s="35">
        <f t="shared" si="207"/>
        <v>387</v>
      </c>
      <c r="DX188" s="35">
        <f t="shared" si="226"/>
        <v>181</v>
      </c>
      <c r="DY188" s="15">
        <f t="shared" si="249"/>
        <v>0.89114183783182377</v>
      </c>
      <c r="DZ188" s="28">
        <f t="shared" si="250"/>
        <v>344.31557268644377</v>
      </c>
      <c r="EA188" s="28">
        <f t="shared" si="251"/>
        <v>386.37572389618072</v>
      </c>
      <c r="EB188" s="33">
        <v>37</v>
      </c>
      <c r="EC188" s="8">
        <v>29</v>
      </c>
      <c r="ED188" s="9">
        <v>26</v>
      </c>
      <c r="EE188" s="10">
        <v>2</v>
      </c>
      <c r="EF188" s="31">
        <v>0</v>
      </c>
      <c r="EL188" s="11">
        <v>10</v>
      </c>
      <c r="EN188" s="35">
        <f t="shared" si="208"/>
        <v>900</v>
      </c>
      <c r="EO188" s="35">
        <f t="shared" si="227"/>
        <v>239</v>
      </c>
      <c r="EP188" s="15">
        <f t="shared" si="252"/>
        <v>1.111628319777866</v>
      </c>
      <c r="EQ188" s="28">
        <f t="shared" si="253"/>
        <v>721.86439820235842</v>
      </c>
      <c r="ER188" s="28">
        <f t="shared" si="254"/>
        <v>649.37568192451852</v>
      </c>
      <c r="ES188" s="33">
        <v>22</v>
      </c>
      <c r="ET188" s="8">
        <v>20</v>
      </c>
      <c r="EU188" s="9">
        <v>31</v>
      </c>
      <c r="EV188" s="10">
        <v>21</v>
      </c>
      <c r="EW188" s="31">
        <v>0</v>
      </c>
      <c r="FC188" s="11">
        <v>10</v>
      </c>
      <c r="FE188" s="35">
        <f t="shared" si="209"/>
        <v>900</v>
      </c>
      <c r="FF188" s="35">
        <f t="shared" si="228"/>
        <v>266</v>
      </c>
      <c r="FG188" s="15">
        <f t="shared" si="255"/>
        <v>1.111921885752565</v>
      </c>
      <c r="FH188" s="28">
        <f t="shared" si="256"/>
        <v>654.35813780063722</v>
      </c>
      <c r="FI188" s="28">
        <f t="shared" si="257"/>
        <v>588.49290241081826</v>
      </c>
      <c r="FJ188" s="33">
        <v>14</v>
      </c>
      <c r="FK188" s="8">
        <v>17</v>
      </c>
      <c r="FL188" s="9">
        <v>34</v>
      </c>
      <c r="FM188" s="10">
        <v>29</v>
      </c>
      <c r="FN188" s="31">
        <v>0</v>
      </c>
      <c r="FT188" s="11">
        <v>9</v>
      </c>
      <c r="FU188" s="1">
        <v>7</v>
      </c>
      <c r="FV188" s="35">
        <f>(FT188*$F188)+FU188*60</f>
        <v>1230</v>
      </c>
      <c r="FW188" s="35">
        <f t="shared" si="229"/>
        <v>312</v>
      </c>
      <c r="FX188" s="15">
        <f t="shared" si="258"/>
        <v>1.2450847771943547</v>
      </c>
      <c r="FY188" s="28">
        <f t="shared" si="259"/>
        <v>856.5115664874661</v>
      </c>
      <c r="FZ188" s="28">
        <f t="shared" si="260"/>
        <v>687.91425465622467</v>
      </c>
      <c r="GA188" s="33">
        <v>2</v>
      </c>
      <c r="GB188" s="8">
        <v>24</v>
      </c>
      <c r="GC188" s="9">
        <v>22</v>
      </c>
      <c r="GD188" s="10">
        <v>34</v>
      </c>
      <c r="GE188" s="31">
        <v>12</v>
      </c>
      <c r="GK188" s="11">
        <v>10</v>
      </c>
      <c r="GM188" s="35">
        <f t="shared" si="211"/>
        <v>900</v>
      </c>
      <c r="GN188" s="35">
        <f t="shared" si="230"/>
        <v>290</v>
      </c>
      <c r="GO188" s="15">
        <f t="shared" si="261"/>
        <v>1.0770333691865763</v>
      </c>
      <c r="GP188" s="28">
        <f t="shared" si="262"/>
        <v>713.13948693914119</v>
      </c>
      <c r="GQ188" s="28">
        <f t="shared" si="263"/>
        <v>662.1331402923347</v>
      </c>
      <c r="GR188" s="33">
        <v>12</v>
      </c>
      <c r="GS188" s="8">
        <v>21</v>
      </c>
      <c r="GT188" s="9">
        <v>18</v>
      </c>
      <c r="GU188" s="10">
        <v>38</v>
      </c>
      <c r="GV188" s="31">
        <v>6</v>
      </c>
      <c r="HB188" s="11">
        <v>7.9</v>
      </c>
      <c r="HD188" s="35">
        <f t="shared" si="212"/>
        <v>711</v>
      </c>
      <c r="HE188" s="35">
        <f t="shared" si="231"/>
        <v>199</v>
      </c>
      <c r="HF188" s="15">
        <f t="shared" si="264"/>
        <v>1.4232803386478827</v>
      </c>
      <c r="HG188" s="28">
        <f t="shared" si="265"/>
        <v>424.68973625681349</v>
      </c>
      <c r="HH188" s="28">
        <f t="shared" si="266"/>
        <v>298.38797370043699</v>
      </c>
      <c r="HI188" s="33">
        <v>37</v>
      </c>
      <c r="HJ188" s="8">
        <v>22</v>
      </c>
      <c r="HK188" s="9">
        <v>22</v>
      </c>
      <c r="HL188" s="10">
        <v>13</v>
      </c>
      <c r="HM188" s="31">
        <v>0</v>
      </c>
      <c r="HU188" s="35">
        <f t="shared" si="213"/>
        <v>0</v>
      </c>
      <c r="HV188" s="35">
        <f t="shared" si="232"/>
        <v>0</v>
      </c>
      <c r="HW188" s="15">
        <f t="shared" si="267"/>
        <v>3.3558332132653382E-8</v>
      </c>
      <c r="HX188" s="28">
        <f t="shared" si="268"/>
        <v>3.6015155844491083E-9</v>
      </c>
      <c r="HY188" s="28">
        <f t="shared" si="269"/>
        <v>0.10732105428281143</v>
      </c>
      <c r="HZ188" s="33"/>
      <c r="ID188" s="31"/>
      <c r="II188" s="12"/>
      <c r="IL188" s="35">
        <f t="shared" si="214"/>
        <v>0</v>
      </c>
      <c r="IM188" s="35">
        <f t="shared" si="215"/>
        <v>6962.4928318662442</v>
      </c>
      <c r="IN188" s="15">
        <f t="shared" si="270"/>
        <v>2.321354825306805</v>
      </c>
      <c r="IO188" s="28">
        <f t="shared" si="271"/>
        <v>102.38460877369874</v>
      </c>
      <c r="IP188" s="28">
        <f t="shared" si="272"/>
        <v>44.105540289458737</v>
      </c>
      <c r="IQ188" s="33"/>
      <c r="IU188" s="31"/>
      <c r="JA188" s="11">
        <v>6</v>
      </c>
      <c r="JC188" s="35">
        <f t="shared" si="180"/>
        <v>540</v>
      </c>
      <c r="JD188" s="35">
        <f t="shared" si="216"/>
        <v>6989.9175604165375</v>
      </c>
      <c r="JE188" s="15">
        <f t="shared" si="273"/>
        <v>3.4106814685484843</v>
      </c>
      <c r="JF188" s="28">
        <f t="shared" si="274"/>
        <v>135.00096519647431</v>
      </c>
      <c r="JG188" s="28">
        <f t="shared" si="275"/>
        <v>39.581815669795731</v>
      </c>
      <c r="JH188" s="33"/>
      <c r="JL188" s="31"/>
      <c r="JR188" s="99"/>
      <c r="JS188" s="99"/>
      <c r="JT188" s="99"/>
      <c r="JU188" s="99"/>
      <c r="JV188" s="99"/>
      <c r="JW188" s="99"/>
      <c r="JX188" s="99"/>
      <c r="JY188" s="99"/>
      <c r="JZ188" s="99"/>
      <c r="KA188" s="99"/>
      <c r="KB188" s="99"/>
      <c r="KC188" s="99"/>
      <c r="KD188" s="99"/>
      <c r="KE188" s="99"/>
      <c r="KF188" s="99"/>
      <c r="KG188" s="99"/>
      <c r="KH188" s="99"/>
      <c r="KI188" s="99"/>
      <c r="KJ188" s="99"/>
      <c r="KK188" s="99"/>
      <c r="KL188" s="99"/>
      <c r="KM188" s="99"/>
      <c r="KN188" s="99"/>
      <c r="KO188" s="99"/>
      <c r="KP188" s="99"/>
      <c r="KQ188" s="99"/>
      <c r="KR188" s="99"/>
      <c r="KS188" s="99"/>
      <c r="KT188" s="99"/>
      <c r="KU188" s="99"/>
      <c r="KV188" s="99"/>
      <c r="KW188" s="99"/>
      <c r="KX188" s="99"/>
      <c r="KY188" s="99"/>
      <c r="KZ188" s="99"/>
      <c r="LA188" s="99"/>
      <c r="LB188" s="99"/>
      <c r="LC188" s="99"/>
      <c r="LD188" s="99"/>
      <c r="LE188" s="99"/>
      <c r="LF188" s="99"/>
      <c r="LG188" s="99"/>
      <c r="LH188" s="99"/>
      <c r="LI188" s="99"/>
      <c r="LJ188" s="99"/>
      <c r="LK188" s="99"/>
      <c r="LL188" s="99"/>
      <c r="LM188" s="99"/>
      <c r="LN188" s="99"/>
      <c r="LO188" s="99"/>
      <c r="LP188" s="99"/>
      <c r="LQ188" s="99"/>
      <c r="LR188" s="99"/>
      <c r="LS188" s="99"/>
      <c r="LT188" s="99"/>
      <c r="LU188" s="99"/>
      <c r="LV188" s="99"/>
      <c r="LW188" s="99"/>
      <c r="LX188" s="99"/>
      <c r="LY188" s="99"/>
      <c r="LZ188" s="99"/>
      <c r="MA188" s="99"/>
      <c r="MB188" s="99"/>
      <c r="MC188" s="99"/>
      <c r="MD188" s="99"/>
      <c r="ME188" s="99"/>
      <c r="MF188" s="99"/>
    </row>
    <row r="189" spans="1:344" ht="17.25" customHeight="1" x14ac:dyDescent="0.25">
      <c r="A189" s="156"/>
      <c r="B189" s="81" t="s">
        <v>4</v>
      </c>
      <c r="C189" s="82">
        <v>45323</v>
      </c>
      <c r="D189" s="49">
        <v>13</v>
      </c>
      <c r="E189" s="39">
        <v>11</v>
      </c>
      <c r="F189" s="103">
        <v>82</v>
      </c>
      <c r="G189" s="89">
        <f t="shared" si="194"/>
        <v>7.4909090909090912</v>
      </c>
      <c r="H189" s="35">
        <f t="shared" si="195"/>
        <v>614.25454545454545</v>
      </c>
      <c r="I189" s="39"/>
      <c r="L189" s="89">
        <f t="shared" si="196"/>
        <v>0</v>
      </c>
      <c r="M189" s="35">
        <f t="shared" si="217"/>
        <v>0</v>
      </c>
      <c r="N189" s="35">
        <f t="shared" si="218"/>
        <v>614.25454545454545</v>
      </c>
      <c r="O189" s="97">
        <f t="shared" ref="O189:O191" si="368">SUM($Z189,$BH189,$AQ189,$BY189,$CP189,$DG189,$DX189,$EO189,$FF189,$FW189,$GN189)/E189</f>
        <v>209.81818181818181</v>
      </c>
      <c r="P189" s="150"/>
      <c r="Q189" s="132">
        <f t="shared" si="355"/>
        <v>27.5</v>
      </c>
      <c r="R189" s="134">
        <f t="shared" si="356"/>
        <v>19</v>
      </c>
      <c r="S189" s="136">
        <f t="shared" si="357"/>
        <v>18.899999999999999</v>
      </c>
      <c r="T189" s="138">
        <f t="shared" si="358"/>
        <v>24.15</v>
      </c>
      <c r="U189" s="144">
        <f t="shared" si="359"/>
        <v>2.4</v>
      </c>
      <c r="W189" s="11">
        <v>0</v>
      </c>
      <c r="X189" s="1">
        <v>0</v>
      </c>
      <c r="Y189" s="35">
        <f t="shared" si="201"/>
        <v>0</v>
      </c>
      <c r="Z189" s="35">
        <f t="shared" si="220"/>
        <v>268</v>
      </c>
      <c r="AA189" s="15">
        <f t="shared" si="233"/>
        <v>2.3741156044679496E-2</v>
      </c>
      <c r="AB189" s="43">
        <f t="shared" si="298"/>
        <v>3.7358686184202887</v>
      </c>
      <c r="AC189" s="43">
        <f t="shared" si="299"/>
        <v>157.35832793439369</v>
      </c>
      <c r="AD189" s="33">
        <v>10</v>
      </c>
      <c r="AE189" s="8">
        <v>19</v>
      </c>
      <c r="AF189" s="9">
        <v>19</v>
      </c>
      <c r="AG189" s="10">
        <v>32</v>
      </c>
      <c r="AH189" s="31">
        <v>7</v>
      </c>
      <c r="AN189" s="11">
        <v>7</v>
      </c>
      <c r="AP189" s="35">
        <f t="shared" si="202"/>
        <v>574</v>
      </c>
      <c r="AQ189" s="35">
        <f t="shared" si="221"/>
        <v>206</v>
      </c>
      <c r="AR189" s="15">
        <f t="shared" si="234"/>
        <v>1.0487847854643115</v>
      </c>
      <c r="AS189" s="28">
        <f t="shared" si="235"/>
        <v>670.86152167909472</v>
      </c>
      <c r="AT189" s="28">
        <f t="shared" si="236"/>
        <v>639.65603904341071</v>
      </c>
      <c r="AU189" s="33">
        <v>29</v>
      </c>
      <c r="AV189" s="8">
        <v>19</v>
      </c>
      <c r="AW189" s="9">
        <v>17</v>
      </c>
      <c r="AX189" s="10">
        <v>17</v>
      </c>
      <c r="AY189" s="31">
        <v>4</v>
      </c>
      <c r="BE189" s="11">
        <v>9</v>
      </c>
      <c r="BG189" s="35">
        <f t="shared" si="203"/>
        <v>738</v>
      </c>
      <c r="BH189" s="35">
        <f t="shared" si="222"/>
        <v>215</v>
      </c>
      <c r="BI189" s="15">
        <f t="shared" si="237"/>
        <v>1.2292880657492968</v>
      </c>
      <c r="BJ189" s="28">
        <f t="shared" si="238"/>
        <v>659.75664878495218</v>
      </c>
      <c r="BK189" s="28">
        <f t="shared" si="239"/>
        <v>536.69816470788396</v>
      </c>
      <c r="BL189" s="33">
        <v>17</v>
      </c>
      <c r="BM189" s="8">
        <v>28</v>
      </c>
      <c r="BN189" s="9">
        <v>17</v>
      </c>
      <c r="BO189" s="10">
        <v>21.5</v>
      </c>
      <c r="BP189" s="31">
        <v>1</v>
      </c>
      <c r="BV189" s="11">
        <v>9</v>
      </c>
      <c r="BX189" s="35">
        <f t="shared" si="204"/>
        <v>738</v>
      </c>
      <c r="BY189" s="35">
        <f t="shared" si="223"/>
        <v>182</v>
      </c>
      <c r="BZ189" s="15">
        <f t="shared" si="240"/>
        <v>1.128155124359187</v>
      </c>
      <c r="CA189" s="28">
        <f t="shared" si="241"/>
        <v>672.25397088205091</v>
      </c>
      <c r="CB189" s="28">
        <f t="shared" si="242"/>
        <v>595.88788488985824</v>
      </c>
      <c r="CC189" s="33">
        <v>39</v>
      </c>
      <c r="CD189" s="8">
        <v>12</v>
      </c>
      <c r="CE189" s="9">
        <v>14</v>
      </c>
      <c r="CF189" s="10">
        <v>18</v>
      </c>
      <c r="CG189" s="31">
        <v>1</v>
      </c>
      <c r="CM189" s="11">
        <v>9</v>
      </c>
      <c r="CO189" s="35">
        <f t="shared" si="205"/>
        <v>738</v>
      </c>
      <c r="CP189" s="35">
        <f t="shared" si="224"/>
        <v>188</v>
      </c>
      <c r="CQ189" s="15">
        <f t="shared" si="243"/>
        <v>1.0744791442423132</v>
      </c>
      <c r="CR189" s="28">
        <f t="shared" si="244"/>
        <v>674.1153538943347</v>
      </c>
      <c r="CS189" s="28">
        <f t="shared" si="245"/>
        <v>627.38803029043277</v>
      </c>
      <c r="CT189" s="33">
        <v>33</v>
      </c>
      <c r="CU189" s="8">
        <v>19</v>
      </c>
      <c r="CV189" s="9">
        <v>20</v>
      </c>
      <c r="CW189" s="10">
        <v>13</v>
      </c>
      <c r="CX189" s="31">
        <v>1</v>
      </c>
      <c r="DD189" s="11">
        <v>5.2</v>
      </c>
      <c r="DF189" s="35">
        <f t="shared" si="206"/>
        <v>426.40000000000003</v>
      </c>
      <c r="DG189" s="35">
        <f t="shared" si="225"/>
        <v>220</v>
      </c>
      <c r="DH189" s="15">
        <f t="shared" si="246"/>
        <v>0.94878485185726746</v>
      </c>
      <c r="DI189" s="28">
        <f t="shared" si="247"/>
        <v>400.52179628333272</v>
      </c>
      <c r="DJ189" s="28">
        <f t="shared" si="248"/>
        <v>422.14185386634534</v>
      </c>
      <c r="DK189" s="33">
        <v>23</v>
      </c>
      <c r="DL189" s="8">
        <v>16</v>
      </c>
      <c r="DM189" s="9">
        <v>20</v>
      </c>
      <c r="DN189" s="10">
        <v>25</v>
      </c>
      <c r="DO189" s="31">
        <v>1</v>
      </c>
      <c r="DU189" s="11">
        <v>5.2</v>
      </c>
      <c r="DW189" s="35">
        <f t="shared" si="207"/>
        <v>426.40000000000003</v>
      </c>
      <c r="DX189" s="35">
        <f t="shared" si="226"/>
        <v>122</v>
      </c>
      <c r="DY189" s="15">
        <f t="shared" si="249"/>
        <v>0.93755566662782985</v>
      </c>
      <c r="DZ189" s="28">
        <f t="shared" si="250"/>
        <v>364.83667951483284</v>
      </c>
      <c r="EA189" s="28">
        <f t="shared" si="251"/>
        <v>389.13601879989238</v>
      </c>
      <c r="EB189" s="33">
        <v>28</v>
      </c>
      <c r="EC189" s="8">
        <v>16</v>
      </c>
      <c r="ED189" s="9">
        <v>2</v>
      </c>
      <c r="EE189" s="10">
        <v>14</v>
      </c>
      <c r="EF189" s="31">
        <v>0</v>
      </c>
      <c r="EL189" s="11">
        <v>10</v>
      </c>
      <c r="EN189" s="35">
        <f t="shared" si="208"/>
        <v>820</v>
      </c>
      <c r="EO189" s="35">
        <f t="shared" si="227"/>
        <v>223</v>
      </c>
      <c r="EP189" s="15">
        <f t="shared" si="252"/>
        <v>1.1289515858623775</v>
      </c>
      <c r="EQ189" s="28">
        <f t="shared" si="253"/>
        <v>746.39829865176876</v>
      </c>
      <c r="ER189" s="28">
        <f t="shared" si="254"/>
        <v>661.14287627455167</v>
      </c>
      <c r="ES189" s="33">
        <v>21</v>
      </c>
      <c r="ET189" s="8">
        <v>16</v>
      </c>
      <c r="EU189" s="9">
        <v>27</v>
      </c>
      <c r="EV189" s="10">
        <v>21</v>
      </c>
      <c r="EW189" s="31">
        <v>1</v>
      </c>
      <c r="FC189" s="11">
        <v>8</v>
      </c>
      <c r="FE189" s="35">
        <f t="shared" si="209"/>
        <v>656</v>
      </c>
      <c r="FF189" s="35">
        <f t="shared" si="228"/>
        <v>209</v>
      </c>
      <c r="FG189" s="15">
        <f t="shared" si="255"/>
        <v>1.1038863494650337</v>
      </c>
      <c r="FH189" s="28">
        <f t="shared" si="256"/>
        <v>654.76860335047786</v>
      </c>
      <c r="FI189" s="28">
        <f t="shared" si="257"/>
        <v>593.14856431352041</v>
      </c>
      <c r="FJ189" s="33">
        <v>30</v>
      </c>
      <c r="FK189" s="8">
        <v>17</v>
      </c>
      <c r="FL189" s="9">
        <v>20</v>
      </c>
      <c r="FM189" s="10">
        <v>20</v>
      </c>
      <c r="FN189" s="31">
        <v>1</v>
      </c>
      <c r="FT189" s="11">
        <v>10</v>
      </c>
      <c r="FV189" s="35">
        <f t="shared" si="210"/>
        <v>820</v>
      </c>
      <c r="FW189" s="35">
        <f t="shared" si="229"/>
        <v>240</v>
      </c>
      <c r="FX189" s="15">
        <f t="shared" si="258"/>
        <v>1.2157173084568245</v>
      </c>
      <c r="FY189" s="28">
        <f t="shared" si="259"/>
        <v>847.38367486559957</v>
      </c>
      <c r="FZ189" s="28">
        <f t="shared" si="260"/>
        <v>697.02361640407128</v>
      </c>
      <c r="GA189" s="33">
        <v>21</v>
      </c>
      <c r="GB189" s="8">
        <v>15</v>
      </c>
      <c r="GC189" s="9">
        <v>18</v>
      </c>
      <c r="GD189" s="10">
        <v>30</v>
      </c>
      <c r="GE189" s="31">
        <v>3</v>
      </c>
      <c r="GK189" s="11">
        <v>10</v>
      </c>
      <c r="GM189" s="35">
        <f t="shared" si="211"/>
        <v>820</v>
      </c>
      <c r="GN189" s="35">
        <f t="shared" si="230"/>
        <v>235</v>
      </c>
      <c r="GO189" s="15">
        <f t="shared" si="261"/>
        <v>1.0993047080901364</v>
      </c>
      <c r="GP189" s="28">
        <f t="shared" si="262"/>
        <v>739.85461520435592</v>
      </c>
      <c r="GQ189" s="28">
        <f t="shared" si="263"/>
        <v>673.0205099273461</v>
      </c>
      <c r="GR189" s="33">
        <v>24</v>
      </c>
      <c r="GS189" s="8">
        <v>13</v>
      </c>
      <c r="GT189" s="9">
        <v>15</v>
      </c>
      <c r="GU189" s="10">
        <v>30</v>
      </c>
      <c r="GV189" s="31">
        <v>4</v>
      </c>
      <c r="HD189" s="35">
        <f t="shared" si="212"/>
        <v>0</v>
      </c>
      <c r="HE189" s="35">
        <f t="shared" si="231"/>
        <v>0</v>
      </c>
      <c r="HF189" s="15">
        <f t="shared" si="264"/>
        <v>1.1465313839107947</v>
      </c>
      <c r="HG189" s="28">
        <f t="shared" si="265"/>
        <v>318.51730219261015</v>
      </c>
      <c r="HH189" s="28">
        <f t="shared" si="266"/>
        <v>277.80949275557924</v>
      </c>
      <c r="HI189" s="33"/>
      <c r="HM189" s="31"/>
      <c r="HU189" s="35">
        <f t="shared" si="213"/>
        <v>0</v>
      </c>
      <c r="HV189" s="35">
        <f t="shared" si="232"/>
        <v>0</v>
      </c>
      <c r="HW189" s="15">
        <f t="shared" si="267"/>
        <v>2.7033100884637445E-8</v>
      </c>
      <c r="HX189" s="28">
        <f t="shared" si="268"/>
        <v>2.7011366883368313E-9</v>
      </c>
      <c r="HY189" s="28">
        <f t="shared" si="269"/>
        <v>9.9919602263307192E-2</v>
      </c>
      <c r="HZ189" s="33"/>
      <c r="ID189" s="31"/>
      <c r="II189" s="12"/>
      <c r="IJ189" s="11">
        <v>6</v>
      </c>
      <c r="IL189" s="35">
        <f t="shared" si="214"/>
        <v>492</v>
      </c>
      <c r="IM189" s="35">
        <f t="shared" si="215"/>
        <v>6955.8397733505726</v>
      </c>
      <c r="IN189" s="15">
        <f t="shared" si="270"/>
        <v>2.6640303188267036</v>
      </c>
      <c r="IO189" s="28">
        <f t="shared" si="271"/>
        <v>199.78845658027404</v>
      </c>
      <c r="IP189" s="28">
        <f t="shared" si="272"/>
        <v>74.994813372944336</v>
      </c>
      <c r="IQ189" s="33"/>
      <c r="IU189" s="31"/>
      <c r="JA189" s="11">
        <v>7.5</v>
      </c>
      <c r="JC189" s="35">
        <f t="shared" ref="JC189:JC252" si="369">(JA189*$F189)+JB189*$K189</f>
        <v>615</v>
      </c>
      <c r="JD189" s="35">
        <f t="shared" si="216"/>
        <v>7138.6250044622302</v>
      </c>
      <c r="JE189" s="15">
        <f t="shared" si="273"/>
        <v>3.2170322205898114</v>
      </c>
      <c r="JF189" s="28">
        <f t="shared" si="274"/>
        <v>255.00072389735573</v>
      </c>
      <c r="JG189" s="28">
        <f t="shared" si="275"/>
        <v>79.265828382223617</v>
      </c>
      <c r="JH189" s="33"/>
      <c r="JL189" s="31"/>
      <c r="JR189" s="99"/>
      <c r="JS189" s="99"/>
      <c r="JT189" s="99"/>
      <c r="JU189" s="99"/>
      <c r="JV189" s="99"/>
      <c r="JW189" s="99"/>
      <c r="JX189" s="99"/>
      <c r="JY189" s="99"/>
      <c r="JZ189" s="99"/>
      <c r="KA189" s="99"/>
      <c r="KB189" s="99"/>
      <c r="KC189" s="99"/>
      <c r="KD189" s="99"/>
      <c r="KE189" s="99"/>
      <c r="KF189" s="99"/>
      <c r="KG189" s="99"/>
      <c r="KH189" s="99"/>
      <c r="KI189" s="99"/>
      <c r="KJ189" s="99"/>
      <c r="KK189" s="99"/>
      <c r="KL189" s="99"/>
      <c r="KM189" s="99"/>
      <c r="KN189" s="99"/>
      <c r="KO189" s="99"/>
      <c r="KP189" s="99"/>
      <c r="KQ189" s="99"/>
      <c r="KR189" s="99"/>
      <c r="KS189" s="99"/>
      <c r="KT189" s="99"/>
      <c r="KU189" s="99"/>
      <c r="KV189" s="99"/>
      <c r="KW189" s="99"/>
      <c r="KX189" s="99"/>
      <c r="KY189" s="99"/>
      <c r="KZ189" s="99"/>
      <c r="LA189" s="99"/>
      <c r="LB189" s="99"/>
      <c r="LC189" s="99"/>
      <c r="LD189" s="99"/>
      <c r="LE189" s="99"/>
      <c r="LF189" s="99"/>
      <c r="LG189" s="99"/>
      <c r="LH189" s="99"/>
      <c r="LI189" s="99"/>
      <c r="LJ189" s="99"/>
      <c r="LK189" s="99"/>
      <c r="LL189" s="99"/>
      <c r="LM189" s="99"/>
      <c r="LN189" s="99"/>
      <c r="LO189" s="99"/>
      <c r="LP189" s="99"/>
      <c r="LQ189" s="99"/>
      <c r="LR189" s="99"/>
      <c r="LS189" s="99"/>
      <c r="LT189" s="99"/>
      <c r="LU189" s="99"/>
      <c r="LV189" s="99"/>
      <c r="LW189" s="99"/>
      <c r="LX189" s="99"/>
      <c r="LY189" s="99"/>
      <c r="LZ189" s="99"/>
      <c r="MA189" s="99"/>
      <c r="MB189" s="99"/>
      <c r="MC189" s="99"/>
      <c r="MD189" s="99"/>
      <c r="ME189" s="99"/>
      <c r="MF189" s="99"/>
    </row>
    <row r="190" spans="1:344" ht="17.25" customHeight="1" x14ac:dyDescent="0.25">
      <c r="A190" s="156"/>
      <c r="B190" s="81" t="s">
        <v>5</v>
      </c>
      <c r="C190" s="82">
        <v>45324</v>
      </c>
      <c r="D190" s="49">
        <v>12</v>
      </c>
      <c r="E190" s="39">
        <v>11</v>
      </c>
      <c r="F190" s="103">
        <v>77</v>
      </c>
      <c r="G190" s="89">
        <f t="shared" si="194"/>
        <v>6.8818181818181818</v>
      </c>
      <c r="H190" s="35">
        <f t="shared" si="195"/>
        <v>529.9</v>
      </c>
      <c r="I190" s="39"/>
      <c r="L190" s="89">
        <f t="shared" si="196"/>
        <v>0</v>
      </c>
      <c r="M190" s="35">
        <f t="shared" si="217"/>
        <v>0</v>
      </c>
      <c r="N190" s="35">
        <f t="shared" si="218"/>
        <v>529.9</v>
      </c>
      <c r="O190" s="97">
        <f t="shared" si="368"/>
        <v>171.54545454545453</v>
      </c>
      <c r="P190" s="150"/>
      <c r="Q190" s="132">
        <f t="shared" si="355"/>
        <v>30.3</v>
      </c>
      <c r="R190" s="134">
        <f t="shared" si="356"/>
        <v>21.9</v>
      </c>
      <c r="S190" s="136">
        <f t="shared" si="357"/>
        <v>19.45</v>
      </c>
      <c r="T190" s="138">
        <f t="shared" si="358"/>
        <v>13.5</v>
      </c>
      <c r="U190" s="144">
        <f t="shared" si="359"/>
        <v>0.45</v>
      </c>
      <c r="W190" s="11">
        <v>0</v>
      </c>
      <c r="X190" s="1">
        <v>0</v>
      </c>
      <c r="Y190" s="35">
        <f t="shared" si="201"/>
        <v>0</v>
      </c>
      <c r="Z190" s="35">
        <f t="shared" si="220"/>
        <v>222</v>
      </c>
      <c r="AA190" s="15">
        <f t="shared" si="233"/>
        <v>1.9124820147102924E-2</v>
      </c>
      <c r="AB190" s="43">
        <f t="shared" si="298"/>
        <v>2.8019014638152164</v>
      </c>
      <c r="AC190" s="43">
        <f t="shared" si="299"/>
        <v>146.50602945615964</v>
      </c>
      <c r="AD190" s="33">
        <v>10</v>
      </c>
      <c r="AE190" s="8">
        <v>20</v>
      </c>
      <c r="AF190" s="9">
        <v>21</v>
      </c>
      <c r="AG190" s="10">
        <v>26</v>
      </c>
      <c r="AH190" s="31">
        <v>1</v>
      </c>
      <c r="AN190" s="11">
        <v>10</v>
      </c>
      <c r="AP190" s="35">
        <f t="shared" si="202"/>
        <v>770</v>
      </c>
      <c r="AQ190" s="35">
        <f t="shared" si="221"/>
        <v>152.5</v>
      </c>
      <c r="AR190" s="15">
        <f t="shared" si="234"/>
        <v>1.0724600411703111</v>
      </c>
      <c r="AS190" s="28">
        <f t="shared" si="235"/>
        <v>695.64614125932098</v>
      </c>
      <c r="AT190" s="28">
        <f t="shared" si="236"/>
        <v>648.64527773007205</v>
      </c>
      <c r="AU190" s="33">
        <v>37</v>
      </c>
      <c r="AV190" s="8">
        <v>18</v>
      </c>
      <c r="AW190" s="9">
        <v>15.5</v>
      </c>
      <c r="AX190" s="10">
        <v>7</v>
      </c>
      <c r="AY190" s="31">
        <v>1</v>
      </c>
      <c r="BE190" s="11">
        <v>8</v>
      </c>
      <c r="BG190" s="35">
        <f t="shared" si="203"/>
        <v>616</v>
      </c>
      <c r="BH190" s="35">
        <f t="shared" si="222"/>
        <v>181</v>
      </c>
      <c r="BI190" s="15">
        <f t="shared" si="237"/>
        <v>1.1967109382845891</v>
      </c>
      <c r="BJ190" s="28">
        <f t="shared" si="238"/>
        <v>648.81748658871413</v>
      </c>
      <c r="BK190" s="28">
        <f t="shared" si="239"/>
        <v>542.16725679699539</v>
      </c>
      <c r="BL190" s="33">
        <v>18</v>
      </c>
      <c r="BM190" s="8">
        <v>29</v>
      </c>
      <c r="BN190" s="9">
        <v>23</v>
      </c>
      <c r="BO190" s="10">
        <v>9</v>
      </c>
      <c r="BP190" s="31">
        <v>0</v>
      </c>
      <c r="BV190" s="11">
        <v>7</v>
      </c>
      <c r="BX190" s="35">
        <f t="shared" si="204"/>
        <v>539</v>
      </c>
      <c r="BY190" s="35">
        <f t="shared" si="223"/>
        <v>175</v>
      </c>
      <c r="BZ190" s="15">
        <f t="shared" si="240"/>
        <v>1.0793559227492695</v>
      </c>
      <c r="CA190" s="28">
        <f t="shared" si="241"/>
        <v>638.94047816153818</v>
      </c>
      <c r="CB190" s="28">
        <f t="shared" si="242"/>
        <v>591.96458248366116</v>
      </c>
      <c r="CC190" s="33">
        <v>27</v>
      </c>
      <c r="CD190" s="8">
        <v>18</v>
      </c>
      <c r="CE190" s="9">
        <v>16</v>
      </c>
      <c r="CF190" s="10">
        <v>16</v>
      </c>
      <c r="CG190" s="31">
        <v>0</v>
      </c>
      <c r="CM190" s="11">
        <v>8</v>
      </c>
      <c r="CO190" s="35">
        <f t="shared" si="205"/>
        <v>616</v>
      </c>
      <c r="CP190" s="35">
        <f t="shared" si="224"/>
        <v>166</v>
      </c>
      <c r="CQ190" s="15">
        <f t="shared" si="243"/>
        <v>1.0526392069807404</v>
      </c>
      <c r="CR190" s="28">
        <f t="shared" si="244"/>
        <v>659.58651542075108</v>
      </c>
      <c r="CS190" s="28">
        <f t="shared" si="245"/>
        <v>626.6026488910926</v>
      </c>
      <c r="CT190" s="33">
        <v>28</v>
      </c>
      <c r="CU190" s="8">
        <v>22</v>
      </c>
      <c r="CV190" s="9">
        <v>18</v>
      </c>
      <c r="CW190" s="10">
        <v>10</v>
      </c>
      <c r="CX190" s="31">
        <v>0</v>
      </c>
      <c r="DD190" s="11">
        <v>4</v>
      </c>
      <c r="DF190" s="35">
        <f t="shared" si="206"/>
        <v>308</v>
      </c>
      <c r="DG190" s="35">
        <f t="shared" si="225"/>
        <v>160</v>
      </c>
      <c r="DH190" s="15">
        <f t="shared" si="246"/>
        <v>0.91097918146112633</v>
      </c>
      <c r="DI190" s="28">
        <f t="shared" si="247"/>
        <v>377.39134721249957</v>
      </c>
      <c r="DJ190" s="28">
        <f t="shared" si="248"/>
        <v>414.27000187556291</v>
      </c>
      <c r="DK190" s="33">
        <v>30</v>
      </c>
      <c r="DL190" s="8">
        <v>21</v>
      </c>
      <c r="DM190" s="9">
        <v>16</v>
      </c>
      <c r="DN190" s="10">
        <v>10</v>
      </c>
      <c r="DO190" s="31">
        <v>0</v>
      </c>
      <c r="DU190" s="11">
        <v>4.2</v>
      </c>
      <c r="DW190" s="35">
        <f t="shared" si="207"/>
        <v>323.40000000000003</v>
      </c>
      <c r="DX190" s="35">
        <f t="shared" si="226"/>
        <v>133</v>
      </c>
      <c r="DY190" s="15">
        <f t="shared" si="249"/>
        <v>0.92167240045157073</v>
      </c>
      <c r="DZ190" s="28">
        <f t="shared" si="250"/>
        <v>354.47750963612464</v>
      </c>
      <c r="EA190" s="28">
        <f t="shared" si="251"/>
        <v>384.60250026196877</v>
      </c>
      <c r="EB190" s="33">
        <v>43</v>
      </c>
      <c r="EC190" s="8">
        <v>18</v>
      </c>
      <c r="ED190" s="9">
        <v>14</v>
      </c>
      <c r="EE190" s="10">
        <v>3</v>
      </c>
      <c r="EF190" s="31">
        <v>0</v>
      </c>
      <c r="EL190" s="11">
        <v>8.5</v>
      </c>
      <c r="EN190" s="35">
        <f t="shared" si="208"/>
        <v>654.5</v>
      </c>
      <c r="EO190" s="35">
        <f t="shared" si="227"/>
        <v>205.5</v>
      </c>
      <c r="EP190" s="15">
        <f t="shared" si="252"/>
        <v>1.094960535125334</v>
      </c>
      <c r="EQ190" s="28">
        <f t="shared" si="253"/>
        <v>723.42372398882662</v>
      </c>
      <c r="ER190" s="28">
        <f t="shared" si="254"/>
        <v>660.68474687630669</v>
      </c>
      <c r="ES190" s="33">
        <v>16</v>
      </c>
      <c r="ET190" s="8">
        <v>16</v>
      </c>
      <c r="EU190" s="9">
        <v>26</v>
      </c>
      <c r="EV190" s="10">
        <v>18</v>
      </c>
      <c r="EW190" s="31">
        <v>1.5</v>
      </c>
      <c r="FC190" s="11">
        <v>9</v>
      </c>
      <c r="FE190" s="35">
        <f t="shared" si="209"/>
        <v>693</v>
      </c>
      <c r="FF190" s="35">
        <f t="shared" si="228"/>
        <v>149</v>
      </c>
      <c r="FG190" s="15">
        <f t="shared" si="255"/>
        <v>1.1071464101178641</v>
      </c>
      <c r="FH190" s="28">
        <f t="shared" si="256"/>
        <v>664.3264525128584</v>
      </c>
      <c r="FI190" s="28">
        <f t="shared" si="257"/>
        <v>600.03487022293268</v>
      </c>
      <c r="FJ190" s="33">
        <v>38</v>
      </c>
      <c r="FK190" s="8">
        <v>20</v>
      </c>
      <c r="FL190" s="9">
        <v>9</v>
      </c>
      <c r="FM190" s="10">
        <v>11</v>
      </c>
      <c r="FN190" s="31">
        <v>0</v>
      </c>
      <c r="FT190" s="11">
        <v>8</v>
      </c>
      <c r="FV190" s="35">
        <f t="shared" si="210"/>
        <v>616</v>
      </c>
      <c r="FW190" s="35">
        <f t="shared" si="229"/>
        <v>162</v>
      </c>
      <c r="FX190" s="15">
        <f t="shared" si="258"/>
        <v>1.1418815428485871</v>
      </c>
      <c r="FY190" s="28">
        <f t="shared" si="259"/>
        <v>789.53775614919971</v>
      </c>
      <c r="FZ190" s="28">
        <f t="shared" si="260"/>
        <v>691.43578078999735</v>
      </c>
      <c r="GA190" s="33">
        <v>32</v>
      </c>
      <c r="GB190" s="8">
        <v>19</v>
      </c>
      <c r="GC190" s="9">
        <v>16</v>
      </c>
      <c r="GD190" s="10">
        <v>11</v>
      </c>
      <c r="GE190" s="31">
        <v>0</v>
      </c>
      <c r="GK190" s="11">
        <v>9</v>
      </c>
      <c r="GM190" s="35">
        <f t="shared" si="211"/>
        <v>693</v>
      </c>
      <c r="GN190" s="35">
        <f t="shared" si="230"/>
        <v>181</v>
      </c>
      <c r="GO190" s="15">
        <f t="shared" si="261"/>
        <v>1.0796896243334588</v>
      </c>
      <c r="GP190" s="28">
        <f t="shared" si="262"/>
        <v>728.14096140326694</v>
      </c>
      <c r="GQ190" s="28">
        <f t="shared" si="263"/>
        <v>674.39840579442557</v>
      </c>
      <c r="GR190" s="33">
        <v>24</v>
      </c>
      <c r="GS190" s="8">
        <v>18</v>
      </c>
      <c r="GT190" s="9">
        <v>20</v>
      </c>
      <c r="GU190" s="10">
        <v>14</v>
      </c>
      <c r="GV190" s="31">
        <v>1</v>
      </c>
      <c r="HB190" s="11">
        <v>7.8</v>
      </c>
      <c r="HD190" s="35">
        <f t="shared" si="212"/>
        <v>600.6</v>
      </c>
      <c r="HE190" s="35">
        <f t="shared" si="231"/>
        <v>160</v>
      </c>
      <c r="HF190" s="15">
        <f t="shared" si="264"/>
        <v>1.2964868219691823</v>
      </c>
      <c r="HG190" s="28">
        <f t="shared" si="265"/>
        <v>389.03797664445761</v>
      </c>
      <c r="HH190" s="28">
        <f t="shared" si="266"/>
        <v>300.0709070482979</v>
      </c>
      <c r="HI190" s="33">
        <v>28</v>
      </c>
      <c r="HJ190" s="8">
        <v>23</v>
      </c>
      <c r="HK190" s="9">
        <v>18</v>
      </c>
      <c r="HL190" s="10">
        <v>8</v>
      </c>
      <c r="HM190" s="31">
        <v>0</v>
      </c>
      <c r="HU190" s="35">
        <f t="shared" si="213"/>
        <v>0</v>
      </c>
      <c r="HV190" s="35">
        <f t="shared" si="232"/>
        <v>0</v>
      </c>
      <c r="HW190" s="15">
        <f t="shared" si="267"/>
        <v>2.1776664601513502E-8</v>
      </c>
      <c r="HX190" s="28">
        <f t="shared" si="268"/>
        <v>2.0258525162526237E-9</v>
      </c>
      <c r="HY190" s="28">
        <f t="shared" si="269"/>
        <v>9.302859521066531E-2</v>
      </c>
      <c r="HZ190" s="33"/>
      <c r="ID190" s="31"/>
      <c r="II190" s="12"/>
      <c r="IL190" s="35">
        <f t="shared" si="214"/>
        <v>0</v>
      </c>
      <c r="IM190" s="35">
        <f t="shared" si="215"/>
        <v>6582.8228928327062</v>
      </c>
      <c r="IN190" s="15">
        <f t="shared" si="270"/>
        <v>2.1460244234992891</v>
      </c>
      <c r="IO190" s="28">
        <f t="shared" si="271"/>
        <v>149.84134243520555</v>
      </c>
      <c r="IP190" s="28">
        <f t="shared" si="272"/>
        <v>69.822757278258521</v>
      </c>
      <c r="IQ190" s="33"/>
      <c r="IU190" s="31"/>
      <c r="JC190" s="35">
        <f t="shared" si="369"/>
        <v>0</v>
      </c>
      <c r="JD190" s="35">
        <f t="shared" si="216"/>
        <v>6888.5172237594097</v>
      </c>
      <c r="JE190" s="15">
        <f t="shared" si="273"/>
        <v>2.5914981776973476</v>
      </c>
      <c r="JF190" s="28">
        <f t="shared" si="274"/>
        <v>191.25054292301678</v>
      </c>
      <c r="JG190" s="28">
        <f t="shared" si="275"/>
        <v>73.799219528277163</v>
      </c>
      <c r="JH190" s="33"/>
      <c r="JL190" s="31"/>
      <c r="JR190" s="99"/>
      <c r="JS190" s="99"/>
      <c r="JT190" s="99"/>
      <c r="JU190" s="99"/>
      <c r="JV190" s="99"/>
      <c r="JW190" s="99"/>
      <c r="JX190" s="99"/>
      <c r="JY190" s="99"/>
      <c r="JZ190" s="99"/>
      <c r="KA190" s="99"/>
      <c r="KB190" s="99"/>
      <c r="KC190" s="99"/>
      <c r="KD190" s="99"/>
      <c r="KE190" s="99"/>
      <c r="KF190" s="99"/>
      <c r="KG190" s="99"/>
      <c r="KH190" s="99"/>
      <c r="KI190" s="99"/>
      <c r="KJ190" s="99"/>
      <c r="KK190" s="99"/>
      <c r="KL190" s="99"/>
      <c r="KM190" s="99"/>
      <c r="KN190" s="99"/>
      <c r="KO190" s="99"/>
      <c r="KP190" s="99"/>
      <c r="KQ190" s="99"/>
      <c r="KR190" s="99"/>
      <c r="KS190" s="99"/>
      <c r="KT190" s="99"/>
      <c r="KU190" s="99"/>
      <c r="KV190" s="99"/>
      <c r="KW190" s="99"/>
      <c r="KX190" s="99"/>
      <c r="KY190" s="99"/>
      <c r="KZ190" s="99"/>
      <c r="LA190" s="99"/>
      <c r="LB190" s="99"/>
      <c r="LC190" s="99"/>
      <c r="LD190" s="99"/>
      <c r="LE190" s="99"/>
      <c r="LF190" s="99"/>
      <c r="LG190" s="99"/>
      <c r="LH190" s="99"/>
      <c r="LI190" s="99"/>
      <c r="LJ190" s="99"/>
      <c r="LK190" s="99"/>
      <c r="LL190" s="99"/>
      <c r="LM190" s="99"/>
      <c r="LN190" s="99"/>
      <c r="LO190" s="99"/>
      <c r="LP190" s="99"/>
      <c r="LQ190" s="99"/>
      <c r="LR190" s="99"/>
      <c r="LS190" s="99"/>
      <c r="LT190" s="99"/>
      <c r="LU190" s="99"/>
      <c r="LV190" s="99"/>
      <c r="LW190" s="99"/>
      <c r="LX190" s="99"/>
      <c r="LY190" s="99"/>
      <c r="LZ190" s="99"/>
      <c r="MA190" s="99"/>
      <c r="MB190" s="99"/>
      <c r="MC190" s="99"/>
      <c r="MD190" s="99"/>
      <c r="ME190" s="99"/>
      <c r="MF190" s="99"/>
    </row>
    <row r="191" spans="1:344" ht="17.25" customHeight="1" x14ac:dyDescent="0.25">
      <c r="A191" s="156"/>
      <c r="B191" s="81" t="s">
        <v>6</v>
      </c>
      <c r="C191" s="82">
        <v>45325</v>
      </c>
      <c r="D191" s="49">
        <v>12</v>
      </c>
      <c r="E191" s="39">
        <v>11</v>
      </c>
      <c r="F191" s="103">
        <v>50</v>
      </c>
      <c r="G191" s="89">
        <f t="shared" si="194"/>
        <v>5.668181818181818</v>
      </c>
      <c r="H191" s="35">
        <f t="shared" si="195"/>
        <v>283.40909090909088</v>
      </c>
      <c r="I191" s="39"/>
      <c r="L191" s="89">
        <f t="shared" si="196"/>
        <v>5</v>
      </c>
      <c r="M191" s="35">
        <f t="shared" si="217"/>
        <v>0</v>
      </c>
      <c r="N191" s="35">
        <f t="shared" si="218"/>
        <v>283.40909090909088</v>
      </c>
      <c r="O191" s="97">
        <f t="shared" si="368"/>
        <v>145.1</v>
      </c>
      <c r="P191" s="150"/>
      <c r="Q191" s="132">
        <f t="shared" si="355"/>
        <v>10.85</v>
      </c>
      <c r="R191" s="134">
        <f t="shared" si="356"/>
        <v>10.99</v>
      </c>
      <c r="S191" s="136">
        <f t="shared" si="357"/>
        <v>12.95</v>
      </c>
      <c r="T191" s="138">
        <f t="shared" si="358"/>
        <v>16.919999999999998</v>
      </c>
      <c r="U191" s="144">
        <f t="shared" si="359"/>
        <v>4.05</v>
      </c>
      <c r="W191" s="11">
        <v>0</v>
      </c>
      <c r="X191" s="1">
        <v>0</v>
      </c>
      <c r="Y191" s="35">
        <f t="shared" si="201"/>
        <v>0</v>
      </c>
      <c r="Z191" s="35">
        <f t="shared" si="220"/>
        <v>184</v>
      </c>
      <c r="AA191" s="15">
        <f t="shared" si="233"/>
        <v>1.5406105118499578E-2</v>
      </c>
      <c r="AB191" s="43">
        <f t="shared" si="298"/>
        <v>2.1014260978614123</v>
      </c>
      <c r="AC191" s="43">
        <f t="shared" si="299"/>
        <v>136.40216535573484</v>
      </c>
      <c r="AD191" s="33">
        <v>2</v>
      </c>
      <c r="AE191" s="8">
        <v>7</v>
      </c>
      <c r="AF191" s="9">
        <v>11</v>
      </c>
      <c r="AG191" s="10">
        <v>25</v>
      </c>
      <c r="AH191" s="31">
        <v>7</v>
      </c>
      <c r="AN191" s="11">
        <v>5</v>
      </c>
      <c r="AP191" s="35">
        <f t="shared" si="202"/>
        <v>250</v>
      </c>
      <c r="AQ191" s="35">
        <f t="shared" si="221"/>
        <v>141</v>
      </c>
      <c r="AR191" s="15">
        <f t="shared" si="234"/>
        <v>0.94056549073901607</v>
      </c>
      <c r="AS191" s="28">
        <f t="shared" si="235"/>
        <v>584.2346059444908</v>
      </c>
      <c r="AT191" s="28">
        <f t="shared" si="236"/>
        <v>621.15249995558429</v>
      </c>
      <c r="AU191" s="33">
        <v>14</v>
      </c>
      <c r="AV191" s="8">
        <v>10</v>
      </c>
      <c r="AW191" s="9">
        <v>9</v>
      </c>
      <c r="AX191" s="10">
        <v>10</v>
      </c>
      <c r="AY191" s="31">
        <v>8</v>
      </c>
      <c r="BE191" s="11">
        <v>7.25</v>
      </c>
      <c r="BF191" s="1">
        <v>10</v>
      </c>
      <c r="BG191" s="35">
        <f>(BE191*$F191)+BF191*100</f>
        <v>1362.5</v>
      </c>
      <c r="BH191" s="35">
        <f t="shared" si="222"/>
        <v>119</v>
      </c>
      <c r="BI191" s="15">
        <f t="shared" si="237"/>
        <v>1.3816271672832081</v>
      </c>
      <c r="BJ191" s="28">
        <f t="shared" si="238"/>
        <v>827.23811494153563</v>
      </c>
      <c r="BK191" s="28">
        <f t="shared" si="239"/>
        <v>598.74192874203015</v>
      </c>
      <c r="BL191" s="33">
        <v>19.5</v>
      </c>
      <c r="BM191" s="8">
        <v>9</v>
      </c>
      <c r="BN191" s="9">
        <v>9</v>
      </c>
      <c r="BO191" s="10">
        <v>13</v>
      </c>
      <c r="BP191" s="31">
        <v>0.5</v>
      </c>
      <c r="BV191" s="11">
        <v>5</v>
      </c>
      <c r="BX191" s="35">
        <f t="shared" si="204"/>
        <v>250</v>
      </c>
      <c r="BY191" s="35">
        <f t="shared" si="223"/>
        <v>154</v>
      </c>
      <c r="BZ191" s="15">
        <f t="shared" si="240"/>
        <v>0.95306762877929752</v>
      </c>
      <c r="CA191" s="28">
        <f t="shared" si="241"/>
        <v>541.70535862115366</v>
      </c>
      <c r="CB191" s="28">
        <f t="shared" si="242"/>
        <v>568.38081817444322</v>
      </c>
      <c r="CC191" s="33">
        <v>8</v>
      </c>
      <c r="CD191" s="8">
        <v>10</v>
      </c>
      <c r="CE191" s="9">
        <v>11</v>
      </c>
      <c r="CF191" s="10">
        <v>17</v>
      </c>
      <c r="CG191" s="31">
        <v>5</v>
      </c>
      <c r="CM191" s="11">
        <v>7</v>
      </c>
      <c r="CO191" s="35">
        <f t="shared" si="205"/>
        <v>350</v>
      </c>
      <c r="CP191" s="35">
        <f t="shared" si="224"/>
        <v>120</v>
      </c>
      <c r="CQ191" s="15">
        <f t="shared" si="243"/>
        <v>0.95829529538004965</v>
      </c>
      <c r="CR191" s="28">
        <f t="shared" si="244"/>
        <v>582.18988656556326</v>
      </c>
      <c r="CS191" s="28">
        <f t="shared" si="245"/>
        <v>607.52660413998274</v>
      </c>
      <c r="CT191" s="33">
        <v>16</v>
      </c>
      <c r="CU191" s="8">
        <v>10</v>
      </c>
      <c r="CV191" s="9">
        <v>12</v>
      </c>
      <c r="CW191" s="10">
        <v>12</v>
      </c>
      <c r="CX191" s="31">
        <v>0</v>
      </c>
      <c r="DD191" s="11">
        <v>4.5</v>
      </c>
      <c r="DF191" s="35">
        <f t="shared" si="206"/>
        <v>225</v>
      </c>
      <c r="DG191" s="35">
        <f t="shared" si="225"/>
        <v>134</v>
      </c>
      <c r="DH191" s="15">
        <f t="shared" si="246"/>
        <v>0.84566106724004486</v>
      </c>
      <c r="DI191" s="28">
        <f t="shared" si="247"/>
        <v>339.29351040937468</v>
      </c>
      <c r="DJ191" s="28">
        <f t="shared" si="248"/>
        <v>401.21689829793786</v>
      </c>
      <c r="DK191" s="33">
        <v>11</v>
      </c>
      <c r="DL191" s="8">
        <v>11.5</v>
      </c>
      <c r="DM191" s="9">
        <v>12</v>
      </c>
      <c r="DN191" s="10">
        <v>16</v>
      </c>
      <c r="DO191" s="31">
        <v>0</v>
      </c>
      <c r="DU191" s="11">
        <v>4.0999999999999996</v>
      </c>
      <c r="DW191" s="35">
        <f t="shared" si="207"/>
        <v>204.99999999999997</v>
      </c>
      <c r="DX191" s="35">
        <f t="shared" si="226"/>
        <v>125.8</v>
      </c>
      <c r="DY191" s="15">
        <f t="shared" si="249"/>
        <v>0.85194626023116093</v>
      </c>
      <c r="DZ191" s="28">
        <f t="shared" si="250"/>
        <v>317.10813222709351</v>
      </c>
      <c r="EA191" s="28">
        <f t="shared" si="251"/>
        <v>372.21612093355708</v>
      </c>
      <c r="EB191" s="33">
        <v>11</v>
      </c>
      <c r="EC191" s="8">
        <v>12</v>
      </c>
      <c r="ED191" s="9">
        <v>18</v>
      </c>
      <c r="EE191" s="10">
        <v>9.1999999999999993</v>
      </c>
      <c r="EF191" s="31">
        <v>0</v>
      </c>
      <c r="EL191" s="11">
        <v>6</v>
      </c>
      <c r="EN191" s="35">
        <f t="shared" si="208"/>
        <v>300</v>
      </c>
      <c r="EO191" s="35">
        <f t="shared" si="227"/>
        <v>161</v>
      </c>
      <c r="EP191" s="15">
        <f t="shared" si="252"/>
        <v>0.97130880991162005</v>
      </c>
      <c r="EQ191" s="28">
        <f t="shared" si="253"/>
        <v>617.56779299161997</v>
      </c>
      <c r="ER191" s="28">
        <f t="shared" si="254"/>
        <v>635.80993674690626</v>
      </c>
      <c r="ES191" s="33">
        <v>4</v>
      </c>
      <c r="ET191" s="8">
        <v>12</v>
      </c>
      <c r="EU191" s="9">
        <v>12</v>
      </c>
      <c r="EV191" s="10">
        <v>18</v>
      </c>
      <c r="EW191" s="31">
        <v>5</v>
      </c>
      <c r="FC191" s="11">
        <v>8</v>
      </c>
      <c r="FE191" s="35">
        <f t="shared" si="209"/>
        <v>400</v>
      </c>
      <c r="FF191" s="35">
        <f t="shared" si="228"/>
        <v>123</v>
      </c>
      <c r="FG191" s="15">
        <f t="shared" si="255"/>
        <v>1.0204787979663956</v>
      </c>
      <c r="FH191" s="28">
        <f t="shared" si="256"/>
        <v>598.2448393846438</v>
      </c>
      <c r="FI191" s="28">
        <f t="shared" si="257"/>
        <v>586.23936193169595</v>
      </c>
      <c r="FJ191" s="33">
        <v>14</v>
      </c>
      <c r="FK191" s="8">
        <v>11</v>
      </c>
      <c r="FL191" s="9">
        <v>13</v>
      </c>
      <c r="FM191" s="10">
        <v>12</v>
      </c>
      <c r="FN191" s="31">
        <v>0</v>
      </c>
      <c r="FT191" s="11">
        <v>8</v>
      </c>
      <c r="FV191" s="35">
        <f t="shared" si="210"/>
        <v>400</v>
      </c>
      <c r="FW191" s="35">
        <f t="shared" si="229"/>
        <v>174.3</v>
      </c>
      <c r="FX191" s="15">
        <f t="shared" si="258"/>
        <v>1.0310076207394614</v>
      </c>
      <c r="FY191" s="28">
        <f t="shared" si="259"/>
        <v>692.15331711189981</v>
      </c>
      <c r="FZ191" s="28">
        <f t="shared" si="260"/>
        <v>671.33676142516993</v>
      </c>
      <c r="GA191" s="33">
        <v>3</v>
      </c>
      <c r="GB191" s="8">
        <v>9.4</v>
      </c>
      <c r="GC191" s="9">
        <v>11.5</v>
      </c>
      <c r="GD191" s="10">
        <v>17</v>
      </c>
      <c r="GE191" s="31">
        <v>10</v>
      </c>
      <c r="GK191" s="11">
        <v>7.5</v>
      </c>
      <c r="GM191" s="35">
        <f t="shared" si="211"/>
        <v>375</v>
      </c>
      <c r="GN191" s="35">
        <f t="shared" si="230"/>
        <v>160</v>
      </c>
      <c r="GO191" s="15">
        <f t="shared" si="261"/>
        <v>0.9787464417179863</v>
      </c>
      <c r="GP191" s="28">
        <f t="shared" si="262"/>
        <v>639.85572105245024</v>
      </c>
      <c r="GQ191" s="28">
        <f t="shared" si="263"/>
        <v>653.75023987756856</v>
      </c>
      <c r="GR191" s="33">
        <v>6</v>
      </c>
      <c r="GS191" s="8">
        <v>8</v>
      </c>
      <c r="GT191" s="9">
        <v>11</v>
      </c>
      <c r="GU191" s="10">
        <v>20</v>
      </c>
      <c r="GV191" s="31">
        <v>5</v>
      </c>
      <c r="HD191" s="35">
        <f>(HB191*$F191)+HC191*$K191</f>
        <v>0</v>
      </c>
      <c r="HE191" s="35">
        <f t="shared" si="231"/>
        <v>95</v>
      </c>
      <c r="HF191" s="15">
        <f t="shared" si="264"/>
        <v>1.0443921621418413</v>
      </c>
      <c r="HG191" s="28">
        <f t="shared" si="265"/>
        <v>291.77848248334323</v>
      </c>
      <c r="HH191" s="28">
        <f t="shared" si="266"/>
        <v>279.37636173462215</v>
      </c>
      <c r="HI191" s="33">
        <v>29</v>
      </c>
      <c r="HJ191" s="8">
        <v>5</v>
      </c>
      <c r="HK191" s="9">
        <v>10</v>
      </c>
      <c r="HL191" s="10">
        <v>6.5</v>
      </c>
      <c r="HM191" s="31">
        <v>0</v>
      </c>
      <c r="HU191" s="35">
        <f t="shared" si="213"/>
        <v>0</v>
      </c>
      <c r="HV191" s="35">
        <f t="shared" si="232"/>
        <v>0</v>
      </c>
      <c r="HW191" s="15">
        <f t="shared" si="267"/>
        <v>1.754231315121921E-8</v>
      </c>
      <c r="HX191" s="28">
        <f t="shared" si="268"/>
        <v>1.5193893871894678E-9</v>
      </c>
      <c r="HY191" s="28">
        <f t="shared" si="269"/>
        <v>8.6612830023722873E-2</v>
      </c>
      <c r="HZ191" s="33"/>
      <c r="ID191" s="31"/>
      <c r="II191" s="12"/>
      <c r="IL191" s="35">
        <f t="shared" si="214"/>
        <v>0</v>
      </c>
      <c r="IM191" s="35">
        <f t="shared" si="215"/>
        <v>5723.5847282431687</v>
      </c>
      <c r="IN191" s="15">
        <f t="shared" si="270"/>
        <v>1.728741896707761</v>
      </c>
      <c r="IO191" s="28">
        <f t="shared" si="271"/>
        <v>112.38100682640416</v>
      </c>
      <c r="IP191" s="28">
        <f t="shared" si="272"/>
        <v>65.007394707344133</v>
      </c>
      <c r="IQ191" s="33"/>
      <c r="IU191" s="31"/>
      <c r="JC191" s="35">
        <f t="shared" si="369"/>
        <v>0</v>
      </c>
      <c r="JD191" s="35">
        <f t="shared" si="216"/>
        <v>6079.2674528483067</v>
      </c>
      <c r="JE191" s="15">
        <f t="shared" si="273"/>
        <v>2.0875957542561965</v>
      </c>
      <c r="JF191" s="28">
        <f t="shared" si="274"/>
        <v>143.43790719226257</v>
      </c>
      <c r="JG191" s="28">
        <f t="shared" si="275"/>
        <v>68.709618181499422</v>
      </c>
      <c r="JH191" s="33"/>
      <c r="JL191" s="31"/>
      <c r="JR191" s="99"/>
      <c r="JS191" s="99"/>
      <c r="JT191" s="99"/>
      <c r="JU191" s="99"/>
      <c r="JV191" s="99"/>
      <c r="JW191" s="99"/>
      <c r="JX191" s="99"/>
      <c r="JY191" s="99"/>
      <c r="JZ191" s="99"/>
      <c r="KA191" s="99"/>
      <c r="KB191" s="99"/>
      <c r="KC191" s="99"/>
      <c r="KD191" s="99"/>
      <c r="KE191" s="99"/>
      <c r="KF191" s="99"/>
      <c r="KG191" s="99"/>
      <c r="KH191" s="99"/>
      <c r="KI191" s="99"/>
      <c r="KJ191" s="99"/>
      <c r="KK191" s="99"/>
      <c r="KL191" s="99"/>
      <c r="KM191" s="99"/>
      <c r="KN191" s="99"/>
      <c r="KO191" s="99"/>
      <c r="KP191" s="99"/>
      <c r="KQ191" s="99"/>
      <c r="KR191" s="99"/>
      <c r="KS191" s="99"/>
      <c r="KT191" s="99"/>
      <c r="KU191" s="99"/>
      <c r="KV191" s="99"/>
      <c r="KW191" s="99"/>
      <c r="KX191" s="99"/>
      <c r="KY191" s="99"/>
      <c r="KZ191" s="99"/>
      <c r="LA191" s="99"/>
      <c r="LB191" s="99"/>
      <c r="LC191" s="99"/>
      <c r="LD191" s="99"/>
      <c r="LE191" s="99"/>
      <c r="LF191" s="99"/>
      <c r="LG191" s="99"/>
      <c r="LH191" s="99"/>
      <c r="LI191" s="99"/>
      <c r="LJ191" s="99"/>
      <c r="LK191" s="99"/>
      <c r="LL191" s="99"/>
      <c r="LM191" s="99"/>
      <c r="LN191" s="99"/>
      <c r="LO191" s="99"/>
      <c r="LP191" s="99"/>
      <c r="LQ191" s="99"/>
      <c r="LR191" s="99"/>
      <c r="LS191" s="99"/>
      <c r="LT191" s="99"/>
      <c r="LU191" s="99"/>
      <c r="LV191" s="99"/>
      <c r="LW191" s="99"/>
      <c r="LX191" s="99"/>
      <c r="LY191" s="99"/>
      <c r="LZ191" s="99"/>
      <c r="MA191" s="99"/>
      <c r="MB191" s="99"/>
      <c r="MC191" s="99"/>
      <c r="MD191" s="99"/>
      <c r="ME191" s="99"/>
      <c r="MF191" s="99"/>
    </row>
    <row r="192" spans="1:344" ht="17.25" customHeight="1" x14ac:dyDescent="0.25">
      <c r="A192" s="157"/>
      <c r="B192" s="92" t="s">
        <v>7</v>
      </c>
      <c r="C192" s="93">
        <v>45326</v>
      </c>
      <c r="D192" s="51">
        <v>12</v>
      </c>
      <c r="E192" s="48">
        <v>11</v>
      </c>
      <c r="F192" s="104">
        <v>100</v>
      </c>
      <c r="G192" s="37">
        <f t="shared" si="194"/>
        <v>6.6428571428571432</v>
      </c>
      <c r="H192" s="26">
        <f t="shared" si="195"/>
        <v>664.28571428571433</v>
      </c>
      <c r="I192" s="48"/>
      <c r="J192" s="48"/>
      <c r="K192" s="104"/>
      <c r="L192" s="37">
        <f t="shared" si="196"/>
        <v>0</v>
      </c>
      <c r="M192" s="26">
        <f t="shared" si="217"/>
        <v>0</v>
      </c>
      <c r="N192" s="26">
        <f t="shared" si="218"/>
        <v>664.28571428571433</v>
      </c>
      <c r="O192" s="98">
        <f>SUM($Z192,$BH192,$AQ192,$BY192,$CP192,$DG192,$DX192,$EO192,$FF192,$FW192,$GN192)/D192</f>
        <v>0</v>
      </c>
      <c r="P192" s="151"/>
      <c r="Q192" s="139">
        <f t="shared" si="355"/>
        <v>0</v>
      </c>
      <c r="R192" s="140">
        <f>SUM(AE192+AJ192+AV192+BA192+BM192+BR192+CD192+CI192+CU192+CZ192+DL192+DQ192+EC192+EH192+ET192+EY192+FK192+FP192+GB192+GG192+GS192+GX192)/10</f>
        <v>0</v>
      </c>
      <c r="S192" s="141">
        <f t="shared" si="357"/>
        <v>0</v>
      </c>
      <c r="T192" s="142">
        <f t="shared" si="358"/>
        <v>0</v>
      </c>
      <c r="U192" s="145">
        <f t="shared" si="359"/>
        <v>0</v>
      </c>
      <c r="V192" s="23"/>
      <c r="W192" s="13">
        <v>0</v>
      </c>
      <c r="X192" s="2">
        <v>0</v>
      </c>
      <c r="Y192" s="26">
        <f t="shared" si="201"/>
        <v>0</v>
      </c>
      <c r="Z192" s="26">
        <f t="shared" si="220"/>
        <v>0</v>
      </c>
      <c r="AA192" s="16">
        <f t="shared" si="233"/>
        <v>1.2410473567680215E-2</v>
      </c>
      <c r="AB192" s="44">
        <f t="shared" si="298"/>
        <v>1.5760695733960592</v>
      </c>
      <c r="AC192" s="44">
        <f t="shared" si="299"/>
        <v>126.99511946913243</v>
      </c>
      <c r="AD192" s="34"/>
      <c r="AE192" s="4"/>
      <c r="AF192" s="5"/>
      <c r="AG192" s="6"/>
      <c r="AH192" s="32"/>
      <c r="AI192" s="3"/>
      <c r="AJ192" s="4"/>
      <c r="AK192" s="5"/>
      <c r="AL192" s="6"/>
      <c r="AM192" s="14"/>
      <c r="AN192" s="13">
        <v>6</v>
      </c>
      <c r="AO192" s="2"/>
      <c r="AP192" s="26">
        <f t="shared" si="202"/>
        <v>600</v>
      </c>
      <c r="AQ192" s="26">
        <f t="shared" si="221"/>
        <v>0</v>
      </c>
      <c r="AR192" s="16">
        <f t="shared" si="234"/>
        <v>0.94913978946667654</v>
      </c>
      <c r="AS192" s="29">
        <f t="shared" si="235"/>
        <v>588.1759544583681</v>
      </c>
      <c r="AT192" s="29">
        <f t="shared" si="236"/>
        <v>619.69370685519914</v>
      </c>
      <c r="AU192" s="34"/>
      <c r="AV192" s="4"/>
      <c r="AW192" s="5"/>
      <c r="AX192" s="6"/>
      <c r="AY192" s="32"/>
      <c r="AZ192" s="3"/>
      <c r="BA192" s="4"/>
      <c r="BB192" s="5"/>
      <c r="BC192" s="6"/>
      <c r="BD192" s="14"/>
      <c r="BE192" s="13"/>
      <c r="BF192" s="2"/>
      <c r="BG192" s="26">
        <f>(3*$F192)+BF192*$K192</f>
        <v>300</v>
      </c>
      <c r="BH192" s="26">
        <f t="shared" si="222"/>
        <v>0</v>
      </c>
      <c r="BI192" s="16">
        <f t="shared" si="237"/>
        <v>1.2028742941990136</v>
      </c>
      <c r="BJ192" s="29">
        <f t="shared" si="238"/>
        <v>695.42858620615175</v>
      </c>
      <c r="BK192" s="29">
        <f t="shared" si="239"/>
        <v>578.13903710464876</v>
      </c>
      <c r="BL192" s="34"/>
      <c r="BM192" s="4"/>
      <c r="BN192" s="5"/>
      <c r="BO192" s="6"/>
      <c r="BP192" s="32"/>
      <c r="BQ192" s="3"/>
      <c r="BR192" s="4"/>
      <c r="BS192" s="5"/>
      <c r="BT192" s="6"/>
      <c r="BU192" s="14"/>
      <c r="BV192" s="13"/>
      <c r="BW192" s="2"/>
      <c r="BX192" s="26">
        <f t="shared" si="204"/>
        <v>0</v>
      </c>
      <c r="BY192" s="26">
        <f t="shared" si="223"/>
        <v>0</v>
      </c>
      <c r="BZ192" s="16">
        <f t="shared" si="240"/>
        <v>0.767748923183323</v>
      </c>
      <c r="CA192" s="29">
        <f t="shared" si="241"/>
        <v>406.27901896586525</v>
      </c>
      <c r="CB192" s="29">
        <f t="shared" si="242"/>
        <v>529.18214105896436</v>
      </c>
      <c r="CC192" s="34"/>
      <c r="CD192" s="4"/>
      <c r="CE192" s="5"/>
      <c r="CF192" s="6"/>
      <c r="CG192" s="32"/>
      <c r="CH192" s="3"/>
      <c r="CI192" s="4"/>
      <c r="CJ192" s="5"/>
      <c r="CK192" s="6"/>
      <c r="CL192" s="14"/>
      <c r="CM192" s="13">
        <v>6</v>
      </c>
      <c r="CN192" s="2"/>
      <c r="CO192" s="26">
        <f t="shared" si="205"/>
        <v>600</v>
      </c>
      <c r="CP192" s="26">
        <f t="shared" si="224"/>
        <v>0</v>
      </c>
      <c r="CQ192" s="16">
        <f t="shared" si="243"/>
        <v>0.96644998269530491</v>
      </c>
      <c r="CR192" s="29">
        <f t="shared" si="244"/>
        <v>586.6424149241725</v>
      </c>
      <c r="CS192" s="29">
        <f t="shared" si="245"/>
        <v>607.00752799239763</v>
      </c>
      <c r="CT192" s="34"/>
      <c r="CU192" s="4"/>
      <c r="CV192" s="5"/>
      <c r="CW192" s="6"/>
      <c r="CX192" s="32"/>
      <c r="CY192" s="3"/>
      <c r="CZ192" s="4"/>
      <c r="DA192" s="5"/>
      <c r="DB192" s="6"/>
      <c r="DC192" s="14"/>
      <c r="DD192" s="13"/>
      <c r="DE192" s="2"/>
      <c r="DF192" s="26">
        <f t="shared" si="206"/>
        <v>0</v>
      </c>
      <c r="DG192" s="26">
        <f t="shared" si="225"/>
        <v>0</v>
      </c>
      <c r="DH192" s="16">
        <f t="shared" si="246"/>
        <v>0.68122697083225847</v>
      </c>
      <c r="DI192" s="29">
        <f t="shared" si="247"/>
        <v>254.47013280703101</v>
      </c>
      <c r="DJ192" s="29">
        <f t="shared" si="248"/>
        <v>373.54676738083867</v>
      </c>
      <c r="DK192" s="34"/>
      <c r="DL192" s="4"/>
      <c r="DM192" s="5"/>
      <c r="DN192" s="6"/>
      <c r="DO192" s="32"/>
      <c r="DP192" s="3"/>
      <c r="DQ192" s="4"/>
      <c r="DR192" s="5"/>
      <c r="DS192" s="6"/>
      <c r="DT192" s="14"/>
      <c r="DU192" s="13"/>
      <c r="DV192" s="2"/>
      <c r="DW192" s="26">
        <f t="shared" si="207"/>
        <v>0</v>
      </c>
      <c r="DX192" s="26">
        <f t="shared" si="226"/>
        <v>0</v>
      </c>
      <c r="DY192" s="16">
        <f t="shared" si="249"/>
        <v>0.68629004296399077</v>
      </c>
      <c r="DZ192" s="29">
        <f t="shared" si="250"/>
        <v>237.83109917032013</v>
      </c>
      <c r="EA192" s="29">
        <f t="shared" si="251"/>
        <v>346.54604362779452</v>
      </c>
      <c r="EB192" s="34"/>
      <c r="EC192" s="4"/>
      <c r="ED192" s="5"/>
      <c r="EE192" s="6"/>
      <c r="EF192" s="32"/>
      <c r="EG192" s="3"/>
      <c r="EH192" s="4"/>
      <c r="EI192" s="5"/>
      <c r="EJ192" s="6"/>
      <c r="EK192" s="14"/>
      <c r="EL192" s="13">
        <v>9</v>
      </c>
      <c r="EM192" s="2"/>
      <c r="EN192" s="26">
        <f t="shared" si="208"/>
        <v>900</v>
      </c>
      <c r="EO192" s="26">
        <f t="shared" si="227"/>
        <v>0</v>
      </c>
      <c r="EP192" s="16">
        <f t="shared" si="252"/>
        <v>1.0522084716436946</v>
      </c>
      <c r="EQ192" s="29">
        <f t="shared" si="253"/>
        <v>688.17584474371495</v>
      </c>
      <c r="ER192" s="29">
        <f t="shared" si="254"/>
        <v>654.0299411091886</v>
      </c>
      <c r="ES192" s="34"/>
      <c r="ET192" s="4"/>
      <c r="EU192" s="5"/>
      <c r="EV192" s="6"/>
      <c r="EW192" s="32"/>
      <c r="EX192" s="3"/>
      <c r="EY192" s="4"/>
      <c r="EZ192" s="5"/>
      <c r="FA192" s="6"/>
      <c r="FB192" s="14"/>
      <c r="FC192" s="13">
        <v>9</v>
      </c>
      <c r="FD192" s="2"/>
      <c r="FE192" s="26">
        <f t="shared" si="209"/>
        <v>900</v>
      </c>
      <c r="FF192" s="26">
        <f t="shared" si="228"/>
        <v>0</v>
      </c>
      <c r="FG192" s="16">
        <f t="shared" si="255"/>
        <v>1.1082546169297571</v>
      </c>
      <c r="FH192" s="29">
        <f t="shared" si="256"/>
        <v>673.68362953848282</v>
      </c>
      <c r="FI192" s="29">
        <f t="shared" si="257"/>
        <v>607.8780266260618</v>
      </c>
      <c r="FJ192" s="34"/>
      <c r="FK192" s="4"/>
      <c r="FL192" s="5"/>
      <c r="FM192" s="6"/>
      <c r="FN192" s="32"/>
      <c r="FO192" s="3"/>
      <c r="FP192" s="4"/>
      <c r="FQ192" s="5"/>
      <c r="FR192" s="6"/>
      <c r="FS192" s="14"/>
      <c r="FT192" s="13">
        <v>9</v>
      </c>
      <c r="FU192" s="2"/>
      <c r="FV192" s="26">
        <f t="shared" si="210"/>
        <v>900</v>
      </c>
      <c r="FW192" s="26">
        <f t="shared" si="229"/>
        <v>0</v>
      </c>
      <c r="FX192" s="16">
        <f t="shared" si="258"/>
        <v>1.0829687046696312</v>
      </c>
      <c r="FY192" s="29">
        <f t="shared" si="259"/>
        <v>744.11498783392483</v>
      </c>
      <c r="FZ192" s="29">
        <f t="shared" si="260"/>
        <v>687.10663994757203</v>
      </c>
      <c r="GA192" s="34"/>
      <c r="GB192" s="4"/>
      <c r="GC192" s="5"/>
      <c r="GD192" s="6"/>
      <c r="GE192" s="32"/>
      <c r="GF192" s="3"/>
      <c r="GG192" s="4"/>
      <c r="GH192" s="5"/>
      <c r="GI192" s="6"/>
      <c r="GJ192" s="14"/>
      <c r="GK192" s="13">
        <v>7.5</v>
      </c>
      <c r="GL192" s="2"/>
      <c r="GM192" s="26">
        <f t="shared" si="211"/>
        <v>750</v>
      </c>
      <c r="GN192" s="26">
        <f t="shared" si="230"/>
        <v>0</v>
      </c>
      <c r="GO192" s="16">
        <f t="shared" si="261"/>
        <v>1.0106053332032603</v>
      </c>
      <c r="GP192" s="29">
        <f t="shared" si="262"/>
        <v>667.39179078933762</v>
      </c>
      <c r="GQ192" s="29">
        <f t="shared" si="263"/>
        <v>660.38815436877076</v>
      </c>
      <c r="GR192" s="34"/>
      <c r="GS192" s="4"/>
      <c r="GT192" s="5"/>
      <c r="GU192" s="6"/>
      <c r="GV192" s="32"/>
      <c r="GW192" s="3"/>
      <c r="GX192" s="4"/>
      <c r="GY192" s="5"/>
      <c r="GZ192" s="6"/>
      <c r="HA192" s="14"/>
      <c r="HB192" s="13"/>
      <c r="HC192" s="2"/>
      <c r="HD192" s="26">
        <f t="shared" si="212"/>
        <v>0</v>
      </c>
      <c r="HE192" s="26">
        <f t="shared" si="231"/>
        <v>0</v>
      </c>
      <c r="HF192" s="16">
        <f t="shared" si="264"/>
        <v>0.84131590839203896</v>
      </c>
      <c r="HG192" s="29">
        <f t="shared" si="265"/>
        <v>218.83386186250743</v>
      </c>
      <c r="HH192" s="29">
        <f t="shared" si="266"/>
        <v>260.10902644257925</v>
      </c>
      <c r="HI192" s="34"/>
      <c r="HJ192" s="4"/>
      <c r="HK192" s="5"/>
      <c r="HL192" s="6"/>
      <c r="HM192" s="32"/>
      <c r="HN192" s="3"/>
      <c r="HO192" s="4"/>
      <c r="HP192" s="5"/>
      <c r="HQ192" s="6"/>
      <c r="HR192" s="14"/>
      <c r="HS192" s="13"/>
      <c r="HT192" s="2"/>
      <c r="HU192" s="26">
        <f t="shared" si="213"/>
        <v>0</v>
      </c>
      <c r="HV192" s="26">
        <f t="shared" si="232"/>
        <v>0</v>
      </c>
      <c r="HW192" s="16">
        <f t="shared" si="267"/>
        <v>1.4131307816259922E-8</v>
      </c>
      <c r="HX192" s="29">
        <f t="shared" si="268"/>
        <v>1.1395420403921009E-9</v>
      </c>
      <c r="HY192" s="29">
        <f t="shared" si="269"/>
        <v>8.0639531401397152E-2</v>
      </c>
      <c r="HZ192" s="34"/>
      <c r="IA192" s="4"/>
      <c r="IB192" s="5"/>
      <c r="IC192" s="6"/>
      <c r="ID192" s="32"/>
      <c r="IE192" s="3"/>
      <c r="IF192" s="4"/>
      <c r="IG192" s="5"/>
      <c r="IH192" s="6"/>
      <c r="II192" s="14"/>
      <c r="IJ192" s="13"/>
      <c r="IK192" s="2"/>
      <c r="IL192" s="26">
        <f t="shared" si="214"/>
        <v>0</v>
      </c>
      <c r="IM192" s="26">
        <f t="shared" si="215"/>
        <v>4273.3300279278328</v>
      </c>
      <c r="IN192" s="16">
        <f t="shared" si="270"/>
        <v>1.3925976390145853</v>
      </c>
      <c r="IO192" s="29">
        <f t="shared" si="271"/>
        <v>84.285755119803127</v>
      </c>
      <c r="IP192" s="29">
        <f t="shared" si="272"/>
        <v>60.524126106837642</v>
      </c>
      <c r="IQ192" s="34"/>
      <c r="IR192" s="4"/>
      <c r="IS192" s="5"/>
      <c r="IT192" s="6"/>
      <c r="IU192" s="32"/>
      <c r="IV192" s="3"/>
      <c r="IW192" s="4"/>
      <c r="IX192" s="5"/>
      <c r="IY192" s="6"/>
      <c r="IZ192" s="14"/>
      <c r="JA192" s="13"/>
      <c r="JB192" s="2"/>
      <c r="JC192" s="26">
        <f t="shared" si="369"/>
        <v>0</v>
      </c>
      <c r="JD192" s="26">
        <f t="shared" si="216"/>
        <v>5984.5066496067639</v>
      </c>
      <c r="JE192" s="16">
        <f t="shared" si="273"/>
        <v>1.6816743575952695</v>
      </c>
      <c r="JF192" s="29">
        <f t="shared" si="274"/>
        <v>107.57843039419693</v>
      </c>
      <c r="JG192" s="29">
        <f t="shared" si="275"/>
        <v>63.971023824154635</v>
      </c>
      <c r="JH192" s="34"/>
      <c r="JI192" s="4"/>
      <c r="JJ192" s="5"/>
      <c r="JK192" s="6"/>
      <c r="JL192" s="32"/>
      <c r="JM192" s="3"/>
      <c r="JN192" s="4"/>
      <c r="JO192" s="5"/>
      <c r="JP192" s="6"/>
      <c r="JQ192" s="14"/>
      <c r="JR192" s="99"/>
      <c r="JS192" s="99"/>
      <c r="JT192" s="99"/>
      <c r="JU192" s="99"/>
      <c r="JV192" s="99"/>
      <c r="JW192" s="99"/>
      <c r="JX192" s="99"/>
      <c r="JY192" s="99"/>
      <c r="JZ192" s="99"/>
      <c r="KA192" s="99"/>
      <c r="KB192" s="99"/>
      <c r="KC192" s="99"/>
      <c r="KD192" s="99"/>
      <c r="KE192" s="99"/>
      <c r="KF192" s="99"/>
      <c r="KG192" s="99"/>
      <c r="KH192" s="99"/>
      <c r="KI192" s="99"/>
      <c r="KJ192" s="99"/>
      <c r="KK192" s="99"/>
      <c r="KL192" s="99"/>
      <c r="KM192" s="99"/>
      <c r="KN192" s="99"/>
      <c r="KO192" s="99"/>
      <c r="KP192" s="99"/>
      <c r="KQ192" s="99"/>
      <c r="KR192" s="99"/>
      <c r="KS192" s="99"/>
      <c r="KT192" s="99"/>
      <c r="KU192" s="99"/>
      <c r="KV192" s="99"/>
      <c r="KW192" s="99"/>
      <c r="KX192" s="99"/>
      <c r="KY192" s="99"/>
      <c r="KZ192" s="99"/>
      <c r="LA192" s="99"/>
      <c r="LB192" s="99"/>
      <c r="LC192" s="99"/>
      <c r="LD192" s="99"/>
      <c r="LE192" s="99"/>
      <c r="LF192" s="99"/>
      <c r="LG192" s="99"/>
      <c r="LH192" s="99"/>
      <c r="LI192" s="99"/>
      <c r="LJ192" s="99"/>
      <c r="LK192" s="99"/>
      <c r="LL192" s="99"/>
      <c r="LM192" s="99"/>
      <c r="LN192" s="99"/>
      <c r="LO192" s="99"/>
      <c r="LP192" s="99"/>
      <c r="LQ192" s="99"/>
      <c r="LR192" s="99"/>
      <c r="LS192" s="99"/>
      <c r="LT192" s="99"/>
      <c r="LU192" s="99"/>
      <c r="LV192" s="99"/>
      <c r="LW192" s="99"/>
      <c r="LX192" s="99"/>
      <c r="LY192" s="99"/>
      <c r="LZ192" s="99"/>
      <c r="MA192" s="99"/>
      <c r="MB192" s="99"/>
      <c r="MC192" s="99"/>
      <c r="MD192" s="99"/>
      <c r="ME192" s="99"/>
      <c r="MF192" s="99"/>
    </row>
    <row r="193" spans="1:344" ht="17.25" customHeight="1" x14ac:dyDescent="0.25">
      <c r="A193" s="155" t="s">
        <v>33</v>
      </c>
      <c r="B193" s="79" t="s">
        <v>1</v>
      </c>
      <c r="C193" s="80">
        <v>45327</v>
      </c>
      <c r="D193" s="50"/>
      <c r="G193" s="36">
        <f t="shared" si="194"/>
        <v>0</v>
      </c>
      <c r="H193" s="27">
        <f t="shared" si="195"/>
        <v>0</v>
      </c>
      <c r="I193" s="47"/>
      <c r="K193" s="105"/>
      <c r="L193" s="89">
        <f t="shared" si="196"/>
        <v>0</v>
      </c>
      <c r="M193" s="27">
        <f t="shared" si="217"/>
        <v>0</v>
      </c>
      <c r="N193" s="35">
        <f t="shared" si="218"/>
        <v>0</v>
      </c>
      <c r="O193" s="97" t="e">
        <f>SUM($Z193,$BH193,$AQ193,$BY193,$CP193,$DG193,$DX193,$EO193,$FF193,$FW193,$GN193)/I193</f>
        <v>#DIV/0!</v>
      </c>
      <c r="P193" s="149">
        <f t="shared" ref="P193" si="370">SUM(N193:N199)</f>
        <v>2969.0636363636368</v>
      </c>
      <c r="Q193" s="131">
        <f t="shared" si="355"/>
        <v>0</v>
      </c>
      <c r="R193" s="133">
        <f t="shared" si="356"/>
        <v>0</v>
      </c>
      <c r="S193" s="135">
        <f t="shared" si="357"/>
        <v>0</v>
      </c>
      <c r="T193" s="137">
        <f t="shared" si="358"/>
        <v>0</v>
      </c>
      <c r="U193" s="143">
        <f t="shared" si="359"/>
        <v>0</v>
      </c>
      <c r="W193" s="11">
        <v>0</v>
      </c>
      <c r="X193" s="1">
        <v>0</v>
      </c>
      <c r="Y193" s="27">
        <f t="shared" si="201"/>
        <v>0</v>
      </c>
      <c r="Z193" s="27">
        <f t="shared" si="220"/>
        <v>0</v>
      </c>
      <c r="AA193" s="15">
        <f t="shared" si="233"/>
        <v>9.997325929520174E-3</v>
      </c>
      <c r="AB193" s="43">
        <f t="shared" si="298"/>
        <v>1.1820521800470445</v>
      </c>
      <c r="AC193" s="43">
        <f t="shared" si="299"/>
        <v>118.23683536781296</v>
      </c>
      <c r="AD193" s="33"/>
      <c r="AH193" s="31"/>
      <c r="AP193" s="27">
        <f t="shared" si="202"/>
        <v>0</v>
      </c>
      <c r="AQ193" s="27">
        <f t="shared" si="221"/>
        <v>0</v>
      </c>
      <c r="AR193" s="15">
        <f t="shared" si="234"/>
        <v>0.76458483040371172</v>
      </c>
      <c r="AS193" s="28">
        <f t="shared" si="235"/>
        <v>441.13196584377607</v>
      </c>
      <c r="AT193" s="28">
        <f t="shared" si="236"/>
        <v>576.95620983070262</v>
      </c>
      <c r="AU193" s="33"/>
      <c r="AY193" s="31"/>
      <c r="BG193" s="27">
        <f t="shared" si="203"/>
        <v>0</v>
      </c>
      <c r="BH193" s="27">
        <f t="shared" si="222"/>
        <v>0</v>
      </c>
      <c r="BI193" s="15">
        <f t="shared" si="237"/>
        <v>0.96898207032698325</v>
      </c>
      <c r="BJ193" s="28">
        <f t="shared" si="238"/>
        <v>521.57143965461387</v>
      </c>
      <c r="BK193" s="28">
        <f t="shared" si="239"/>
        <v>538.26737937329369</v>
      </c>
      <c r="BL193" s="33"/>
      <c r="BP193" s="31"/>
      <c r="BX193" s="27">
        <f t="shared" si="204"/>
        <v>0</v>
      </c>
      <c r="BY193" s="27">
        <f t="shared" si="223"/>
        <v>0</v>
      </c>
      <c r="BZ193" s="15">
        <f t="shared" si="240"/>
        <v>0.6184644103421213</v>
      </c>
      <c r="CA193" s="28">
        <f t="shared" si="241"/>
        <v>304.70926422439891</v>
      </c>
      <c r="CB193" s="28">
        <f t="shared" si="242"/>
        <v>492.68682098593234</v>
      </c>
      <c r="CC193" s="33"/>
      <c r="CG193" s="31"/>
      <c r="CO193" s="27">
        <f t="shared" si="205"/>
        <v>0</v>
      </c>
      <c r="CP193" s="27">
        <f t="shared" si="224"/>
        <v>0</v>
      </c>
      <c r="CQ193" s="15">
        <f t="shared" si="243"/>
        <v>0.77852915272677348</v>
      </c>
      <c r="CR193" s="28">
        <f t="shared" si="244"/>
        <v>439.98181119312937</v>
      </c>
      <c r="CS193" s="28">
        <f t="shared" si="245"/>
        <v>565.14493985499087</v>
      </c>
      <c r="CT193" s="33"/>
      <c r="CX193" s="31"/>
      <c r="DF193" s="27">
        <f t="shared" si="206"/>
        <v>0</v>
      </c>
      <c r="DG193" s="27">
        <f t="shared" si="225"/>
        <v>0</v>
      </c>
      <c r="DH193" s="15">
        <f t="shared" si="246"/>
        <v>0.54876617094820823</v>
      </c>
      <c r="DI193" s="28">
        <f t="shared" si="247"/>
        <v>190.85259960527327</v>
      </c>
      <c r="DJ193" s="28">
        <f t="shared" si="248"/>
        <v>347.78492135457395</v>
      </c>
      <c r="DK193" s="33"/>
      <c r="DO193" s="31"/>
      <c r="DW193" s="27">
        <f t="shared" si="207"/>
        <v>0</v>
      </c>
      <c r="DX193" s="27">
        <f t="shared" si="226"/>
        <v>0</v>
      </c>
      <c r="DY193" s="15">
        <f t="shared" si="249"/>
        <v>0.55284475683210366</v>
      </c>
      <c r="DZ193" s="28">
        <f t="shared" si="250"/>
        <v>178.37332437774009</v>
      </c>
      <c r="EA193" s="28">
        <f t="shared" si="251"/>
        <v>322.64631648105006</v>
      </c>
      <c r="EB193" s="33"/>
      <c r="EF193" s="31"/>
      <c r="EN193" s="27">
        <f t="shared" si="208"/>
        <v>0</v>
      </c>
      <c r="EO193" s="27">
        <f t="shared" si="227"/>
        <v>0</v>
      </c>
      <c r="EP193" s="15">
        <f t="shared" si="252"/>
        <v>0.84761237993519845</v>
      </c>
      <c r="EQ193" s="28">
        <f t="shared" si="253"/>
        <v>516.13188355778618</v>
      </c>
      <c r="ER193" s="28">
        <f t="shared" si="254"/>
        <v>608.92442792924453</v>
      </c>
      <c r="ES193" s="33"/>
      <c r="EW193" s="31"/>
      <c r="FE193" s="27">
        <f t="shared" si="209"/>
        <v>0</v>
      </c>
      <c r="FF193" s="27">
        <f t="shared" si="228"/>
        <v>0</v>
      </c>
      <c r="FG193" s="15">
        <f t="shared" si="255"/>
        <v>0.89276066363786</v>
      </c>
      <c r="FH193" s="28">
        <f t="shared" si="256"/>
        <v>505.26272215386211</v>
      </c>
      <c r="FI193" s="28">
        <f t="shared" si="257"/>
        <v>565.95540410012643</v>
      </c>
      <c r="FJ193" s="33"/>
      <c r="FN193" s="31"/>
      <c r="FV193" s="27">
        <f t="shared" si="210"/>
        <v>0</v>
      </c>
      <c r="FW193" s="27">
        <f t="shared" si="229"/>
        <v>0</v>
      </c>
      <c r="FX193" s="15">
        <f t="shared" si="258"/>
        <v>0.87239145653942529</v>
      </c>
      <c r="FY193" s="28">
        <f t="shared" si="259"/>
        <v>558.08624087544365</v>
      </c>
      <c r="FZ193" s="28">
        <f t="shared" si="260"/>
        <v>639.71997512360156</v>
      </c>
      <c r="GA193" s="33"/>
      <c r="GE193" s="31"/>
      <c r="GM193" s="27">
        <f t="shared" si="211"/>
        <v>0</v>
      </c>
      <c r="GN193" s="27">
        <f t="shared" si="230"/>
        <v>0</v>
      </c>
      <c r="GO193" s="15">
        <f t="shared" si="261"/>
        <v>0.81409874063595966</v>
      </c>
      <c r="GP193" s="28">
        <f t="shared" si="262"/>
        <v>500.54384309200321</v>
      </c>
      <c r="GQ193" s="28">
        <f t="shared" si="263"/>
        <v>614.8441437226486</v>
      </c>
      <c r="GR193" s="33"/>
      <c r="GV193" s="31"/>
      <c r="HD193" s="27">
        <f t="shared" si="212"/>
        <v>0</v>
      </c>
      <c r="HE193" s="27">
        <f t="shared" si="231"/>
        <v>0</v>
      </c>
      <c r="HF193" s="15">
        <f t="shared" si="264"/>
        <v>0.67772670398247581</v>
      </c>
      <c r="HG193" s="28">
        <f t="shared" si="265"/>
        <v>164.12539639688057</v>
      </c>
      <c r="HH193" s="28">
        <f t="shared" si="266"/>
        <v>242.17047289481516</v>
      </c>
      <c r="HI193" s="33"/>
      <c r="HM193" s="31"/>
      <c r="HU193" s="27">
        <f t="shared" si="213"/>
        <v>0</v>
      </c>
      <c r="HV193" s="27">
        <f t="shared" si="232"/>
        <v>0</v>
      </c>
      <c r="HW193" s="15">
        <f t="shared" si="267"/>
        <v>1.1383553518653826E-8</v>
      </c>
      <c r="HX193" s="28">
        <f t="shared" si="268"/>
        <v>8.5465653029407571E-10</v>
      </c>
      <c r="HY193" s="28">
        <f t="shared" si="269"/>
        <v>7.5078184408197343E-2</v>
      </c>
      <c r="HZ193" s="33"/>
      <c r="ID193" s="31"/>
      <c r="II193" s="12"/>
      <c r="IL193" s="27">
        <f t="shared" si="214"/>
        <v>0</v>
      </c>
      <c r="IM193" s="27">
        <f t="shared" si="215"/>
        <v>3684.1265550582839</v>
      </c>
      <c r="IN193" s="15">
        <f t="shared" si="270"/>
        <v>1.1218147647617494</v>
      </c>
      <c r="IO193" s="28">
        <f t="shared" si="271"/>
        <v>63.214316339852346</v>
      </c>
      <c r="IP193" s="28">
        <f t="shared" si="272"/>
        <v>56.350048444297116</v>
      </c>
      <c r="IQ193" s="33"/>
      <c r="IU193" s="31"/>
      <c r="JC193" s="27">
        <f t="shared" si="369"/>
        <v>0</v>
      </c>
      <c r="JD193" s="27">
        <f t="shared" si="216"/>
        <v>4587.9875315056524</v>
      </c>
      <c r="JE193" s="15">
        <f t="shared" si="273"/>
        <v>1.3546821213961895</v>
      </c>
      <c r="JF193" s="28">
        <f t="shared" si="274"/>
        <v>80.6838227956477</v>
      </c>
      <c r="JG193" s="28">
        <f t="shared" si="275"/>
        <v>59.559229077661207</v>
      </c>
      <c r="JH193" s="33"/>
      <c r="JL193" s="31"/>
      <c r="JR193" s="99"/>
      <c r="JS193" s="99"/>
      <c r="JT193" s="99"/>
      <c r="JU193" s="99"/>
      <c r="JV193" s="99"/>
      <c r="JW193" s="99"/>
      <c r="JX193" s="99"/>
      <c r="JY193" s="99"/>
      <c r="JZ193" s="99"/>
      <c r="KA193" s="99"/>
      <c r="KB193" s="99"/>
      <c r="KC193" s="99"/>
      <c r="KD193" s="99"/>
      <c r="KE193" s="99"/>
      <c r="KF193" s="99"/>
      <c r="KG193" s="99"/>
      <c r="KH193" s="99"/>
      <c r="KI193" s="99"/>
      <c r="KJ193" s="99"/>
      <c r="KK193" s="99"/>
      <c r="KL193" s="99"/>
      <c r="KM193" s="99"/>
      <c r="KN193" s="99"/>
      <c r="KO193" s="99"/>
      <c r="KP193" s="99"/>
      <c r="KQ193" s="99"/>
      <c r="KR193" s="99"/>
      <c r="KS193" s="99"/>
      <c r="KT193" s="99"/>
      <c r="KU193" s="99"/>
      <c r="KV193" s="99"/>
      <c r="KW193" s="99"/>
      <c r="KX193" s="99"/>
      <c r="KY193" s="99"/>
      <c r="KZ193" s="99"/>
      <c r="LA193" s="99"/>
      <c r="LB193" s="99"/>
      <c r="LC193" s="99"/>
      <c r="LD193" s="99"/>
      <c r="LE193" s="99"/>
      <c r="LF193" s="99"/>
      <c r="LG193" s="99"/>
      <c r="LH193" s="99"/>
      <c r="LI193" s="99"/>
      <c r="LJ193" s="99"/>
      <c r="LK193" s="99"/>
      <c r="LL193" s="99"/>
      <c r="LM193" s="99"/>
      <c r="LN193" s="99"/>
      <c r="LO193" s="99"/>
      <c r="LP193" s="99"/>
      <c r="LQ193" s="99"/>
      <c r="LR193" s="99"/>
      <c r="LS193" s="99"/>
      <c r="LT193" s="99"/>
      <c r="LU193" s="99"/>
      <c r="LV193" s="99"/>
      <c r="LW193" s="99"/>
      <c r="LX193" s="99"/>
      <c r="LY193" s="99"/>
      <c r="LZ193" s="99"/>
      <c r="MA193" s="99"/>
      <c r="MB193" s="99"/>
      <c r="MC193" s="99"/>
      <c r="MD193" s="99"/>
      <c r="ME193" s="99"/>
      <c r="MF193" s="99"/>
    </row>
    <row r="194" spans="1:344" ht="17.25" customHeight="1" x14ac:dyDescent="0.25">
      <c r="A194" s="156"/>
      <c r="B194" s="81" t="s">
        <v>2</v>
      </c>
      <c r="C194" s="82">
        <v>45328</v>
      </c>
      <c r="D194" s="49">
        <v>12</v>
      </c>
      <c r="E194" s="39">
        <v>10</v>
      </c>
      <c r="F194" s="103">
        <v>68</v>
      </c>
      <c r="G194" s="89">
        <f t="shared" si="194"/>
        <v>5.959090909090909</v>
      </c>
      <c r="H194" s="35">
        <f t="shared" si="195"/>
        <v>405.21818181818179</v>
      </c>
      <c r="I194" s="39">
        <v>10</v>
      </c>
      <c r="J194" s="39">
        <v>10</v>
      </c>
      <c r="K194" s="103">
        <v>50</v>
      </c>
      <c r="L194" s="89">
        <f t="shared" si="196"/>
        <v>3.2727272727272729</v>
      </c>
      <c r="M194" s="35">
        <f t="shared" si="217"/>
        <v>163.63636363636365</v>
      </c>
      <c r="N194" s="35">
        <f t="shared" si="218"/>
        <v>568.85454545454547</v>
      </c>
      <c r="O194" s="97">
        <f>SUM($Z194,$BH194,$AQ194,$BY194,$CP194,$DG194,$DX194,$EO194,$FF194,$FW194,$GN194)/E194</f>
        <v>200.75</v>
      </c>
      <c r="P194" s="150"/>
      <c r="Q194" s="132">
        <f t="shared" si="355"/>
        <v>17.55</v>
      </c>
      <c r="R194" s="134">
        <f t="shared" si="356"/>
        <v>16.149999999999999</v>
      </c>
      <c r="S194" s="136">
        <f t="shared" si="357"/>
        <v>16.8</v>
      </c>
      <c r="T194" s="138">
        <f t="shared" si="358"/>
        <v>20.8</v>
      </c>
      <c r="U194" s="144">
        <f t="shared" si="359"/>
        <v>3.46</v>
      </c>
      <c r="W194" s="11">
        <v>0</v>
      </c>
      <c r="X194" s="1">
        <v>0</v>
      </c>
      <c r="Y194" s="35">
        <f t="shared" si="201"/>
        <v>0</v>
      </c>
      <c r="Z194" s="35">
        <f t="shared" si="220"/>
        <v>0</v>
      </c>
      <c r="AA194" s="15">
        <f t="shared" si="233"/>
        <v>8.0534014432245855E-3</v>
      </c>
      <c r="AB194" s="43">
        <f t="shared" si="298"/>
        <v>0.88653913503528337</v>
      </c>
      <c r="AC194" s="43">
        <f t="shared" si="299"/>
        <v>110.08257085968792</v>
      </c>
      <c r="AD194" s="33"/>
      <c r="AH194" s="31"/>
      <c r="AN194" s="11">
        <v>5</v>
      </c>
      <c r="AO194" s="1">
        <v>4</v>
      </c>
      <c r="AP194" s="35">
        <f t="shared" si="202"/>
        <v>540</v>
      </c>
      <c r="AQ194" s="35">
        <f t="shared" si="221"/>
        <v>143</v>
      </c>
      <c r="AR194" s="15">
        <f t="shared" si="234"/>
        <v>0.81100781197404426</v>
      </c>
      <c r="AS194" s="28">
        <f t="shared" si="235"/>
        <v>465.84897438283207</v>
      </c>
      <c r="AT194" s="28">
        <f t="shared" si="236"/>
        <v>574.4075057044472</v>
      </c>
      <c r="AU194" s="33">
        <v>37</v>
      </c>
      <c r="AV194" s="8">
        <v>16</v>
      </c>
      <c r="AW194" s="9">
        <v>12.5</v>
      </c>
      <c r="AX194" s="10">
        <v>9</v>
      </c>
      <c r="AY194" s="31">
        <v>0.1</v>
      </c>
      <c r="BE194" s="11">
        <v>8</v>
      </c>
      <c r="BF194" s="1">
        <v>4</v>
      </c>
      <c r="BG194" s="35">
        <f t="shared" si="203"/>
        <v>744</v>
      </c>
      <c r="BH194" s="35">
        <f t="shared" si="222"/>
        <v>224.5</v>
      </c>
      <c r="BI194" s="15">
        <f t="shared" si="237"/>
        <v>1.044750624689107</v>
      </c>
      <c r="BJ194" s="28">
        <f t="shared" si="238"/>
        <v>577.17857974096046</v>
      </c>
      <c r="BK194" s="28">
        <f t="shared" si="239"/>
        <v>552.45583596823894</v>
      </c>
      <c r="BL194" s="33">
        <v>4</v>
      </c>
      <c r="BM194" s="8">
        <v>21</v>
      </c>
      <c r="BN194" s="9">
        <v>22</v>
      </c>
      <c r="BO194" s="10">
        <v>25</v>
      </c>
      <c r="BP194" s="31">
        <v>2.5</v>
      </c>
      <c r="BV194" s="11">
        <v>6</v>
      </c>
      <c r="BW194" s="1">
        <v>4</v>
      </c>
      <c r="BX194" s="35">
        <f t="shared" si="204"/>
        <v>608</v>
      </c>
      <c r="BY194" s="35">
        <f t="shared" si="223"/>
        <v>224</v>
      </c>
      <c r="BZ194" s="15">
        <f t="shared" si="240"/>
        <v>0.76009180880906857</v>
      </c>
      <c r="CA194" s="28">
        <f t="shared" si="241"/>
        <v>380.53194816829921</v>
      </c>
      <c r="CB194" s="28">
        <f t="shared" si="242"/>
        <v>500.63945402138523</v>
      </c>
      <c r="CC194" s="33">
        <v>12</v>
      </c>
      <c r="CD194" s="8">
        <v>13</v>
      </c>
      <c r="CE194" s="9">
        <v>18</v>
      </c>
      <c r="CF194" s="10">
        <v>28</v>
      </c>
      <c r="CG194" s="31">
        <v>4</v>
      </c>
      <c r="CM194" s="11">
        <v>7.5</v>
      </c>
      <c r="CN194" s="1">
        <v>4</v>
      </c>
      <c r="CO194" s="35">
        <f t="shared" si="205"/>
        <v>710</v>
      </c>
      <c r="CP194" s="35">
        <f t="shared" si="224"/>
        <v>177</v>
      </c>
      <c r="CQ194" s="15">
        <f t="shared" si="243"/>
        <v>0.88237789007003598</v>
      </c>
      <c r="CR194" s="28">
        <f t="shared" si="244"/>
        <v>507.486358394847</v>
      </c>
      <c r="CS194" s="28">
        <f t="shared" si="245"/>
        <v>575.13494400292245</v>
      </c>
      <c r="CT194" s="33">
        <v>27</v>
      </c>
      <c r="CU194" s="8">
        <v>14</v>
      </c>
      <c r="CV194" s="9">
        <v>15</v>
      </c>
      <c r="CW194" s="10">
        <v>18</v>
      </c>
      <c r="CX194" s="31">
        <v>1</v>
      </c>
      <c r="DD194" s="11">
        <v>5</v>
      </c>
      <c r="DE194" s="1">
        <v>2</v>
      </c>
      <c r="DF194" s="35">
        <f t="shared" si="206"/>
        <v>440</v>
      </c>
      <c r="DG194" s="35">
        <f t="shared" si="225"/>
        <v>182</v>
      </c>
      <c r="DH194" s="15">
        <f t="shared" si="246"/>
        <v>0.71479125364429652</v>
      </c>
      <c r="DI194" s="28">
        <f t="shared" si="247"/>
        <v>253.13944970395494</v>
      </c>
      <c r="DJ194" s="28">
        <f t="shared" si="248"/>
        <v>354.14458195081022</v>
      </c>
      <c r="DK194" s="33">
        <v>19</v>
      </c>
      <c r="DL194" s="8">
        <v>20</v>
      </c>
      <c r="DM194" s="9">
        <v>21</v>
      </c>
      <c r="DN194" s="10">
        <v>15</v>
      </c>
      <c r="DO194" s="31">
        <v>0</v>
      </c>
      <c r="DU194" s="11">
        <v>4.3</v>
      </c>
      <c r="DV194" s="1">
        <v>2</v>
      </c>
      <c r="DW194" s="35">
        <f t="shared" si="207"/>
        <v>392.4</v>
      </c>
      <c r="DX194" s="35">
        <f t="shared" si="226"/>
        <v>171</v>
      </c>
      <c r="DY194" s="15">
        <f t="shared" si="249"/>
        <v>0.70812367190171843</v>
      </c>
      <c r="DZ194" s="28">
        <f t="shared" si="250"/>
        <v>231.87999328330505</v>
      </c>
      <c r="EA194" s="28">
        <f t="shared" si="251"/>
        <v>327.45691534442591</v>
      </c>
      <c r="EB194" s="33">
        <v>25</v>
      </c>
      <c r="EC194" s="8">
        <v>17</v>
      </c>
      <c r="ED194" s="9">
        <v>20</v>
      </c>
      <c r="EE194" s="10">
        <v>13</v>
      </c>
      <c r="EF194" s="31">
        <v>0</v>
      </c>
      <c r="EL194" s="11">
        <v>6</v>
      </c>
      <c r="EM194" s="1">
        <v>4</v>
      </c>
      <c r="EN194" s="35">
        <f t="shared" si="208"/>
        <v>608</v>
      </c>
      <c r="EO194" s="35">
        <f t="shared" si="227"/>
        <v>219</v>
      </c>
      <c r="EP194" s="15">
        <f t="shared" si="252"/>
        <v>0.88542245449958135</v>
      </c>
      <c r="EQ194" s="28">
        <f t="shared" si="253"/>
        <v>539.09891266833961</v>
      </c>
      <c r="ER194" s="28">
        <f t="shared" si="254"/>
        <v>608.86067427895182</v>
      </c>
      <c r="ES194" s="33">
        <v>13</v>
      </c>
      <c r="ET194" s="8">
        <v>14</v>
      </c>
      <c r="EU194" s="9">
        <v>17</v>
      </c>
      <c r="EV194" s="10">
        <v>28</v>
      </c>
      <c r="EW194" s="31">
        <v>3</v>
      </c>
      <c r="FC194" s="11">
        <v>8</v>
      </c>
      <c r="FD194" s="1">
        <v>4</v>
      </c>
      <c r="FE194" s="35">
        <f t="shared" si="209"/>
        <v>744</v>
      </c>
      <c r="FF194" s="35">
        <f t="shared" si="228"/>
        <v>189</v>
      </c>
      <c r="FG194" s="15">
        <f t="shared" si="255"/>
        <v>0.97702090800622376</v>
      </c>
      <c r="FH194" s="28">
        <f t="shared" si="256"/>
        <v>564.94704161539653</v>
      </c>
      <c r="FI194" s="28">
        <f t="shared" si="257"/>
        <v>578.23434174839349</v>
      </c>
      <c r="FJ194" s="33">
        <v>17</v>
      </c>
      <c r="FK194" s="8">
        <v>20</v>
      </c>
      <c r="FL194" s="9">
        <v>16</v>
      </c>
      <c r="FM194" s="10">
        <v>21</v>
      </c>
      <c r="FN194" s="31">
        <v>0</v>
      </c>
      <c r="FT194" s="11">
        <v>7</v>
      </c>
      <c r="FU194" s="1">
        <v>4</v>
      </c>
      <c r="FV194" s="35">
        <f t="shared" si="210"/>
        <v>676</v>
      </c>
      <c r="FW194" s="35">
        <f t="shared" si="229"/>
        <v>208</v>
      </c>
      <c r="FX194" s="15">
        <f t="shared" si="258"/>
        <v>0.91489335268822536</v>
      </c>
      <c r="FY194" s="28">
        <f t="shared" si="259"/>
        <v>587.56468065658271</v>
      </c>
      <c r="FZ194" s="28">
        <f t="shared" si="260"/>
        <v>642.22204580473249</v>
      </c>
      <c r="GA194" s="33">
        <v>18</v>
      </c>
      <c r="GB194" s="8">
        <v>15.5</v>
      </c>
      <c r="GC194" s="9">
        <v>12</v>
      </c>
      <c r="GD194" s="10">
        <v>22</v>
      </c>
      <c r="GE194" s="31">
        <v>7</v>
      </c>
      <c r="GK194" s="11">
        <v>8.75</v>
      </c>
      <c r="GL194" s="1">
        <v>4</v>
      </c>
      <c r="GM194" s="35">
        <f t="shared" si="211"/>
        <v>795</v>
      </c>
      <c r="GN194" s="35">
        <f t="shared" si="230"/>
        <v>270</v>
      </c>
      <c r="GO194" s="15">
        <f t="shared" si="261"/>
        <v>0.91533005801080436</v>
      </c>
      <c r="GP194" s="28">
        <f t="shared" si="262"/>
        <v>574.1578823190024</v>
      </c>
      <c r="GQ194" s="28">
        <f t="shared" si="263"/>
        <v>627.26868553487964</v>
      </c>
      <c r="GR194" s="33">
        <v>3.5</v>
      </c>
      <c r="GS194" s="8">
        <v>11</v>
      </c>
      <c r="GT194" s="9">
        <v>14.5</v>
      </c>
      <c r="GU194" s="10">
        <v>29</v>
      </c>
      <c r="GV194" s="31">
        <v>17</v>
      </c>
      <c r="HB194" s="11">
        <v>6.4</v>
      </c>
      <c r="HD194" s="35">
        <f t="shared" si="212"/>
        <v>435.20000000000005</v>
      </c>
      <c r="HE194" s="35">
        <f t="shared" si="231"/>
        <v>171.6</v>
      </c>
      <c r="HF194" s="15">
        <f t="shared" si="264"/>
        <v>0.90766970698571581</v>
      </c>
      <c r="HG194" s="28">
        <f t="shared" si="265"/>
        <v>231.89404729766045</v>
      </c>
      <c r="HH194" s="28">
        <f t="shared" si="266"/>
        <v>255.48285407448307</v>
      </c>
      <c r="HI194" s="33">
        <v>23</v>
      </c>
      <c r="HJ194" s="8">
        <v>19</v>
      </c>
      <c r="HK194" s="9">
        <v>19</v>
      </c>
      <c r="HL194" s="10">
        <v>13.4</v>
      </c>
      <c r="HM194" s="31">
        <v>0</v>
      </c>
      <c r="HU194" s="35">
        <f t="shared" si="213"/>
        <v>0</v>
      </c>
      <c r="HV194" s="35">
        <f t="shared" si="232"/>
        <v>0</v>
      </c>
      <c r="HW194" s="15">
        <f t="shared" si="267"/>
        <v>9.1700847789155824E-9</v>
      </c>
      <c r="HX194" s="28">
        <f t="shared" si="268"/>
        <v>6.4099239772055681E-10</v>
      </c>
      <c r="HY194" s="28">
        <f t="shared" si="269"/>
        <v>6.9900378586942355E-2</v>
      </c>
      <c r="HZ194" s="33"/>
      <c r="ID194" s="31"/>
      <c r="II194" s="12"/>
      <c r="IL194" s="35">
        <f t="shared" si="214"/>
        <v>0</v>
      </c>
      <c r="IM194" s="35">
        <f t="shared" si="215"/>
        <v>5307.6053382065502</v>
      </c>
      <c r="IN194" s="15">
        <f t="shared" si="270"/>
        <v>0.90368411605807575</v>
      </c>
      <c r="IO194" s="28">
        <f t="shared" si="271"/>
        <v>47.410737254889256</v>
      </c>
      <c r="IP194" s="28">
        <f t="shared" si="272"/>
        <v>52.463838206759384</v>
      </c>
      <c r="IQ194" s="33"/>
      <c r="IU194" s="31"/>
      <c r="JC194" s="35">
        <f t="shared" si="369"/>
        <v>0</v>
      </c>
      <c r="JD194" s="35">
        <f t="shared" si="216"/>
        <v>6149.2672872642106</v>
      </c>
      <c r="JE194" s="15">
        <f t="shared" si="273"/>
        <v>1.0912717089024861</v>
      </c>
      <c r="JF194" s="28">
        <f t="shared" si="274"/>
        <v>60.512867096735775</v>
      </c>
      <c r="JG194" s="28">
        <f t="shared" si="275"/>
        <v>55.451696037822501</v>
      </c>
      <c r="JH194" s="33"/>
      <c r="JL194" s="31"/>
      <c r="JR194" s="99"/>
      <c r="JS194" s="99"/>
      <c r="JT194" s="99"/>
      <c r="JU194" s="99"/>
      <c r="JV194" s="99"/>
      <c r="JW194" s="99"/>
      <c r="JX194" s="99"/>
      <c r="JY194" s="99"/>
      <c r="JZ194" s="99"/>
      <c r="KA194" s="99"/>
      <c r="KB194" s="99"/>
      <c r="KC194" s="99"/>
      <c r="KD194" s="99"/>
      <c r="KE194" s="99"/>
      <c r="KF194" s="99"/>
      <c r="KG194" s="99"/>
      <c r="KH194" s="99"/>
      <c r="KI194" s="99"/>
      <c r="KJ194" s="99"/>
      <c r="KK194" s="99"/>
      <c r="KL194" s="99"/>
      <c r="KM194" s="99"/>
      <c r="KN194" s="99"/>
      <c r="KO194" s="99"/>
      <c r="KP194" s="99"/>
      <c r="KQ194" s="99"/>
      <c r="KR194" s="99"/>
      <c r="KS194" s="99"/>
      <c r="KT194" s="99"/>
      <c r="KU194" s="99"/>
      <c r="KV194" s="99"/>
      <c r="KW194" s="99"/>
      <c r="KX194" s="99"/>
      <c r="KY194" s="99"/>
      <c r="KZ194" s="99"/>
      <c r="LA194" s="99"/>
      <c r="LB194" s="99"/>
      <c r="LC194" s="99"/>
      <c r="LD194" s="99"/>
      <c r="LE194" s="99"/>
      <c r="LF194" s="99"/>
      <c r="LG194" s="99"/>
      <c r="LH194" s="99"/>
      <c r="LI194" s="99"/>
      <c r="LJ194" s="99"/>
      <c r="LK194" s="99"/>
      <c r="LL194" s="99"/>
      <c r="LM194" s="99"/>
      <c r="LN194" s="99"/>
      <c r="LO194" s="99"/>
      <c r="LP194" s="99"/>
      <c r="LQ194" s="99"/>
      <c r="LR194" s="99"/>
      <c r="LS194" s="99"/>
      <c r="LT194" s="99"/>
      <c r="LU194" s="99"/>
      <c r="LV194" s="99"/>
      <c r="LW194" s="99"/>
      <c r="LX194" s="99"/>
      <c r="LY194" s="99"/>
      <c r="LZ194" s="99"/>
      <c r="MA194" s="99"/>
      <c r="MB194" s="99"/>
      <c r="MC194" s="99"/>
      <c r="MD194" s="99"/>
      <c r="ME194" s="99"/>
      <c r="MF194" s="99"/>
    </row>
    <row r="195" spans="1:344" ht="17.25" customHeight="1" x14ac:dyDescent="0.25">
      <c r="A195" s="156"/>
      <c r="B195" s="81" t="s">
        <v>3</v>
      </c>
      <c r="C195" s="82">
        <v>45329</v>
      </c>
      <c r="D195" s="49">
        <v>12</v>
      </c>
      <c r="E195" s="39">
        <v>10</v>
      </c>
      <c r="F195" s="103">
        <v>90</v>
      </c>
      <c r="G195" s="89">
        <f t="shared" si="194"/>
        <v>6.3545454545454554</v>
      </c>
      <c r="H195" s="35">
        <f t="shared" si="195"/>
        <v>571.90909090909099</v>
      </c>
      <c r="I195" s="39"/>
      <c r="L195" s="89">
        <f t="shared" si="196"/>
        <v>0</v>
      </c>
      <c r="M195" s="35">
        <f t="shared" si="217"/>
        <v>0</v>
      </c>
      <c r="N195" s="35">
        <f t="shared" si="218"/>
        <v>571.90909090909099</v>
      </c>
      <c r="O195" s="97">
        <f t="shared" ref="O195:O199" si="371">SUM($Z195,$BH195,$AQ195,$BY195,$CP195,$DG195,$DX195,$EO195,$FF195,$FW195,$GN195)/E195</f>
        <v>209.85</v>
      </c>
      <c r="P195" s="150"/>
      <c r="Q195" s="132">
        <f t="shared" si="355"/>
        <v>28.7</v>
      </c>
      <c r="R195" s="134">
        <f t="shared" si="356"/>
        <v>23.5</v>
      </c>
      <c r="S195" s="136">
        <f t="shared" si="357"/>
        <v>23.85</v>
      </c>
      <c r="T195" s="138">
        <f t="shared" si="358"/>
        <v>14.35</v>
      </c>
      <c r="U195" s="144">
        <f t="shared" si="359"/>
        <v>1.0399999999999998</v>
      </c>
      <c r="W195" s="11">
        <v>0</v>
      </c>
      <c r="X195" s="1">
        <v>0</v>
      </c>
      <c r="Y195" s="35">
        <f t="shared" si="201"/>
        <v>0</v>
      </c>
      <c r="Z195" s="35">
        <f t="shared" si="220"/>
        <v>0</v>
      </c>
      <c r="AA195" s="15">
        <f t="shared" si="233"/>
        <v>6.487462273708694E-3</v>
      </c>
      <c r="AB195" s="43">
        <f t="shared" si="298"/>
        <v>0.66490435127646252</v>
      </c>
      <c r="AC195" s="43">
        <f t="shared" si="299"/>
        <v>102.49066942108875</v>
      </c>
      <c r="AD195" s="33"/>
      <c r="AH195" s="31"/>
      <c r="AN195" s="11">
        <v>5.5</v>
      </c>
      <c r="AP195" s="35">
        <f t="shared" si="202"/>
        <v>495</v>
      </c>
      <c r="AQ195" s="35">
        <f t="shared" si="221"/>
        <v>160</v>
      </c>
      <c r="AR195" s="15">
        <f t="shared" si="234"/>
        <v>0.8316239157330767</v>
      </c>
      <c r="AS195" s="28">
        <f t="shared" si="235"/>
        <v>473.13673078712407</v>
      </c>
      <c r="AT195" s="28">
        <f t="shared" si="236"/>
        <v>568.93112600069219</v>
      </c>
      <c r="AU195" s="33">
        <v>49</v>
      </c>
      <c r="AV195" s="8">
        <v>23</v>
      </c>
      <c r="AW195" s="9">
        <v>15</v>
      </c>
      <c r="AX195" s="10">
        <v>5</v>
      </c>
      <c r="AY195" s="31">
        <v>0</v>
      </c>
      <c r="BE195" s="11">
        <v>8.5</v>
      </c>
      <c r="BG195" s="35">
        <f t="shared" si="203"/>
        <v>765</v>
      </c>
      <c r="BH195" s="35">
        <f t="shared" si="222"/>
        <v>241</v>
      </c>
      <c r="BI195" s="15">
        <f t="shared" si="237"/>
        <v>1.1005439385753002</v>
      </c>
      <c r="BJ195" s="28">
        <f t="shared" si="238"/>
        <v>624.1339348057204</v>
      </c>
      <c r="BK195" s="28">
        <f t="shared" si="239"/>
        <v>567.1140541773259</v>
      </c>
      <c r="BL195" s="33">
        <v>12</v>
      </c>
      <c r="BM195" s="8">
        <v>32</v>
      </c>
      <c r="BN195" s="9">
        <v>24</v>
      </c>
      <c r="BO195" s="10">
        <v>22</v>
      </c>
      <c r="BP195" s="31">
        <v>1</v>
      </c>
      <c r="BV195" s="11">
        <v>7</v>
      </c>
      <c r="BX195" s="35">
        <f t="shared" si="204"/>
        <v>630</v>
      </c>
      <c r="BY195" s="35">
        <f t="shared" si="223"/>
        <v>217</v>
      </c>
      <c r="BZ195" s="15">
        <f t="shared" si="240"/>
        <v>0.86917772997308984</v>
      </c>
      <c r="CA195" s="28">
        <f t="shared" si="241"/>
        <v>442.89896112622444</v>
      </c>
      <c r="CB195" s="28">
        <f t="shared" si="242"/>
        <v>509.56087098542758</v>
      </c>
      <c r="CC195" s="33">
        <v>28</v>
      </c>
      <c r="CD195" s="8">
        <v>17</v>
      </c>
      <c r="CE195" s="9">
        <v>30</v>
      </c>
      <c r="CF195" s="10">
        <v>16</v>
      </c>
      <c r="CG195" s="31">
        <v>0.2</v>
      </c>
      <c r="CM195" s="11">
        <v>7.5</v>
      </c>
      <c r="CO195" s="35">
        <f t="shared" si="205"/>
        <v>675</v>
      </c>
      <c r="CP195" s="35">
        <f t="shared" si="224"/>
        <v>194</v>
      </c>
      <c r="CQ195" s="15">
        <f t="shared" si="243"/>
        <v>0.94388973298358481</v>
      </c>
      <c r="CR195" s="28">
        <f t="shared" si="244"/>
        <v>549.36476879613519</v>
      </c>
      <c r="CS195" s="28">
        <f t="shared" si="245"/>
        <v>582.02218924410022</v>
      </c>
      <c r="CT195" s="33">
        <v>32</v>
      </c>
      <c r="CU195" s="8">
        <v>24</v>
      </c>
      <c r="CV195" s="9">
        <v>30</v>
      </c>
      <c r="CW195" s="10">
        <v>6</v>
      </c>
      <c r="CX195" s="31">
        <v>0</v>
      </c>
      <c r="DD195" s="11">
        <v>4.5999999999999996</v>
      </c>
      <c r="DF195" s="35">
        <f t="shared" si="206"/>
        <v>413.99999999999994</v>
      </c>
      <c r="DG195" s="35">
        <f t="shared" si="225"/>
        <v>187</v>
      </c>
      <c r="DH195" s="15">
        <f t="shared" si="246"/>
        <v>0.81880287501464044</v>
      </c>
      <c r="DI195" s="28">
        <f t="shared" si="247"/>
        <v>293.35458727796617</v>
      </c>
      <c r="DJ195" s="28">
        <f t="shared" si="248"/>
        <v>358.2725418162716</v>
      </c>
      <c r="DK195" s="33">
        <v>36</v>
      </c>
      <c r="DL195" s="8">
        <v>25</v>
      </c>
      <c r="DM195" s="9">
        <v>23</v>
      </c>
      <c r="DN195" s="10">
        <v>8</v>
      </c>
      <c r="DO195" s="31">
        <v>0</v>
      </c>
      <c r="DU195" s="11">
        <v>4.3</v>
      </c>
      <c r="DW195" s="35">
        <f t="shared" si="207"/>
        <v>387</v>
      </c>
      <c r="DX195" s="35">
        <f t="shared" si="226"/>
        <v>171.5</v>
      </c>
      <c r="DY195" s="15">
        <f t="shared" si="249"/>
        <v>0.81631461145182727</v>
      </c>
      <c r="DZ195" s="28">
        <f t="shared" si="250"/>
        <v>270.65999496247878</v>
      </c>
      <c r="EA195" s="28">
        <f t="shared" si="251"/>
        <v>331.56333497584478</v>
      </c>
      <c r="EB195" s="33">
        <v>39</v>
      </c>
      <c r="EC195" s="8">
        <v>26</v>
      </c>
      <c r="ED195" s="9">
        <v>23.5</v>
      </c>
      <c r="EE195" s="10">
        <v>2.5</v>
      </c>
      <c r="EF195" s="31">
        <v>0</v>
      </c>
      <c r="EL195" s="11">
        <v>7</v>
      </c>
      <c r="EN195" s="35">
        <f t="shared" si="208"/>
        <v>630</v>
      </c>
      <c r="EO195" s="35">
        <f t="shared" si="227"/>
        <v>223</v>
      </c>
      <c r="EP195" s="15">
        <f t="shared" si="252"/>
        <v>0.92054252060657726</v>
      </c>
      <c r="EQ195" s="28">
        <f t="shared" si="253"/>
        <v>561.82418450125465</v>
      </c>
      <c r="ER195" s="28">
        <f t="shared" si="254"/>
        <v>610.31855881143792</v>
      </c>
      <c r="ES195" s="33">
        <v>23</v>
      </c>
      <c r="ET195" s="8">
        <v>22</v>
      </c>
      <c r="EU195" s="9">
        <v>28</v>
      </c>
      <c r="EV195" s="10">
        <v>18</v>
      </c>
      <c r="EW195" s="31">
        <v>0</v>
      </c>
      <c r="FC195" s="11">
        <v>9</v>
      </c>
      <c r="FE195" s="35">
        <f t="shared" si="209"/>
        <v>810</v>
      </c>
      <c r="FF195" s="35">
        <f t="shared" si="228"/>
        <v>183</v>
      </c>
      <c r="FG195" s="15">
        <f t="shared" si="255"/>
        <v>1.0538389804055877</v>
      </c>
      <c r="FH195" s="28">
        <f t="shared" si="256"/>
        <v>626.21028121154745</v>
      </c>
      <c r="FI195" s="28">
        <f t="shared" si="257"/>
        <v>594.21818024850427</v>
      </c>
      <c r="FJ195" s="33">
        <v>37</v>
      </c>
      <c r="FK195" s="8">
        <v>26</v>
      </c>
      <c r="FL195" s="9">
        <v>22</v>
      </c>
      <c r="FM195" s="10">
        <v>7</v>
      </c>
      <c r="FN195" s="31">
        <v>0</v>
      </c>
      <c r="FT195" s="11">
        <v>8</v>
      </c>
      <c r="FV195" s="35">
        <f t="shared" si="210"/>
        <v>720</v>
      </c>
      <c r="FW195" s="35">
        <f t="shared" si="229"/>
        <v>231.5</v>
      </c>
      <c r="FX195" s="15">
        <f t="shared" si="258"/>
        <v>0.95844176621936705</v>
      </c>
      <c r="FY195" s="28">
        <f t="shared" si="259"/>
        <v>620.673510492437</v>
      </c>
      <c r="FZ195" s="28">
        <f t="shared" si="260"/>
        <v>647.58604264578548</v>
      </c>
      <c r="GA195" s="33">
        <v>21</v>
      </c>
      <c r="GB195" s="8">
        <v>27</v>
      </c>
      <c r="GC195" s="9">
        <v>18</v>
      </c>
      <c r="GD195" s="10">
        <v>23</v>
      </c>
      <c r="GE195" s="31">
        <v>2.1</v>
      </c>
      <c r="GK195" s="11">
        <v>8.5</v>
      </c>
      <c r="GM195" s="35">
        <f t="shared" si="211"/>
        <v>765</v>
      </c>
      <c r="GN195" s="35">
        <f t="shared" si="230"/>
        <v>290.5</v>
      </c>
      <c r="GO195" s="15">
        <f t="shared" si="261"/>
        <v>0.97660215455264454</v>
      </c>
      <c r="GP195" s="28">
        <f t="shared" si="262"/>
        <v>621.86841173925177</v>
      </c>
      <c r="GQ195" s="28">
        <f t="shared" si="263"/>
        <v>636.76739687730174</v>
      </c>
      <c r="GR195" s="33">
        <v>10</v>
      </c>
      <c r="GS195" s="8">
        <v>13</v>
      </c>
      <c r="GT195" s="9">
        <v>25</v>
      </c>
      <c r="GU195" s="10">
        <v>36</v>
      </c>
      <c r="GV195" s="31">
        <v>7.1</v>
      </c>
      <c r="HB195" s="11">
        <v>7</v>
      </c>
      <c r="HD195" s="35">
        <f t="shared" si="212"/>
        <v>630</v>
      </c>
      <c r="HE195" s="35">
        <f t="shared" si="231"/>
        <v>187</v>
      </c>
      <c r="HF195" s="15">
        <f t="shared" si="264"/>
        <v>1.1781259950185987</v>
      </c>
      <c r="HG195" s="28">
        <f t="shared" si="265"/>
        <v>331.42053547324531</v>
      </c>
      <c r="HH195" s="28">
        <f t="shared" si="266"/>
        <v>281.31162275900147</v>
      </c>
      <c r="HI195" s="33">
        <v>42</v>
      </c>
      <c r="HJ195" s="8">
        <v>14</v>
      </c>
      <c r="HK195" s="9">
        <v>25</v>
      </c>
      <c r="HL195" s="10">
        <v>10.5</v>
      </c>
      <c r="HM195" s="31">
        <v>0</v>
      </c>
      <c r="HU195" s="35">
        <f t="shared" si="213"/>
        <v>0</v>
      </c>
      <c r="HV195" s="35">
        <f t="shared" si="232"/>
        <v>0</v>
      </c>
      <c r="HW195" s="15">
        <f t="shared" si="267"/>
        <v>7.387012738570887E-9</v>
      </c>
      <c r="HX195" s="28">
        <f t="shared" si="268"/>
        <v>4.8074429829041761E-10</v>
      </c>
      <c r="HY195" s="28">
        <f t="shared" si="269"/>
        <v>6.5079662822325635E-2</v>
      </c>
      <c r="HZ195" s="33"/>
      <c r="ID195" s="31"/>
      <c r="II195" s="12"/>
      <c r="IL195" s="35">
        <f t="shared" si="214"/>
        <v>0</v>
      </c>
      <c r="IM195" s="35">
        <f t="shared" si="215"/>
        <v>5603.0077326219543</v>
      </c>
      <c r="IN195" s="15">
        <f t="shared" si="270"/>
        <v>0.72796776015789433</v>
      </c>
      <c r="IO195" s="28">
        <f t="shared" si="271"/>
        <v>35.558052941166942</v>
      </c>
      <c r="IP195" s="28">
        <f t="shared" si="272"/>
        <v>48.845642468362186</v>
      </c>
      <c r="IQ195" s="33"/>
      <c r="IU195" s="31"/>
      <c r="JC195" s="35">
        <f t="shared" si="369"/>
        <v>0</v>
      </c>
      <c r="JD195" s="35">
        <f t="shared" si="216"/>
        <v>6367.4016906039924</v>
      </c>
      <c r="JE195" s="15">
        <f t="shared" si="273"/>
        <v>0.87907998772700269</v>
      </c>
      <c r="JF195" s="28">
        <f t="shared" si="274"/>
        <v>45.384650322551835</v>
      </c>
      <c r="JG195" s="28">
        <f t="shared" si="275"/>
        <v>51.627441138662327</v>
      </c>
      <c r="JH195" s="33"/>
      <c r="JL195" s="31"/>
      <c r="JR195" s="99"/>
      <c r="JS195" s="99"/>
      <c r="JT195" s="99"/>
      <c r="JU195" s="99"/>
      <c r="JV195" s="99"/>
      <c r="JW195" s="99"/>
      <c r="JX195" s="99"/>
      <c r="JY195" s="99"/>
      <c r="JZ195" s="99"/>
      <c r="KA195" s="99"/>
      <c r="KB195" s="99"/>
      <c r="KC195" s="99"/>
      <c r="KD195" s="99"/>
      <c r="KE195" s="99"/>
      <c r="KF195" s="99"/>
      <c r="KG195" s="99"/>
      <c r="KH195" s="99"/>
      <c r="KI195" s="99"/>
      <c r="KJ195" s="99"/>
      <c r="KK195" s="99"/>
      <c r="KL195" s="99"/>
      <c r="KM195" s="99"/>
      <c r="KN195" s="99"/>
      <c r="KO195" s="99"/>
      <c r="KP195" s="99"/>
      <c r="KQ195" s="99"/>
      <c r="KR195" s="99"/>
      <c r="KS195" s="99"/>
      <c r="KT195" s="99"/>
      <c r="KU195" s="99"/>
      <c r="KV195" s="99"/>
      <c r="KW195" s="99"/>
      <c r="KX195" s="99"/>
      <c r="KY195" s="99"/>
      <c r="KZ195" s="99"/>
      <c r="LA195" s="99"/>
      <c r="LB195" s="99"/>
      <c r="LC195" s="99"/>
      <c r="LD195" s="99"/>
      <c r="LE195" s="99"/>
      <c r="LF195" s="99"/>
      <c r="LG195" s="99"/>
      <c r="LH195" s="99"/>
      <c r="LI195" s="99"/>
      <c r="LJ195" s="99"/>
      <c r="LK195" s="99"/>
      <c r="LL195" s="99"/>
      <c r="LM195" s="99"/>
      <c r="LN195" s="99"/>
      <c r="LO195" s="99"/>
      <c r="LP195" s="99"/>
      <c r="LQ195" s="99"/>
      <c r="LR195" s="99"/>
      <c r="LS195" s="99"/>
      <c r="LT195" s="99"/>
      <c r="LU195" s="99"/>
      <c r="LV195" s="99"/>
      <c r="LW195" s="99"/>
      <c r="LX195" s="99"/>
      <c r="LY195" s="99"/>
      <c r="LZ195" s="99"/>
      <c r="MA195" s="99"/>
      <c r="MB195" s="99"/>
      <c r="MC195" s="99"/>
      <c r="MD195" s="99"/>
      <c r="ME195" s="99"/>
      <c r="MF195" s="99"/>
    </row>
    <row r="196" spans="1:344" ht="17.25" customHeight="1" x14ac:dyDescent="0.25">
      <c r="A196" s="156"/>
      <c r="B196" s="81" t="s">
        <v>4</v>
      </c>
      <c r="C196" s="82">
        <v>45330</v>
      </c>
      <c r="D196" s="49">
        <v>12</v>
      </c>
      <c r="E196" s="39">
        <v>10</v>
      </c>
      <c r="F196" s="103">
        <v>59</v>
      </c>
      <c r="G196" s="89">
        <f t="shared" si="194"/>
        <v>5.9727272727272718</v>
      </c>
      <c r="H196" s="35">
        <f t="shared" si="195"/>
        <v>352.39090909090902</v>
      </c>
      <c r="I196" s="39"/>
      <c r="L196" s="89">
        <f t="shared" si="196"/>
        <v>0</v>
      </c>
      <c r="M196" s="35">
        <f t="shared" si="217"/>
        <v>0</v>
      </c>
      <c r="N196" s="35">
        <f t="shared" si="218"/>
        <v>352.39090909090902</v>
      </c>
      <c r="O196" s="97">
        <f>SUM($Z196,$BH196,$AQ196,$BY196,$CP196,$DG196,$DX196,$EO196,$FF196,$FW196,$GN196)/E196</f>
        <v>0</v>
      </c>
      <c r="P196" s="150"/>
      <c r="Q196" s="132">
        <f t="shared" si="355"/>
        <v>0</v>
      </c>
      <c r="R196" s="134">
        <f t="shared" si="356"/>
        <v>0</v>
      </c>
      <c r="S196" s="136">
        <f t="shared" si="357"/>
        <v>0</v>
      </c>
      <c r="T196" s="138">
        <f t="shared" si="358"/>
        <v>0</v>
      </c>
      <c r="U196" s="144">
        <f t="shared" si="359"/>
        <v>0</v>
      </c>
      <c r="W196" s="11">
        <v>0</v>
      </c>
      <c r="X196" s="1">
        <v>0</v>
      </c>
      <c r="Y196" s="35">
        <f t="shared" si="201"/>
        <v>0</v>
      </c>
      <c r="Z196" s="35">
        <f t="shared" si="220"/>
        <v>0</v>
      </c>
      <c r="AA196" s="15">
        <f t="shared" si="233"/>
        <v>5.2260112760431146E-3</v>
      </c>
      <c r="AB196" s="43">
        <f t="shared" si="298"/>
        <v>0.49867826345734689</v>
      </c>
      <c r="AC196" s="43">
        <f t="shared" si="299"/>
        <v>95.422347392048152</v>
      </c>
      <c r="AD196" s="33"/>
      <c r="AH196" s="31"/>
      <c r="AN196" s="11">
        <v>5</v>
      </c>
      <c r="AP196" s="35">
        <f t="shared" si="202"/>
        <v>295</v>
      </c>
      <c r="AQ196" s="35">
        <f t="shared" si="221"/>
        <v>0</v>
      </c>
      <c r="AR196" s="15">
        <f t="shared" si="234"/>
        <v>0.77922164693923335</v>
      </c>
      <c r="AS196" s="28">
        <f t="shared" si="235"/>
        <v>428.60254809034302</v>
      </c>
      <c r="AT196" s="28">
        <f t="shared" si="236"/>
        <v>550.03932420754097</v>
      </c>
      <c r="AU196" s="33"/>
      <c r="AY196" s="31"/>
      <c r="BE196" s="11">
        <v>8</v>
      </c>
      <c r="BG196" s="35">
        <f t="shared" si="203"/>
        <v>472</v>
      </c>
      <c r="BH196" s="35">
        <f t="shared" si="222"/>
        <v>0</v>
      </c>
      <c r="BI196" s="15">
        <f t="shared" si="237"/>
        <v>1.0455727114851081</v>
      </c>
      <c r="BJ196" s="28">
        <f t="shared" si="238"/>
        <v>586.1004511042903</v>
      </c>
      <c r="BK196" s="28">
        <f t="shared" si="239"/>
        <v>560.55446423406204</v>
      </c>
      <c r="BL196" s="33"/>
      <c r="BP196" s="31"/>
      <c r="BV196" s="11">
        <v>5</v>
      </c>
      <c r="BX196" s="35">
        <f t="shared" si="204"/>
        <v>295</v>
      </c>
      <c r="BY196" s="35">
        <f t="shared" si="223"/>
        <v>0</v>
      </c>
      <c r="BZ196" s="15">
        <f t="shared" si="240"/>
        <v>0.82044080412707698</v>
      </c>
      <c r="CA196" s="28">
        <f t="shared" si="241"/>
        <v>405.9242208446683</v>
      </c>
      <c r="CB196" s="28">
        <f t="shared" si="242"/>
        <v>494.76356953815673</v>
      </c>
      <c r="CC196" s="33"/>
      <c r="CG196" s="31"/>
      <c r="CM196" s="11">
        <v>8</v>
      </c>
      <c r="CO196" s="35">
        <f t="shared" si="205"/>
        <v>472</v>
      </c>
      <c r="CP196" s="35">
        <f t="shared" si="224"/>
        <v>0</v>
      </c>
      <c r="CQ196" s="15">
        <f t="shared" si="243"/>
        <v>0.92268765339738046</v>
      </c>
      <c r="CR196" s="28">
        <f t="shared" si="244"/>
        <v>530.0235765971014</v>
      </c>
      <c r="CS196" s="28">
        <f t="shared" si="245"/>
        <v>574.43445205485193</v>
      </c>
      <c r="CT196" s="33"/>
      <c r="CX196" s="31"/>
      <c r="DD196" s="11">
        <v>4.4000000000000004</v>
      </c>
      <c r="DF196" s="35">
        <f t="shared" si="206"/>
        <v>259.60000000000002</v>
      </c>
      <c r="DG196" s="35">
        <f t="shared" si="225"/>
        <v>0</v>
      </c>
      <c r="DH196" s="15">
        <f t="shared" si="246"/>
        <v>0.81064652890542432</v>
      </c>
      <c r="DI196" s="28">
        <f t="shared" si="247"/>
        <v>284.91594045847467</v>
      </c>
      <c r="DJ196" s="28">
        <f t="shared" si="248"/>
        <v>351.46753893239077</v>
      </c>
      <c r="DK196" s="33"/>
      <c r="DO196" s="31"/>
      <c r="DU196" s="11">
        <v>4.3</v>
      </c>
      <c r="DW196" s="35">
        <f t="shared" si="207"/>
        <v>253.7</v>
      </c>
      <c r="DX196" s="35">
        <f t="shared" si="226"/>
        <v>0</v>
      </c>
      <c r="DY196" s="15">
        <f t="shared" si="249"/>
        <v>0.81675458652234467</v>
      </c>
      <c r="DZ196" s="28">
        <f t="shared" si="250"/>
        <v>266.41999622185909</v>
      </c>
      <c r="EA196" s="28">
        <f t="shared" si="251"/>
        <v>326.19344980509686</v>
      </c>
      <c r="EB196" s="33"/>
      <c r="EF196" s="31"/>
      <c r="EL196" s="11">
        <v>6.5</v>
      </c>
      <c r="EN196" s="35">
        <f t="shared" si="208"/>
        <v>383.5</v>
      </c>
      <c r="EO196" s="35">
        <f t="shared" si="227"/>
        <v>0</v>
      </c>
      <c r="EP196" s="15">
        <f t="shared" si="252"/>
        <v>0.8697899792787781</v>
      </c>
      <c r="EQ196" s="28">
        <f t="shared" si="253"/>
        <v>517.24313837594104</v>
      </c>
      <c r="ER196" s="28">
        <f t="shared" si="254"/>
        <v>594.67589958306291</v>
      </c>
      <c r="ES196" s="33"/>
      <c r="EW196" s="31"/>
      <c r="FC196" s="11">
        <v>8.5</v>
      </c>
      <c r="FE196" s="35">
        <f t="shared" si="209"/>
        <v>501.5</v>
      </c>
      <c r="FF196" s="35">
        <f t="shared" si="228"/>
        <v>0</v>
      </c>
      <c r="FG196" s="15">
        <f t="shared" si="255"/>
        <v>1.0122636879226936</v>
      </c>
      <c r="FH196" s="28">
        <f t="shared" si="256"/>
        <v>595.03271090866065</v>
      </c>
      <c r="FI196" s="28">
        <f t="shared" si="257"/>
        <v>587.82382298998675</v>
      </c>
      <c r="FJ196" s="33"/>
      <c r="FN196" s="31"/>
      <c r="FT196" s="11">
        <v>8</v>
      </c>
      <c r="FV196" s="35">
        <f t="shared" si="210"/>
        <v>472</v>
      </c>
      <c r="FW196" s="35">
        <f t="shared" si="229"/>
        <v>0</v>
      </c>
      <c r="FX196" s="15">
        <f t="shared" si="258"/>
        <v>0.918216465270695</v>
      </c>
      <c r="FY196" s="28">
        <f t="shared" si="259"/>
        <v>583.50513286932778</v>
      </c>
      <c r="FZ196" s="28">
        <f t="shared" si="260"/>
        <v>635.47666039435205</v>
      </c>
      <c r="GA196" s="33"/>
      <c r="GE196" s="31"/>
      <c r="GK196" s="11">
        <v>8</v>
      </c>
      <c r="GM196" s="35">
        <f t="shared" si="211"/>
        <v>472</v>
      </c>
      <c r="GN196" s="35">
        <f t="shared" si="230"/>
        <v>0</v>
      </c>
      <c r="GO196" s="15">
        <f t="shared" si="261"/>
        <v>0.93443788187728694</v>
      </c>
      <c r="GP196" s="28">
        <f t="shared" si="262"/>
        <v>584.40130880443883</v>
      </c>
      <c r="GQ196" s="28">
        <f t="shared" si="263"/>
        <v>625.40412812714294</v>
      </c>
      <c r="GR196" s="33"/>
      <c r="GV196" s="31"/>
      <c r="HB196" s="11">
        <v>6</v>
      </c>
      <c r="HD196" s="35">
        <f t="shared" si="212"/>
        <v>354</v>
      </c>
      <c r="HE196" s="35">
        <f t="shared" si="231"/>
        <v>0</v>
      </c>
      <c r="HF196" s="15">
        <f t="shared" si="264"/>
        <v>1.1772141994756029</v>
      </c>
      <c r="HG196" s="28">
        <f t="shared" si="265"/>
        <v>337.06540160493398</v>
      </c>
      <c r="HH196" s="28">
        <f t="shared" si="266"/>
        <v>286.32461429286343</v>
      </c>
      <c r="HI196" s="33"/>
      <c r="HM196" s="31"/>
      <c r="HU196" s="35">
        <f t="shared" si="213"/>
        <v>0</v>
      </c>
      <c r="HV196" s="35">
        <f t="shared" si="232"/>
        <v>0</v>
      </c>
      <c r="HW196" s="15">
        <f t="shared" si="267"/>
        <v>5.9506491505154357E-9</v>
      </c>
      <c r="HX196" s="28">
        <f t="shared" si="268"/>
        <v>3.6055822371781318E-10</v>
      </c>
      <c r="HY196" s="28">
        <f t="shared" si="269"/>
        <v>6.0591410213889384E-2</v>
      </c>
      <c r="HZ196" s="33"/>
      <c r="ID196" s="31"/>
      <c r="II196" s="12"/>
      <c r="IL196" s="35">
        <f t="shared" si="214"/>
        <v>0</v>
      </c>
      <c r="IM196" s="35">
        <f t="shared" si="215"/>
        <v>4394.9760534818379</v>
      </c>
      <c r="IN196" s="15">
        <f t="shared" si="270"/>
        <v>0.58641847346052589</v>
      </c>
      <c r="IO196" s="28">
        <f t="shared" si="271"/>
        <v>26.668539705875205</v>
      </c>
      <c r="IP196" s="28">
        <f t="shared" si="272"/>
        <v>45.476977470544107</v>
      </c>
      <c r="IQ196" s="33"/>
      <c r="IU196" s="31"/>
      <c r="JC196" s="35">
        <f t="shared" si="369"/>
        <v>0</v>
      </c>
      <c r="JD196" s="35">
        <f t="shared" si="216"/>
        <v>5467.0346296228581</v>
      </c>
      <c r="JE196" s="15">
        <f t="shared" si="273"/>
        <v>0.70814776789119671</v>
      </c>
      <c r="JF196" s="28">
        <f t="shared" si="274"/>
        <v>34.038487741913876</v>
      </c>
      <c r="JG196" s="28">
        <f t="shared" si="275"/>
        <v>48.06692795668561</v>
      </c>
      <c r="JH196" s="33"/>
      <c r="JL196" s="31"/>
      <c r="JR196" s="99"/>
      <c r="JS196" s="99"/>
      <c r="JT196" s="99"/>
      <c r="JU196" s="99"/>
      <c r="JV196" s="99"/>
      <c r="JW196" s="99"/>
      <c r="JX196" s="99"/>
      <c r="JY196" s="99"/>
      <c r="JZ196" s="99"/>
      <c r="KA196" s="99"/>
      <c r="KB196" s="99"/>
      <c r="KC196" s="99"/>
      <c r="KD196" s="99"/>
      <c r="KE196" s="99"/>
      <c r="KF196" s="99"/>
      <c r="KG196" s="99"/>
      <c r="KH196" s="99"/>
      <c r="KI196" s="99"/>
      <c r="KJ196" s="99"/>
      <c r="KK196" s="99"/>
      <c r="KL196" s="99"/>
      <c r="KM196" s="99"/>
      <c r="KN196" s="99"/>
      <c r="KO196" s="99"/>
      <c r="KP196" s="99"/>
      <c r="KQ196" s="99"/>
      <c r="KR196" s="99"/>
      <c r="KS196" s="99"/>
      <c r="KT196" s="99"/>
      <c r="KU196" s="99"/>
      <c r="KV196" s="99"/>
      <c r="KW196" s="99"/>
      <c r="KX196" s="99"/>
      <c r="KY196" s="99"/>
      <c r="KZ196" s="99"/>
      <c r="LA196" s="99"/>
      <c r="LB196" s="99"/>
      <c r="LC196" s="99"/>
      <c r="LD196" s="99"/>
      <c r="LE196" s="99"/>
      <c r="LF196" s="99"/>
      <c r="LG196" s="99"/>
      <c r="LH196" s="99"/>
      <c r="LI196" s="99"/>
      <c r="LJ196" s="99"/>
      <c r="LK196" s="99"/>
      <c r="LL196" s="99"/>
      <c r="LM196" s="99"/>
      <c r="LN196" s="99"/>
      <c r="LO196" s="99"/>
      <c r="LP196" s="99"/>
      <c r="LQ196" s="99"/>
      <c r="LR196" s="99"/>
      <c r="LS196" s="99"/>
      <c r="LT196" s="99"/>
      <c r="LU196" s="99"/>
      <c r="LV196" s="99"/>
      <c r="LW196" s="99"/>
      <c r="LX196" s="99"/>
      <c r="LY196" s="99"/>
      <c r="LZ196" s="99"/>
      <c r="MA196" s="99"/>
      <c r="MB196" s="99"/>
      <c r="MC196" s="99"/>
      <c r="MD196" s="99"/>
      <c r="ME196" s="99"/>
      <c r="MF196" s="99"/>
    </row>
    <row r="197" spans="1:344" ht="17.25" customHeight="1" x14ac:dyDescent="0.25">
      <c r="A197" s="156"/>
      <c r="B197" s="90" t="s">
        <v>5</v>
      </c>
      <c r="C197" s="91">
        <v>45331</v>
      </c>
      <c r="D197" s="49"/>
      <c r="G197" s="89">
        <f t="shared" si="194"/>
        <v>0</v>
      </c>
      <c r="H197" s="35">
        <f t="shared" si="195"/>
        <v>0</v>
      </c>
      <c r="I197" s="39">
        <v>10</v>
      </c>
      <c r="J197" s="39">
        <v>10</v>
      </c>
      <c r="K197" s="103">
        <v>100</v>
      </c>
      <c r="L197" s="89">
        <f t="shared" si="196"/>
        <v>7.0454545454545459</v>
      </c>
      <c r="M197" s="35">
        <f t="shared" si="217"/>
        <v>704.54545454545462</v>
      </c>
      <c r="N197" s="35">
        <f t="shared" si="218"/>
        <v>704.54545454545462</v>
      </c>
      <c r="O197" s="97" t="e">
        <f t="shared" si="371"/>
        <v>#DIV/0!</v>
      </c>
      <c r="P197" s="150"/>
      <c r="Q197" s="132">
        <f t="shared" si="355"/>
        <v>0</v>
      </c>
      <c r="R197" s="134">
        <f t="shared" si="356"/>
        <v>0</v>
      </c>
      <c r="S197" s="136">
        <f t="shared" si="357"/>
        <v>0</v>
      </c>
      <c r="T197" s="138">
        <f t="shared" si="358"/>
        <v>0</v>
      </c>
      <c r="U197" s="144">
        <f t="shared" si="359"/>
        <v>0</v>
      </c>
      <c r="W197" s="11">
        <v>0</v>
      </c>
      <c r="X197" s="1">
        <v>0</v>
      </c>
      <c r="Y197" s="35">
        <f t="shared" si="201"/>
        <v>0</v>
      </c>
      <c r="Z197" s="35">
        <f t="shared" si="220"/>
        <v>0</v>
      </c>
      <c r="AA197" s="15">
        <f t="shared" si="233"/>
        <v>4.2098424168125082E-3</v>
      </c>
      <c r="AB197" s="43">
        <f t="shared" si="298"/>
        <v>0.37400869759301014</v>
      </c>
      <c r="AC197" s="43">
        <f t="shared" si="299"/>
        <v>88.841495847768968</v>
      </c>
      <c r="AD197" s="33"/>
      <c r="AH197" s="31"/>
      <c r="AO197" s="1">
        <v>6</v>
      </c>
      <c r="AP197" s="35">
        <f t="shared" si="202"/>
        <v>600</v>
      </c>
      <c r="AQ197" s="35">
        <f t="shared" si="221"/>
        <v>0</v>
      </c>
      <c r="AR197" s="15">
        <f t="shared" si="234"/>
        <v>0.85178822627702189</v>
      </c>
      <c r="AS197" s="28">
        <f t="shared" si="235"/>
        <v>471.45191106775724</v>
      </c>
      <c r="AT197" s="28">
        <f t="shared" si="236"/>
        <v>553.48488805529678</v>
      </c>
      <c r="AU197" s="33"/>
      <c r="AY197" s="31"/>
      <c r="BF197" s="1">
        <v>5</v>
      </c>
      <c r="BG197" s="35">
        <f t="shared" si="203"/>
        <v>500</v>
      </c>
      <c r="BH197" s="35">
        <f t="shared" si="222"/>
        <v>0</v>
      </c>
      <c r="BI197" s="15">
        <f t="shared" si="237"/>
        <v>1.0147328609428208</v>
      </c>
      <c r="BJ197" s="28">
        <f t="shared" si="238"/>
        <v>564.57533832821775</v>
      </c>
      <c r="BK197" s="28">
        <f t="shared" si="239"/>
        <v>556.37829428688531</v>
      </c>
      <c r="BL197" s="33"/>
      <c r="BP197" s="31"/>
      <c r="BW197" s="1">
        <v>7</v>
      </c>
      <c r="BX197" s="35">
        <f t="shared" si="204"/>
        <v>700</v>
      </c>
      <c r="BY197" s="35">
        <f t="shared" si="223"/>
        <v>0</v>
      </c>
      <c r="BZ197" s="15">
        <f t="shared" si="240"/>
        <v>0.94208369183848006</v>
      </c>
      <c r="CA197" s="28">
        <f t="shared" si="241"/>
        <v>479.44316563350122</v>
      </c>
      <c r="CB197" s="28">
        <f t="shared" si="242"/>
        <v>508.9178061217321</v>
      </c>
      <c r="CC197" s="33"/>
      <c r="CG197" s="31"/>
      <c r="CN197" s="1">
        <v>8.5</v>
      </c>
      <c r="CO197" s="35">
        <f t="shared" si="205"/>
        <v>850</v>
      </c>
      <c r="CP197" s="35">
        <f t="shared" si="224"/>
        <v>0</v>
      </c>
      <c r="CQ197" s="15">
        <f t="shared" si="243"/>
        <v>1.0279366718574605</v>
      </c>
      <c r="CR197" s="28">
        <f t="shared" si="244"/>
        <v>610.01768244782602</v>
      </c>
      <c r="CS197" s="28">
        <f t="shared" si="245"/>
        <v>593.43897260279323</v>
      </c>
      <c r="CT197" s="33"/>
      <c r="CX197" s="31"/>
      <c r="DE197" s="1">
        <v>7</v>
      </c>
      <c r="DF197" s="35">
        <f t="shared" si="206"/>
        <v>700</v>
      </c>
      <c r="DG197" s="35">
        <f t="shared" si="225"/>
        <v>0</v>
      </c>
      <c r="DH197" s="15">
        <f t="shared" si="246"/>
        <v>1.0351066455144851</v>
      </c>
      <c r="DI197" s="28">
        <f t="shared" si="247"/>
        <v>388.68695534385597</v>
      </c>
      <c r="DJ197" s="28">
        <f t="shared" si="248"/>
        <v>375.5042603853293</v>
      </c>
      <c r="DK197" s="33"/>
      <c r="DO197" s="31"/>
      <c r="DV197" s="1">
        <v>7</v>
      </c>
      <c r="DW197" s="35">
        <f t="shared" si="207"/>
        <v>700</v>
      </c>
      <c r="DX197" s="35">
        <f t="shared" si="226"/>
        <v>0</v>
      </c>
      <c r="DY197" s="15">
        <f t="shared" si="249"/>
        <v>1.0648963742337043</v>
      </c>
      <c r="DZ197" s="28">
        <f t="shared" si="250"/>
        <v>374.81499716639433</v>
      </c>
      <c r="EA197" s="28">
        <f t="shared" si="251"/>
        <v>351.97321188750396</v>
      </c>
      <c r="EB197" s="33"/>
      <c r="EF197" s="31"/>
      <c r="EM197" s="1">
        <v>10</v>
      </c>
      <c r="EN197" s="35">
        <f t="shared" si="208"/>
        <v>1000</v>
      </c>
      <c r="EO197" s="35">
        <f t="shared" si="227"/>
        <v>0</v>
      </c>
      <c r="EP197" s="15">
        <f t="shared" si="252"/>
        <v>1.0245781371223481</v>
      </c>
      <c r="EQ197" s="28">
        <f t="shared" si="253"/>
        <v>637.93235378195573</v>
      </c>
      <c r="ER197" s="28">
        <f t="shared" si="254"/>
        <v>622.6292858187137</v>
      </c>
      <c r="ES197" s="33"/>
      <c r="EW197" s="31"/>
      <c r="FD197" s="1">
        <v>10</v>
      </c>
      <c r="FE197" s="35">
        <f t="shared" si="209"/>
        <v>1000</v>
      </c>
      <c r="FF197" s="35">
        <f t="shared" si="228"/>
        <v>0</v>
      </c>
      <c r="FG197" s="15">
        <f t="shared" si="255"/>
        <v>1.1298576832551763</v>
      </c>
      <c r="FH197" s="28">
        <f t="shared" si="256"/>
        <v>696.27453318149549</v>
      </c>
      <c r="FI197" s="28">
        <f t="shared" si="257"/>
        <v>616.24976623205657</v>
      </c>
      <c r="FJ197" s="33"/>
      <c r="FN197" s="31"/>
      <c r="FU197" s="1">
        <v>8</v>
      </c>
      <c r="FV197" s="35">
        <f t="shared" si="210"/>
        <v>800</v>
      </c>
      <c r="FW197" s="35">
        <f t="shared" si="229"/>
        <v>0</v>
      </c>
      <c r="FX197" s="15">
        <f t="shared" si="258"/>
        <v>0.9857855293193265</v>
      </c>
      <c r="FY197" s="28">
        <f t="shared" si="259"/>
        <v>637.62884965199578</v>
      </c>
      <c r="FZ197" s="28">
        <f t="shared" si="260"/>
        <v>646.82309760853468</v>
      </c>
      <c r="GA197" s="33"/>
      <c r="GE197" s="31"/>
      <c r="GL197" s="1">
        <v>9</v>
      </c>
      <c r="GM197" s="35">
        <f t="shared" si="211"/>
        <v>900</v>
      </c>
      <c r="GN197" s="35">
        <f t="shared" si="230"/>
        <v>0</v>
      </c>
      <c r="GO197" s="15">
        <f t="shared" si="261"/>
        <v>1.0294241470777243</v>
      </c>
      <c r="GP197" s="28">
        <f t="shared" si="262"/>
        <v>663.30098160332909</v>
      </c>
      <c r="GQ197" s="28">
        <f t="shared" si="263"/>
        <v>644.341774463202</v>
      </c>
      <c r="GR197" s="33"/>
      <c r="GV197" s="31"/>
      <c r="HD197" s="35">
        <f t="shared" si="212"/>
        <v>0</v>
      </c>
      <c r="HE197" s="35">
        <f t="shared" si="231"/>
        <v>0</v>
      </c>
      <c r="HF197" s="15">
        <f t="shared" si="264"/>
        <v>0.94831143846645793</v>
      </c>
      <c r="HG197" s="28">
        <f t="shared" si="265"/>
        <v>252.79905120370049</v>
      </c>
      <c r="HH197" s="28">
        <f t="shared" si="266"/>
        <v>266.57808916921766</v>
      </c>
      <c r="HI197" s="33"/>
      <c r="HM197" s="31"/>
      <c r="HU197" s="35">
        <f t="shared" si="213"/>
        <v>0</v>
      </c>
      <c r="HV197" s="35">
        <f t="shared" si="232"/>
        <v>0</v>
      </c>
      <c r="HW197" s="15">
        <f t="shared" si="267"/>
        <v>4.7935784823596573E-9</v>
      </c>
      <c r="HX197" s="28">
        <f t="shared" si="268"/>
        <v>2.7041866778835991E-10</v>
      </c>
      <c r="HY197" s="28">
        <f t="shared" si="269"/>
        <v>5.6412692268103908E-2</v>
      </c>
      <c r="HZ197" s="33"/>
      <c r="ID197" s="31"/>
      <c r="II197" s="12"/>
      <c r="IL197" s="35">
        <f t="shared" si="214"/>
        <v>0</v>
      </c>
      <c r="IM197" s="35">
        <f t="shared" si="215"/>
        <v>5165.1879442181807</v>
      </c>
      <c r="IN197" s="15">
        <f t="shared" si="270"/>
        <v>0.47239265917653472</v>
      </c>
      <c r="IO197" s="28">
        <f t="shared" si="271"/>
        <v>20.001404779406403</v>
      </c>
      <c r="IP197" s="28">
        <f t="shared" si="272"/>
        <v>42.340634196713481</v>
      </c>
      <c r="IQ197" s="33"/>
      <c r="IU197" s="31"/>
      <c r="JC197" s="35">
        <f t="shared" si="369"/>
        <v>0</v>
      </c>
      <c r="JD197" s="35">
        <f t="shared" si="216"/>
        <v>6260.3494028208424</v>
      </c>
      <c r="JE197" s="15">
        <f t="shared" si="273"/>
        <v>0.5704523685790196</v>
      </c>
      <c r="JF197" s="28">
        <f t="shared" si="274"/>
        <v>25.528865806435405</v>
      </c>
      <c r="JG197" s="28">
        <f t="shared" si="275"/>
        <v>44.751967407948669</v>
      </c>
      <c r="JH197" s="33"/>
      <c r="JL197" s="31"/>
      <c r="JR197" s="99"/>
      <c r="JS197" s="99"/>
      <c r="JT197" s="99"/>
      <c r="JU197" s="99"/>
      <c r="JV197" s="99"/>
      <c r="JW197" s="99"/>
      <c r="JX197" s="99"/>
      <c r="JY197" s="99"/>
      <c r="JZ197" s="99"/>
      <c r="KA197" s="99"/>
      <c r="KB197" s="99"/>
      <c r="KC197" s="99"/>
      <c r="KD197" s="99"/>
      <c r="KE197" s="99"/>
      <c r="KF197" s="99"/>
      <c r="KG197" s="99"/>
      <c r="KH197" s="99"/>
      <c r="KI197" s="99"/>
      <c r="KJ197" s="99"/>
      <c r="KK197" s="99"/>
      <c r="KL197" s="99"/>
      <c r="KM197" s="99"/>
      <c r="KN197" s="99"/>
      <c r="KO197" s="99"/>
      <c r="KP197" s="99"/>
      <c r="KQ197" s="99"/>
      <c r="KR197" s="99"/>
      <c r="KS197" s="99"/>
      <c r="KT197" s="99"/>
      <c r="KU197" s="99"/>
      <c r="KV197" s="99"/>
      <c r="KW197" s="99"/>
      <c r="KX197" s="99"/>
      <c r="KY197" s="99"/>
      <c r="KZ197" s="99"/>
      <c r="LA197" s="99"/>
      <c r="LB197" s="99"/>
      <c r="LC197" s="99"/>
      <c r="LD197" s="99"/>
      <c r="LE197" s="99"/>
      <c r="LF197" s="99"/>
      <c r="LG197" s="99"/>
      <c r="LH197" s="99"/>
      <c r="LI197" s="99"/>
      <c r="LJ197" s="99"/>
      <c r="LK197" s="99"/>
      <c r="LL197" s="99"/>
      <c r="LM197" s="99"/>
      <c r="LN197" s="99"/>
      <c r="LO197" s="99"/>
      <c r="LP197" s="99"/>
      <c r="LQ197" s="99"/>
      <c r="LR197" s="99"/>
      <c r="LS197" s="99"/>
      <c r="LT197" s="99"/>
      <c r="LU197" s="99"/>
      <c r="LV197" s="99"/>
      <c r="LW197" s="99"/>
      <c r="LX197" s="99"/>
      <c r="LY197" s="99"/>
      <c r="LZ197" s="99"/>
      <c r="MA197" s="99"/>
      <c r="MB197" s="99"/>
      <c r="MC197" s="99"/>
      <c r="MD197" s="99"/>
      <c r="ME197" s="99"/>
      <c r="MF197" s="99"/>
    </row>
    <row r="198" spans="1:344" ht="17.25" customHeight="1" x14ac:dyDescent="0.25">
      <c r="A198" s="156"/>
      <c r="B198" s="81" t="s">
        <v>6</v>
      </c>
      <c r="C198" s="82">
        <v>45332</v>
      </c>
      <c r="D198" s="49"/>
      <c r="G198" s="89">
        <f t="shared" si="194"/>
        <v>0</v>
      </c>
      <c r="H198" s="35">
        <f t="shared" si="195"/>
        <v>0</v>
      </c>
      <c r="I198" s="39">
        <v>9</v>
      </c>
      <c r="J198" s="39">
        <v>9</v>
      </c>
      <c r="K198" s="103">
        <v>65</v>
      </c>
      <c r="L198" s="89">
        <f t="shared" si="196"/>
        <v>4.1363636363636367</v>
      </c>
      <c r="M198" s="35">
        <f t="shared" si="217"/>
        <v>268.86363636363637</v>
      </c>
      <c r="N198" s="35">
        <f t="shared" si="218"/>
        <v>268.86363636363637</v>
      </c>
      <c r="O198" s="97" t="e">
        <f t="shared" si="371"/>
        <v>#DIV/0!</v>
      </c>
      <c r="P198" s="150"/>
      <c r="Q198" s="132">
        <f t="shared" si="355"/>
        <v>0</v>
      </c>
      <c r="R198" s="134">
        <f t="shared" si="356"/>
        <v>0</v>
      </c>
      <c r="S198" s="136">
        <f t="shared" si="357"/>
        <v>0</v>
      </c>
      <c r="T198" s="138">
        <f t="shared" si="358"/>
        <v>0</v>
      </c>
      <c r="U198" s="144">
        <f t="shared" si="359"/>
        <v>0</v>
      </c>
      <c r="W198" s="11">
        <v>0</v>
      </c>
      <c r="X198" s="1">
        <v>0</v>
      </c>
      <c r="Y198" s="35">
        <f t="shared" si="201"/>
        <v>0</v>
      </c>
      <c r="Z198" s="35">
        <f t="shared" si="220"/>
        <v>0</v>
      </c>
      <c r="AA198" s="15">
        <f t="shared" si="233"/>
        <v>3.3912619468767428E-3</v>
      </c>
      <c r="AB198" s="43">
        <f t="shared" si="298"/>
        <v>0.28050652319475761</v>
      </c>
      <c r="AC198" s="43">
        <f t="shared" si="299"/>
        <v>82.714496134129732</v>
      </c>
      <c r="AD198" s="33"/>
      <c r="AH198" s="31"/>
      <c r="AO198" s="1">
        <v>5</v>
      </c>
      <c r="AP198" s="35">
        <f t="shared" si="202"/>
        <v>325</v>
      </c>
      <c r="AQ198" s="35">
        <f t="shared" si="221"/>
        <v>0</v>
      </c>
      <c r="AR198" s="15">
        <f t="shared" si="234"/>
        <v>0.80866068277167003</v>
      </c>
      <c r="AS198" s="28">
        <f t="shared" si="235"/>
        <v>434.83893330081793</v>
      </c>
      <c r="AT198" s="28">
        <f t="shared" si="236"/>
        <v>537.72730956872454</v>
      </c>
      <c r="AU198" s="33"/>
      <c r="AY198" s="31"/>
      <c r="BF198" s="1">
        <v>10</v>
      </c>
      <c r="BG198" s="35">
        <f>(BE198*$F198)+BF198*100</f>
        <v>1000</v>
      </c>
      <c r="BH198" s="35">
        <f t="shared" si="222"/>
        <v>0</v>
      </c>
      <c r="BI198" s="15">
        <f t="shared" si="237"/>
        <v>1.1472957437196025</v>
      </c>
      <c r="BJ198" s="28">
        <f t="shared" si="238"/>
        <v>673.43150374616334</v>
      </c>
      <c r="BK198" s="28">
        <f t="shared" si="239"/>
        <v>586.97289468089321</v>
      </c>
      <c r="BL198" s="33"/>
      <c r="BP198" s="31"/>
      <c r="BW198" s="1">
        <v>3</v>
      </c>
      <c r="BX198" s="35">
        <f t="shared" si="204"/>
        <v>195</v>
      </c>
      <c r="BY198" s="35">
        <f t="shared" si="223"/>
        <v>0</v>
      </c>
      <c r="BZ198" s="15">
        <f t="shared" si="240"/>
        <v>0.83800315419360627</v>
      </c>
      <c r="CA198" s="28">
        <f t="shared" si="241"/>
        <v>408.33237422512593</v>
      </c>
      <c r="CB198" s="28">
        <f t="shared" si="242"/>
        <v>487.26830225126781</v>
      </c>
      <c r="CC198" s="33"/>
      <c r="CG198" s="31"/>
      <c r="CN198" s="1">
        <v>4</v>
      </c>
      <c r="CO198" s="35">
        <f t="shared" si="205"/>
        <v>260</v>
      </c>
      <c r="CP198" s="35">
        <f t="shared" si="224"/>
        <v>0</v>
      </c>
      <c r="CQ198" s="15">
        <f t="shared" si="243"/>
        <v>0.91597775007802318</v>
      </c>
      <c r="CR198" s="28">
        <f t="shared" si="244"/>
        <v>522.51326183586957</v>
      </c>
      <c r="CS198" s="28">
        <f t="shared" si="245"/>
        <v>570.44318138880749</v>
      </c>
      <c r="CT198" s="33"/>
      <c r="CX198" s="31"/>
      <c r="DE198" s="1">
        <v>2</v>
      </c>
      <c r="DF198" s="35">
        <f t="shared" si="206"/>
        <v>130</v>
      </c>
      <c r="DG198" s="35">
        <f t="shared" si="225"/>
        <v>0</v>
      </c>
      <c r="DH198" s="15">
        <f t="shared" si="246"/>
        <v>0.90362430489590895</v>
      </c>
      <c r="DI198" s="28">
        <f t="shared" si="247"/>
        <v>324.01521650789198</v>
      </c>
      <c r="DJ198" s="28">
        <f t="shared" si="248"/>
        <v>358.57293208289281</v>
      </c>
      <c r="DK198" s="33"/>
      <c r="DO198" s="31"/>
      <c r="DV198" s="1">
        <v>2</v>
      </c>
      <c r="DW198" s="35">
        <f t="shared" si="207"/>
        <v>130</v>
      </c>
      <c r="DX198" s="35">
        <f t="shared" si="226"/>
        <v>0</v>
      </c>
      <c r="DY198" s="15">
        <f t="shared" si="249"/>
        <v>0.93152395945532362</v>
      </c>
      <c r="DZ198" s="28">
        <f t="shared" si="250"/>
        <v>313.61124787479577</v>
      </c>
      <c r="EA198" s="28">
        <f t="shared" si="251"/>
        <v>336.66471451595197</v>
      </c>
      <c r="EB198" s="33"/>
      <c r="EF198" s="31"/>
      <c r="EM198" s="1">
        <v>7</v>
      </c>
      <c r="EN198" s="35">
        <f t="shared" si="208"/>
        <v>455</v>
      </c>
      <c r="EO198" s="35">
        <f t="shared" si="227"/>
        <v>0</v>
      </c>
      <c r="EP198" s="15">
        <f t="shared" si="252"/>
        <v>0.96912068681241792</v>
      </c>
      <c r="EQ198" s="28">
        <f t="shared" si="253"/>
        <v>592.19926533646685</v>
      </c>
      <c r="ER198" s="28">
        <f t="shared" si="254"/>
        <v>611.068645417423</v>
      </c>
      <c r="ES198" s="33"/>
      <c r="EW198" s="31"/>
      <c r="FD198" s="1">
        <v>3</v>
      </c>
      <c r="FE198" s="35">
        <f t="shared" si="209"/>
        <v>195</v>
      </c>
      <c r="FF198" s="35">
        <f t="shared" si="228"/>
        <v>0</v>
      </c>
      <c r="FG198" s="15">
        <f t="shared" si="255"/>
        <v>0.97233955715167752</v>
      </c>
      <c r="FH198" s="28">
        <f t="shared" si="256"/>
        <v>570.95589988612164</v>
      </c>
      <c r="FI198" s="28">
        <f t="shared" si="257"/>
        <v>587.19805821605269</v>
      </c>
      <c r="FJ198" s="33"/>
      <c r="FN198" s="31"/>
      <c r="FU198" s="1">
        <v>5</v>
      </c>
      <c r="FV198" s="35">
        <f t="shared" si="210"/>
        <v>325</v>
      </c>
      <c r="FW198" s="35">
        <f t="shared" si="229"/>
        <v>0</v>
      </c>
      <c r="FX198" s="15">
        <f t="shared" si="258"/>
        <v>0.89568715758793671</v>
      </c>
      <c r="FY198" s="28">
        <f t="shared" si="259"/>
        <v>559.47163723899689</v>
      </c>
      <c r="FZ198" s="28">
        <f t="shared" si="260"/>
        <v>624.62840122173918</v>
      </c>
      <c r="GA198" s="33"/>
      <c r="GE198" s="31"/>
      <c r="GL198" s="1">
        <v>4.5</v>
      </c>
      <c r="GM198" s="35">
        <f t="shared" si="211"/>
        <v>292.5</v>
      </c>
      <c r="GN198" s="35">
        <f t="shared" si="230"/>
        <v>0</v>
      </c>
      <c r="GO198" s="15">
        <f t="shared" si="261"/>
        <v>0.92020974443351744</v>
      </c>
      <c r="GP198" s="28">
        <f t="shared" si="262"/>
        <v>570.60073620249682</v>
      </c>
      <c r="GQ198" s="28">
        <f t="shared" si="263"/>
        <v>620.07682450022253</v>
      </c>
      <c r="GR198" s="33"/>
      <c r="GV198" s="31"/>
      <c r="HC198" s="1">
        <v>8</v>
      </c>
      <c r="HD198" s="35">
        <f>(HB198*$F198)+HC198*100</f>
        <v>800</v>
      </c>
      <c r="HE198" s="35">
        <f t="shared" si="231"/>
        <v>0</v>
      </c>
      <c r="HF198" s="15">
        <f t="shared" si="264"/>
        <v>1.2842557704614486</v>
      </c>
      <c r="HG198" s="28">
        <f t="shared" si="265"/>
        <v>389.59928840277536</v>
      </c>
      <c r="HH198" s="28">
        <f t="shared" si="266"/>
        <v>303.36580715754747</v>
      </c>
      <c r="HI198" s="33"/>
      <c r="HM198" s="31"/>
      <c r="HU198" s="35">
        <f t="shared" si="213"/>
        <v>0</v>
      </c>
      <c r="HV198" s="35">
        <f t="shared" si="232"/>
        <v>0</v>
      </c>
      <c r="HW198" s="15">
        <f t="shared" si="267"/>
        <v>3.861493777456391E-9</v>
      </c>
      <c r="HX198" s="28">
        <f t="shared" si="268"/>
        <v>2.0281400084126993E-10</v>
      </c>
      <c r="HY198" s="28">
        <f t="shared" si="269"/>
        <v>5.2522161766855362E-2</v>
      </c>
      <c r="HZ198" s="33"/>
      <c r="ID198" s="31"/>
      <c r="II198" s="12"/>
      <c r="IL198" s="35">
        <f t="shared" si="214"/>
        <v>0</v>
      </c>
      <c r="IM198" s="35">
        <f t="shared" si="215"/>
        <v>4267.1850176194239</v>
      </c>
      <c r="IN198" s="15">
        <f t="shared" si="270"/>
        <v>0.38053853100331975</v>
      </c>
      <c r="IO198" s="28">
        <f t="shared" si="271"/>
        <v>15.001053584554803</v>
      </c>
      <c r="IP198" s="28">
        <f t="shared" si="272"/>
        <v>39.420590459009098</v>
      </c>
      <c r="IQ198" s="33"/>
      <c r="IU198" s="31"/>
      <c r="JC198" s="35">
        <f t="shared" si="369"/>
        <v>0</v>
      </c>
      <c r="JD198" s="35">
        <f t="shared" si="216"/>
        <v>5205.0168875377494</v>
      </c>
      <c r="JE198" s="15">
        <f t="shared" si="273"/>
        <v>0.45953107468865467</v>
      </c>
      <c r="JF198" s="28">
        <f t="shared" si="274"/>
        <v>19.146649354826554</v>
      </c>
      <c r="JG198" s="28">
        <f t="shared" si="275"/>
        <v>41.665624828090138</v>
      </c>
      <c r="JH198" s="33"/>
      <c r="JL198" s="31"/>
      <c r="JR198" s="99"/>
      <c r="JS198" s="99"/>
      <c r="JT198" s="99"/>
      <c r="JU198" s="99"/>
      <c r="JV198" s="99"/>
      <c r="JW198" s="99"/>
      <c r="JX198" s="99"/>
      <c r="JY198" s="99"/>
      <c r="JZ198" s="99"/>
      <c r="KA198" s="99"/>
      <c r="KB198" s="99"/>
      <c r="KC198" s="99"/>
      <c r="KD198" s="99"/>
      <c r="KE198" s="99"/>
      <c r="KF198" s="99"/>
      <c r="KG198" s="99"/>
      <c r="KH198" s="99"/>
      <c r="KI198" s="99"/>
      <c r="KJ198" s="99"/>
      <c r="KK198" s="99"/>
      <c r="KL198" s="99"/>
      <c r="KM198" s="99"/>
      <c r="KN198" s="99"/>
      <c r="KO198" s="99"/>
      <c r="KP198" s="99"/>
      <c r="KQ198" s="99"/>
      <c r="KR198" s="99"/>
      <c r="KS198" s="99"/>
      <c r="KT198" s="99"/>
      <c r="KU198" s="99"/>
      <c r="KV198" s="99"/>
      <c r="KW198" s="99"/>
      <c r="KX198" s="99"/>
      <c r="KY198" s="99"/>
      <c r="KZ198" s="99"/>
      <c r="LA198" s="99"/>
      <c r="LB198" s="99"/>
      <c r="LC198" s="99"/>
      <c r="LD198" s="99"/>
      <c r="LE198" s="99"/>
      <c r="LF198" s="99"/>
      <c r="LG198" s="99"/>
      <c r="LH198" s="99"/>
      <c r="LI198" s="99"/>
      <c r="LJ198" s="99"/>
      <c r="LK198" s="99"/>
      <c r="LL198" s="99"/>
      <c r="LM198" s="99"/>
      <c r="LN198" s="99"/>
      <c r="LO198" s="99"/>
      <c r="LP198" s="99"/>
      <c r="LQ198" s="99"/>
      <c r="LR198" s="99"/>
      <c r="LS198" s="99"/>
      <c r="LT198" s="99"/>
      <c r="LU198" s="99"/>
      <c r="LV198" s="99"/>
      <c r="LW198" s="99"/>
      <c r="LX198" s="99"/>
      <c r="LY198" s="99"/>
      <c r="LZ198" s="99"/>
      <c r="MA198" s="99"/>
      <c r="MB198" s="99"/>
      <c r="MC198" s="99"/>
      <c r="MD198" s="99"/>
      <c r="ME198" s="99"/>
      <c r="MF198" s="99"/>
    </row>
    <row r="199" spans="1:344" ht="17.25" customHeight="1" x14ac:dyDescent="0.25">
      <c r="A199" s="157"/>
      <c r="B199" s="83" t="s">
        <v>7</v>
      </c>
      <c r="C199" s="84">
        <v>45333</v>
      </c>
      <c r="D199" s="51"/>
      <c r="E199" s="48"/>
      <c r="F199" s="104"/>
      <c r="G199" s="37">
        <f t="shared" si="194"/>
        <v>0</v>
      </c>
      <c r="H199" s="26">
        <f t="shared" si="195"/>
        <v>0</v>
      </c>
      <c r="I199" s="48">
        <v>12</v>
      </c>
      <c r="J199" s="48">
        <v>10</v>
      </c>
      <c r="K199" s="104">
        <v>75</v>
      </c>
      <c r="L199" s="37">
        <f t="shared" si="196"/>
        <v>6.7</v>
      </c>
      <c r="M199" s="26">
        <f t="shared" si="217"/>
        <v>502.5</v>
      </c>
      <c r="N199" s="26">
        <f t="shared" si="218"/>
        <v>502.5</v>
      </c>
      <c r="O199" s="98" t="e">
        <f t="shared" si="371"/>
        <v>#DIV/0!</v>
      </c>
      <c r="P199" s="151"/>
      <c r="Q199" s="139">
        <f t="shared" si="355"/>
        <v>0</v>
      </c>
      <c r="R199" s="140">
        <f t="shared" si="356"/>
        <v>0</v>
      </c>
      <c r="S199" s="141">
        <f t="shared" si="357"/>
        <v>0</v>
      </c>
      <c r="T199" s="142">
        <f t="shared" si="358"/>
        <v>0</v>
      </c>
      <c r="U199" s="145">
        <f t="shared" si="359"/>
        <v>0</v>
      </c>
      <c r="V199" s="23"/>
      <c r="W199" s="13">
        <v>0</v>
      </c>
      <c r="X199" s="2">
        <v>0</v>
      </c>
      <c r="Y199" s="26">
        <f t="shared" si="201"/>
        <v>0</v>
      </c>
      <c r="Z199" s="26">
        <f t="shared" si="220"/>
        <v>0</v>
      </c>
      <c r="AA199" s="16">
        <f t="shared" si="233"/>
        <v>2.7318499016507091E-3</v>
      </c>
      <c r="AB199" s="44">
        <f t="shared" si="298"/>
        <v>0.21037989239606819</v>
      </c>
      <c r="AC199" s="44">
        <f t="shared" si="299"/>
        <v>77.010048124879404</v>
      </c>
      <c r="AD199" s="34"/>
      <c r="AE199" s="4"/>
      <c r="AF199" s="5"/>
      <c r="AG199" s="6"/>
      <c r="AH199" s="32"/>
      <c r="AI199" s="3"/>
      <c r="AJ199" s="4"/>
      <c r="AK199" s="5"/>
      <c r="AL199" s="6"/>
      <c r="AM199" s="14"/>
      <c r="AN199" s="13"/>
      <c r="AO199" s="2">
        <v>6</v>
      </c>
      <c r="AP199" s="26">
        <f t="shared" si="202"/>
        <v>450</v>
      </c>
      <c r="AQ199" s="26">
        <f t="shared" si="221"/>
        <v>0</v>
      </c>
      <c r="AR199" s="16">
        <f t="shared" si="234"/>
        <v>0.82499163211718718</v>
      </c>
      <c r="AS199" s="29">
        <f t="shared" si="235"/>
        <v>438.62919997561346</v>
      </c>
      <c r="AT199" s="29">
        <f t="shared" si="236"/>
        <v>531.67715028812279</v>
      </c>
      <c r="AU199" s="34"/>
      <c r="AV199" s="4"/>
      <c r="AW199" s="5"/>
      <c r="AX199" s="6"/>
      <c r="AY199" s="32"/>
      <c r="AZ199" s="3"/>
      <c r="BA199" s="4"/>
      <c r="BB199" s="5"/>
      <c r="BC199" s="6"/>
      <c r="BD199" s="14"/>
      <c r="BE199" s="13"/>
      <c r="BF199" s="2">
        <v>9</v>
      </c>
      <c r="BG199" s="26">
        <f t="shared" si="203"/>
        <v>675</v>
      </c>
      <c r="BH199" s="26">
        <f t="shared" si="222"/>
        <v>0</v>
      </c>
      <c r="BI199" s="16">
        <f t="shared" si="237"/>
        <v>1.1362123807347044</v>
      </c>
      <c r="BJ199" s="29">
        <f t="shared" si="238"/>
        <v>673.82362780962251</v>
      </c>
      <c r="BK199" s="29">
        <f t="shared" si="239"/>
        <v>593.04372953048676</v>
      </c>
      <c r="BL199" s="34"/>
      <c r="BM199" s="4"/>
      <c r="BN199" s="5"/>
      <c r="BO199" s="6"/>
      <c r="BP199" s="32"/>
      <c r="BQ199" s="3"/>
      <c r="BR199" s="4"/>
      <c r="BS199" s="5"/>
      <c r="BT199" s="6"/>
      <c r="BU199" s="14"/>
      <c r="BV199" s="13"/>
      <c r="BW199" s="2">
        <v>6</v>
      </c>
      <c r="BX199" s="26">
        <f t="shared" si="204"/>
        <v>450</v>
      </c>
      <c r="BY199" s="26">
        <f t="shared" si="223"/>
        <v>0</v>
      </c>
      <c r="BZ199" s="16">
        <f t="shared" si="240"/>
        <v>0.8639384034944767</v>
      </c>
      <c r="CA199" s="29">
        <f t="shared" si="241"/>
        <v>418.74928066884445</v>
      </c>
      <c r="CB199" s="29">
        <f t="shared" si="242"/>
        <v>484.69807450980107</v>
      </c>
      <c r="CC199" s="34"/>
      <c r="CD199" s="4"/>
      <c r="CE199" s="5"/>
      <c r="CF199" s="6"/>
      <c r="CG199" s="32"/>
      <c r="CH199" s="3"/>
      <c r="CI199" s="4"/>
      <c r="CJ199" s="5"/>
      <c r="CK199" s="6"/>
      <c r="CL199" s="14"/>
      <c r="CM199" s="13"/>
      <c r="CN199" s="2">
        <v>8</v>
      </c>
      <c r="CO199" s="26">
        <f t="shared" si="205"/>
        <v>600</v>
      </c>
      <c r="CP199" s="26">
        <f t="shared" si="224"/>
        <v>0</v>
      </c>
      <c r="CQ199" s="16">
        <f t="shared" si="243"/>
        <v>0.94655437446107715</v>
      </c>
      <c r="CR199" s="29">
        <f t="shared" si="244"/>
        <v>541.88494637690223</v>
      </c>
      <c r="CS199" s="29">
        <f t="shared" si="245"/>
        <v>572.48158267233794</v>
      </c>
      <c r="CT199" s="34"/>
      <c r="CU199" s="4"/>
      <c r="CV199" s="5"/>
      <c r="CW199" s="6"/>
      <c r="CX199" s="32"/>
      <c r="CY199" s="3"/>
      <c r="CZ199" s="4"/>
      <c r="DA199" s="5"/>
      <c r="DB199" s="6"/>
      <c r="DC199" s="14"/>
      <c r="DD199" s="13"/>
      <c r="DE199" s="2">
        <v>4.5999999999999996</v>
      </c>
      <c r="DF199" s="26">
        <f t="shared" si="206"/>
        <v>345</v>
      </c>
      <c r="DG199" s="26">
        <f t="shared" si="225"/>
        <v>0</v>
      </c>
      <c r="DH199" s="16">
        <f t="shared" si="246"/>
        <v>0.92065847239172471</v>
      </c>
      <c r="DI199" s="29">
        <f t="shared" si="247"/>
        <v>329.26141238091896</v>
      </c>
      <c r="DJ199" s="29">
        <f t="shared" si="248"/>
        <v>357.636867801314</v>
      </c>
      <c r="DK199" s="34"/>
      <c r="DL199" s="4"/>
      <c r="DM199" s="5"/>
      <c r="DN199" s="6"/>
      <c r="DO199" s="32"/>
      <c r="DP199" s="3"/>
      <c r="DQ199" s="4"/>
      <c r="DR199" s="5"/>
      <c r="DS199" s="6"/>
      <c r="DT199" s="14"/>
      <c r="DU199" s="13"/>
      <c r="DV199" s="2">
        <v>4.5999999999999996</v>
      </c>
      <c r="DW199" s="26">
        <f t="shared" si="207"/>
        <v>345</v>
      </c>
      <c r="DX199" s="26">
        <f t="shared" si="226"/>
        <v>0</v>
      </c>
      <c r="DY199" s="16">
        <f t="shared" si="249"/>
        <v>0.95320499824866167</v>
      </c>
      <c r="DZ199" s="29">
        <f t="shared" si="250"/>
        <v>321.45843590609684</v>
      </c>
      <c r="EA199" s="29">
        <f t="shared" si="251"/>
        <v>337.23956179071388</v>
      </c>
      <c r="EB199" s="34"/>
      <c r="EC199" s="4"/>
      <c r="ED199" s="5"/>
      <c r="EE199" s="6"/>
      <c r="EF199" s="32"/>
      <c r="EG199" s="3"/>
      <c r="EH199" s="4"/>
      <c r="EI199" s="5"/>
      <c r="EJ199" s="6"/>
      <c r="EK199" s="14"/>
      <c r="EL199" s="13"/>
      <c r="EM199" s="2">
        <v>10</v>
      </c>
      <c r="EN199" s="26">
        <f t="shared" si="208"/>
        <v>750</v>
      </c>
      <c r="EO199" s="26">
        <f t="shared" si="227"/>
        <v>0</v>
      </c>
      <c r="EP199" s="16">
        <f t="shared" si="252"/>
        <v>1.0177222730383571</v>
      </c>
      <c r="EQ199" s="29">
        <f t="shared" si="253"/>
        <v>631.64944900235014</v>
      </c>
      <c r="ER199" s="29">
        <f t="shared" si="254"/>
        <v>620.65011814725597</v>
      </c>
      <c r="ES199" s="34"/>
      <c r="ET199" s="4"/>
      <c r="EU199" s="5"/>
      <c r="EV199" s="6"/>
      <c r="EW199" s="32"/>
      <c r="EX199" s="3"/>
      <c r="EY199" s="4"/>
      <c r="EZ199" s="5"/>
      <c r="FA199" s="6"/>
      <c r="FB199" s="14"/>
      <c r="FC199" s="13"/>
      <c r="FD199" s="2">
        <v>8</v>
      </c>
      <c r="FE199" s="26">
        <f t="shared" si="209"/>
        <v>600</v>
      </c>
      <c r="FF199" s="26">
        <f t="shared" si="228"/>
        <v>0</v>
      </c>
      <c r="FG199" s="16">
        <f t="shared" si="255"/>
        <v>0.98322675504850621</v>
      </c>
      <c r="FH199" s="29">
        <f t="shared" si="256"/>
        <v>578.21692491459123</v>
      </c>
      <c r="FI199" s="29">
        <f t="shared" si="257"/>
        <v>588.08095075287656</v>
      </c>
      <c r="FJ199" s="34"/>
      <c r="FK199" s="4"/>
      <c r="FL199" s="5"/>
      <c r="FM199" s="6"/>
      <c r="FN199" s="32"/>
      <c r="FO199" s="3"/>
      <c r="FP199" s="4"/>
      <c r="FQ199" s="5"/>
      <c r="FR199" s="6"/>
      <c r="FS199" s="14"/>
      <c r="FT199" s="13"/>
      <c r="FU199" s="2">
        <v>8.5</v>
      </c>
      <c r="FV199" s="26">
        <f t="shared" si="210"/>
        <v>637.5</v>
      </c>
      <c r="FW199" s="26">
        <f t="shared" si="229"/>
        <v>0</v>
      </c>
      <c r="FX199" s="16">
        <f t="shared" si="258"/>
        <v>0.92560164329602868</v>
      </c>
      <c r="FY199" s="29">
        <f t="shared" si="259"/>
        <v>578.97872792924773</v>
      </c>
      <c r="FZ199" s="29">
        <f t="shared" si="260"/>
        <v>625.51609768920537</v>
      </c>
      <c r="GA199" s="34"/>
      <c r="GB199" s="4"/>
      <c r="GC199" s="5"/>
      <c r="GD199" s="6"/>
      <c r="GE199" s="32"/>
      <c r="GF199" s="3"/>
      <c r="GG199" s="4"/>
      <c r="GH199" s="5"/>
      <c r="GI199" s="6"/>
      <c r="GJ199" s="14"/>
      <c r="GK199" s="13"/>
      <c r="GL199" s="2">
        <v>9</v>
      </c>
      <c r="GM199" s="26">
        <f t="shared" si="211"/>
        <v>675</v>
      </c>
      <c r="GN199" s="26">
        <f t="shared" si="230"/>
        <v>0</v>
      </c>
      <c r="GO199" s="16">
        <f t="shared" si="261"/>
        <v>0.95645837852999571</v>
      </c>
      <c r="GP199" s="29">
        <f t="shared" si="262"/>
        <v>596.70055215187267</v>
      </c>
      <c r="GQ199" s="29">
        <f t="shared" si="263"/>
        <v>623.86462970710375</v>
      </c>
      <c r="GR199" s="34"/>
      <c r="GS199" s="4"/>
      <c r="GT199" s="5"/>
      <c r="GU199" s="6"/>
      <c r="GV199" s="32"/>
      <c r="GW199" s="3"/>
      <c r="GX199" s="4"/>
      <c r="GY199" s="5"/>
      <c r="GZ199" s="6"/>
      <c r="HA199" s="14"/>
      <c r="HB199" s="13"/>
      <c r="HC199" s="2">
        <v>7.5</v>
      </c>
      <c r="HD199" s="26">
        <f t="shared" si="212"/>
        <v>562.5</v>
      </c>
      <c r="HE199" s="26">
        <f t="shared" si="231"/>
        <v>0</v>
      </c>
      <c r="HF199" s="16">
        <f t="shared" si="264"/>
        <v>1.3473674890000691</v>
      </c>
      <c r="HG199" s="29">
        <f t="shared" si="265"/>
        <v>432.82446630208153</v>
      </c>
      <c r="HH199" s="29">
        <f t="shared" si="266"/>
        <v>321.23713080185456</v>
      </c>
      <c r="HI199" s="34"/>
      <c r="HJ199" s="4"/>
      <c r="HK199" s="5"/>
      <c r="HL199" s="6"/>
      <c r="HM199" s="32"/>
      <c r="HN199" s="3"/>
      <c r="HO199" s="4"/>
      <c r="HP199" s="5"/>
      <c r="HQ199" s="6"/>
      <c r="HR199" s="14"/>
      <c r="HS199" s="13"/>
      <c r="HT199" s="2"/>
      <c r="HU199" s="26">
        <f t="shared" si="213"/>
        <v>0</v>
      </c>
      <c r="HV199" s="26">
        <f t="shared" si="232"/>
        <v>0</v>
      </c>
      <c r="HW199" s="16">
        <f t="shared" si="267"/>
        <v>3.1106477651732038E-9</v>
      </c>
      <c r="HX199" s="29">
        <f t="shared" si="268"/>
        <v>1.5211050063095244E-10</v>
      </c>
      <c r="HY199" s="29">
        <f t="shared" si="269"/>
        <v>4.8899943713968781E-2</v>
      </c>
      <c r="HZ199" s="34"/>
      <c r="IA199" s="4"/>
      <c r="IB199" s="5"/>
      <c r="IC199" s="6"/>
      <c r="ID199" s="32"/>
      <c r="IE199" s="3"/>
      <c r="IF199" s="4"/>
      <c r="IG199" s="5"/>
      <c r="IH199" s="6"/>
      <c r="II199" s="14"/>
      <c r="IJ199" s="13"/>
      <c r="IK199" s="2"/>
      <c r="IL199" s="26">
        <f t="shared" si="214"/>
        <v>0</v>
      </c>
      <c r="IM199" s="26">
        <f t="shared" si="215"/>
        <v>4551.0793104348668</v>
      </c>
      <c r="IN199" s="16">
        <f t="shared" si="270"/>
        <v>0.30654492775267428</v>
      </c>
      <c r="IO199" s="29">
        <f t="shared" si="271"/>
        <v>11.250790188416103</v>
      </c>
      <c r="IP199" s="29">
        <f t="shared" si="272"/>
        <v>36.701929048042949</v>
      </c>
      <c r="IQ199" s="34"/>
      <c r="IR199" s="4"/>
      <c r="IS199" s="5"/>
      <c r="IT199" s="6"/>
      <c r="IU199" s="32"/>
      <c r="IV199" s="3"/>
      <c r="IW199" s="4"/>
      <c r="IX199" s="5"/>
      <c r="IY199" s="6"/>
      <c r="IZ199" s="14"/>
      <c r="JA199" s="13"/>
      <c r="JB199" s="2"/>
      <c r="JC199" s="26">
        <f t="shared" si="369"/>
        <v>0</v>
      </c>
      <c r="JD199" s="26">
        <f t="shared" si="216"/>
        <v>5632.7873619926813</v>
      </c>
      <c r="JE199" s="16">
        <f t="shared" si="273"/>
        <v>0.37017781016586071</v>
      </c>
      <c r="JF199" s="29">
        <f t="shared" si="274"/>
        <v>14.359987016119916</v>
      </c>
      <c r="JG199" s="29">
        <f t="shared" si="275"/>
        <v>38.792133460635647</v>
      </c>
      <c r="JH199" s="34"/>
      <c r="JI199" s="4"/>
      <c r="JJ199" s="5"/>
      <c r="JK199" s="6"/>
      <c r="JL199" s="32"/>
      <c r="JM199" s="3"/>
      <c r="JN199" s="4"/>
      <c r="JO199" s="5"/>
      <c r="JP199" s="6"/>
      <c r="JQ199" s="14"/>
      <c r="JR199" s="99"/>
      <c r="JS199" s="99"/>
      <c r="JT199" s="99"/>
      <c r="JU199" s="99"/>
      <c r="JV199" s="99"/>
      <c r="JW199" s="99"/>
      <c r="JX199" s="99"/>
      <c r="JY199" s="99"/>
      <c r="JZ199" s="99"/>
      <c r="KA199" s="99"/>
      <c r="KB199" s="99"/>
      <c r="KC199" s="99"/>
      <c r="KD199" s="99"/>
      <c r="KE199" s="99"/>
      <c r="KF199" s="99"/>
      <c r="KG199" s="99"/>
      <c r="KH199" s="99"/>
      <c r="KI199" s="99"/>
      <c r="KJ199" s="99"/>
      <c r="KK199" s="99"/>
      <c r="KL199" s="99"/>
      <c r="KM199" s="99"/>
      <c r="KN199" s="99"/>
      <c r="KO199" s="99"/>
      <c r="KP199" s="99"/>
      <c r="KQ199" s="99"/>
      <c r="KR199" s="99"/>
      <c r="KS199" s="99"/>
      <c r="KT199" s="99"/>
      <c r="KU199" s="99"/>
      <c r="KV199" s="99"/>
      <c r="KW199" s="99"/>
      <c r="KX199" s="99"/>
      <c r="KY199" s="99"/>
      <c r="KZ199" s="99"/>
      <c r="LA199" s="99"/>
      <c r="LB199" s="99"/>
      <c r="LC199" s="99"/>
      <c r="LD199" s="99"/>
      <c r="LE199" s="99"/>
      <c r="LF199" s="99"/>
      <c r="LG199" s="99"/>
      <c r="LH199" s="99"/>
      <c r="LI199" s="99"/>
      <c r="LJ199" s="99"/>
      <c r="LK199" s="99"/>
      <c r="LL199" s="99"/>
      <c r="LM199" s="99"/>
      <c r="LN199" s="99"/>
      <c r="LO199" s="99"/>
      <c r="LP199" s="99"/>
      <c r="LQ199" s="99"/>
      <c r="LR199" s="99"/>
      <c r="LS199" s="99"/>
      <c r="LT199" s="99"/>
      <c r="LU199" s="99"/>
      <c r="LV199" s="99"/>
      <c r="LW199" s="99"/>
      <c r="LX199" s="99"/>
      <c r="LY199" s="99"/>
      <c r="LZ199" s="99"/>
      <c r="MA199" s="99"/>
      <c r="MB199" s="99"/>
      <c r="MC199" s="99"/>
      <c r="MD199" s="99"/>
      <c r="ME199" s="99"/>
      <c r="MF199" s="99"/>
    </row>
    <row r="200" spans="1:344" ht="17.25" customHeight="1" x14ac:dyDescent="0.25">
      <c r="A200" s="155" t="s">
        <v>34</v>
      </c>
      <c r="B200" s="79" t="s">
        <v>1</v>
      </c>
      <c r="C200" s="80">
        <v>45334</v>
      </c>
      <c r="D200" s="50"/>
      <c r="G200" s="36">
        <f t="shared" si="194"/>
        <v>0</v>
      </c>
      <c r="H200" s="27">
        <f t="shared" si="195"/>
        <v>0</v>
      </c>
      <c r="I200" s="47">
        <v>13</v>
      </c>
      <c r="J200" s="39">
        <v>11</v>
      </c>
      <c r="K200" s="105">
        <v>69</v>
      </c>
      <c r="L200" s="89">
        <f t="shared" si="196"/>
        <v>0</v>
      </c>
      <c r="M200" s="27">
        <f t="shared" si="217"/>
        <v>0</v>
      </c>
      <c r="N200" s="35">
        <f t="shared" si="218"/>
        <v>0</v>
      </c>
      <c r="O200" s="97">
        <f>SUM($Z200,$BH200,$AQ200,$BY200,$CP200,$DG200,$DX200,$EO200,$FF200,$FW200,$GN200)/I200</f>
        <v>0</v>
      </c>
      <c r="P200" s="149">
        <f t="shared" ref="P200" si="372">SUM(N200:N206)</f>
        <v>0</v>
      </c>
      <c r="Q200" s="131">
        <f t="shared" si="355"/>
        <v>0</v>
      </c>
      <c r="R200" s="133">
        <f t="shared" si="356"/>
        <v>0</v>
      </c>
      <c r="S200" s="135">
        <f t="shared" si="357"/>
        <v>0</v>
      </c>
      <c r="T200" s="137">
        <f t="shared" si="358"/>
        <v>0</v>
      </c>
      <c r="U200" s="143">
        <f t="shared" si="359"/>
        <v>0</v>
      </c>
      <c r="W200" s="11">
        <v>0</v>
      </c>
      <c r="X200" s="1">
        <v>0</v>
      </c>
      <c r="Y200" s="27">
        <f t="shared" si="201"/>
        <v>0</v>
      </c>
      <c r="Z200" s="27">
        <f t="shared" si="220"/>
        <v>0</v>
      </c>
      <c r="AA200" s="15">
        <f t="shared" si="233"/>
        <v>2.2006568652186268E-3</v>
      </c>
      <c r="AB200" s="43">
        <f t="shared" si="298"/>
        <v>0.15778491929705113</v>
      </c>
      <c r="AC200" s="43">
        <f t="shared" si="299"/>
        <v>71.699010323163577</v>
      </c>
      <c r="AD200" s="33"/>
      <c r="AH200" s="31"/>
      <c r="AP200" s="27">
        <f t="shared" si="202"/>
        <v>0</v>
      </c>
      <c r="AQ200" s="27">
        <f t="shared" si="221"/>
        <v>0</v>
      </c>
      <c r="AR200" s="15">
        <f t="shared" si="234"/>
        <v>0.66457659253884527</v>
      </c>
      <c r="AS200" s="28">
        <f t="shared" si="235"/>
        <v>328.97189998171007</v>
      </c>
      <c r="AT200" s="28">
        <f t="shared" si="236"/>
        <v>495.00976061307983</v>
      </c>
      <c r="AU200" s="33"/>
      <c r="AY200" s="31"/>
      <c r="BG200" s="27">
        <f t="shared" si="203"/>
        <v>0</v>
      </c>
      <c r="BH200" s="27">
        <f t="shared" si="222"/>
        <v>0</v>
      </c>
      <c r="BI200" s="15">
        <f t="shared" si="237"/>
        <v>0.91528219559184543</v>
      </c>
      <c r="BJ200" s="28">
        <f t="shared" si="238"/>
        <v>505.36772085721691</v>
      </c>
      <c r="BK200" s="28">
        <f t="shared" si="239"/>
        <v>552.14416197666003</v>
      </c>
      <c r="BL200" s="33"/>
      <c r="BP200" s="31"/>
      <c r="BX200" s="27">
        <f t="shared" si="204"/>
        <v>0</v>
      </c>
      <c r="BY200" s="27">
        <f t="shared" si="223"/>
        <v>0</v>
      </c>
      <c r="BZ200" s="15">
        <f t="shared" si="240"/>
        <v>0.69595038059277292</v>
      </c>
      <c r="CA200" s="28">
        <f t="shared" si="241"/>
        <v>314.06196050163334</v>
      </c>
      <c r="CB200" s="28">
        <f t="shared" si="242"/>
        <v>451.27062109533205</v>
      </c>
      <c r="CC200" s="33"/>
      <c r="CG200" s="31"/>
      <c r="CO200" s="27">
        <f t="shared" si="205"/>
        <v>0</v>
      </c>
      <c r="CP200" s="27">
        <f t="shared" si="224"/>
        <v>0</v>
      </c>
      <c r="CQ200" s="15">
        <f t="shared" si="243"/>
        <v>0.76250213498253439</v>
      </c>
      <c r="CR200" s="28">
        <f t="shared" si="244"/>
        <v>406.41370978267668</v>
      </c>
      <c r="CS200" s="28">
        <f t="shared" si="245"/>
        <v>533.00009421217669</v>
      </c>
      <c r="CT200" s="33"/>
      <c r="CX200" s="31"/>
      <c r="DF200" s="27">
        <f t="shared" si="206"/>
        <v>0</v>
      </c>
      <c r="DG200" s="27">
        <f t="shared" si="225"/>
        <v>0</v>
      </c>
      <c r="DH200" s="15">
        <f t="shared" si="246"/>
        <v>0.74164154720444497</v>
      </c>
      <c r="DI200" s="28">
        <f t="shared" si="247"/>
        <v>246.94605928568922</v>
      </c>
      <c r="DJ200" s="28">
        <f t="shared" si="248"/>
        <v>332.97225622880956</v>
      </c>
      <c r="DK200" s="33"/>
      <c r="DO200" s="31"/>
      <c r="DW200" s="27">
        <f t="shared" si="207"/>
        <v>0</v>
      </c>
      <c r="DX200" s="27">
        <f t="shared" si="226"/>
        <v>0</v>
      </c>
      <c r="DY200" s="15">
        <f t="shared" si="249"/>
        <v>0.76785958192253301</v>
      </c>
      <c r="DZ200" s="28">
        <f t="shared" si="250"/>
        <v>241.09382692957263</v>
      </c>
      <c r="EA200" s="28">
        <f t="shared" si="251"/>
        <v>313.98166097756121</v>
      </c>
      <c r="EB200" s="33"/>
      <c r="EF200" s="31"/>
      <c r="EN200" s="27">
        <f t="shared" si="208"/>
        <v>0</v>
      </c>
      <c r="EO200" s="27">
        <f t="shared" si="227"/>
        <v>0</v>
      </c>
      <c r="EP200" s="15">
        <f t="shared" si="252"/>
        <v>0.81983183105867641</v>
      </c>
      <c r="EQ200" s="28">
        <f t="shared" si="253"/>
        <v>473.7370867517626</v>
      </c>
      <c r="ER200" s="28">
        <f t="shared" si="254"/>
        <v>577.84666172330731</v>
      </c>
      <c r="ES200" s="33"/>
      <c r="EW200" s="31"/>
      <c r="FE200" s="27">
        <f t="shared" si="209"/>
        <v>0</v>
      </c>
      <c r="FF200" s="27">
        <f t="shared" si="228"/>
        <v>0</v>
      </c>
      <c r="FG200" s="15">
        <f t="shared" si="255"/>
        <v>0.79204377490018552</v>
      </c>
      <c r="FH200" s="28">
        <f t="shared" si="256"/>
        <v>433.6626936859434</v>
      </c>
      <c r="FI200" s="28">
        <f t="shared" si="257"/>
        <v>547.52364380440235</v>
      </c>
      <c r="FJ200" s="33"/>
      <c r="FN200" s="31"/>
      <c r="FV200" s="27">
        <f t="shared" si="210"/>
        <v>0</v>
      </c>
      <c r="FW200" s="27">
        <f t="shared" si="229"/>
        <v>0</v>
      </c>
      <c r="FX200" s="15">
        <f t="shared" si="258"/>
        <v>0.74562354598846758</v>
      </c>
      <c r="FY200" s="28">
        <f t="shared" si="259"/>
        <v>434.23404594693579</v>
      </c>
      <c r="FZ200" s="28">
        <f t="shared" si="260"/>
        <v>582.3770564692602</v>
      </c>
      <c r="GA200" s="33"/>
      <c r="GE200" s="31"/>
      <c r="GM200" s="27">
        <f t="shared" si="211"/>
        <v>0</v>
      </c>
      <c r="GN200" s="27">
        <f t="shared" si="230"/>
        <v>0</v>
      </c>
      <c r="GO200" s="15">
        <f t="shared" si="261"/>
        <v>0.77048036048249657</v>
      </c>
      <c r="GP200" s="28">
        <f t="shared" si="262"/>
        <v>447.5254141139045</v>
      </c>
      <c r="GQ200" s="28">
        <f t="shared" si="263"/>
        <v>580.83948283075176</v>
      </c>
      <c r="GR200" s="33"/>
      <c r="GV200" s="31"/>
      <c r="HD200" s="27">
        <f t="shared" si="212"/>
        <v>0</v>
      </c>
      <c r="HE200" s="27">
        <f t="shared" si="231"/>
        <v>0</v>
      </c>
      <c r="HF200" s="15">
        <f t="shared" si="264"/>
        <v>1.0853793661389448</v>
      </c>
      <c r="HG200" s="28">
        <f t="shared" si="265"/>
        <v>324.61834972656118</v>
      </c>
      <c r="HH200" s="28">
        <f t="shared" si="266"/>
        <v>299.08284591896802</v>
      </c>
      <c r="HI200" s="33"/>
      <c r="HM200" s="31"/>
      <c r="HU200" s="27">
        <f t="shared" si="213"/>
        <v>0</v>
      </c>
      <c r="HV200" s="27">
        <f t="shared" si="232"/>
        <v>0</v>
      </c>
      <c r="HW200" s="15">
        <f t="shared" si="267"/>
        <v>2.5057995886117475E-9</v>
      </c>
      <c r="HX200" s="28">
        <f t="shared" si="268"/>
        <v>1.1408287547321433E-10</v>
      </c>
      <c r="HY200" s="28">
        <f t="shared" si="269"/>
        <v>4.5527533802660586E-2</v>
      </c>
      <c r="HZ200" s="33"/>
      <c r="ID200" s="31"/>
      <c r="II200" s="12"/>
      <c r="IL200" s="27">
        <f t="shared" si="214"/>
        <v>0</v>
      </c>
      <c r="IM200" s="27">
        <f t="shared" si="215"/>
        <v>3514.6887986249722</v>
      </c>
      <c r="IN200" s="15">
        <f t="shared" si="270"/>
        <v>0.24693896957854317</v>
      </c>
      <c r="IO200" s="28">
        <f t="shared" si="271"/>
        <v>8.4380926413120765</v>
      </c>
      <c r="IP200" s="28">
        <f t="shared" si="272"/>
        <v>34.17076152748826</v>
      </c>
      <c r="IQ200" s="33"/>
      <c r="IU200" s="31"/>
      <c r="JC200" s="27">
        <f t="shared" si="369"/>
        <v>0</v>
      </c>
      <c r="JD200" s="27">
        <f t="shared" si="216"/>
        <v>4292.9428165965383</v>
      </c>
      <c r="JE200" s="15">
        <f t="shared" si="273"/>
        <v>0.29819879152249895</v>
      </c>
      <c r="JF200" s="28">
        <f t="shared" si="274"/>
        <v>10.769990262089937</v>
      </c>
      <c r="JG200" s="28">
        <f t="shared" si="275"/>
        <v>36.116813911626288</v>
      </c>
      <c r="JH200" s="33"/>
      <c r="JL200" s="31"/>
      <c r="JR200" s="99"/>
      <c r="JS200" s="99"/>
      <c r="JT200" s="99"/>
      <c r="JU200" s="99"/>
      <c r="JV200" s="99"/>
      <c r="JW200" s="99"/>
      <c r="JX200" s="99"/>
      <c r="JY200" s="99"/>
      <c r="JZ200" s="99"/>
      <c r="KA200" s="99"/>
      <c r="KB200" s="99"/>
      <c r="KC200" s="99"/>
      <c r="KD200" s="99"/>
      <c r="KE200" s="99"/>
      <c r="KF200" s="99"/>
      <c r="KG200" s="99"/>
      <c r="KH200" s="99"/>
      <c r="KI200" s="99"/>
      <c r="KJ200" s="99"/>
      <c r="KK200" s="99"/>
      <c r="KL200" s="99"/>
      <c r="KM200" s="99"/>
      <c r="KN200" s="99"/>
      <c r="KO200" s="99"/>
      <c r="KP200" s="99"/>
      <c r="KQ200" s="99"/>
      <c r="KR200" s="99"/>
      <c r="KS200" s="99"/>
      <c r="KT200" s="99"/>
      <c r="KU200" s="99"/>
      <c r="KV200" s="99"/>
      <c r="KW200" s="99"/>
      <c r="KX200" s="99"/>
      <c r="KY200" s="99"/>
      <c r="KZ200" s="99"/>
      <c r="LA200" s="99"/>
      <c r="LB200" s="99"/>
      <c r="LC200" s="99"/>
      <c r="LD200" s="99"/>
      <c r="LE200" s="99"/>
      <c r="LF200" s="99"/>
      <c r="LG200" s="99"/>
      <c r="LH200" s="99"/>
      <c r="LI200" s="99"/>
      <c r="LJ200" s="99"/>
      <c r="LK200" s="99"/>
      <c r="LL200" s="99"/>
      <c r="LM200" s="99"/>
      <c r="LN200" s="99"/>
      <c r="LO200" s="99"/>
      <c r="LP200" s="99"/>
      <c r="LQ200" s="99"/>
      <c r="LR200" s="99"/>
      <c r="LS200" s="99"/>
      <c r="LT200" s="99"/>
      <c r="LU200" s="99"/>
      <c r="LV200" s="99"/>
      <c r="LW200" s="99"/>
      <c r="LX200" s="99"/>
      <c r="LY200" s="99"/>
      <c r="LZ200" s="99"/>
      <c r="MA200" s="99"/>
      <c r="MB200" s="99"/>
      <c r="MC200" s="99"/>
      <c r="MD200" s="99"/>
      <c r="ME200" s="99"/>
      <c r="MF200" s="99"/>
    </row>
    <row r="201" spans="1:344" ht="17.25" customHeight="1" x14ac:dyDescent="0.25">
      <c r="A201" s="156"/>
      <c r="B201" s="90" t="s">
        <v>2</v>
      </c>
      <c r="C201" s="91">
        <v>45335</v>
      </c>
      <c r="D201" s="49"/>
      <c r="G201" s="89">
        <f t="shared" si="194"/>
        <v>0</v>
      </c>
      <c r="H201" s="35">
        <f t="shared" si="195"/>
        <v>0</v>
      </c>
      <c r="I201" s="39"/>
      <c r="L201" s="89">
        <f t="shared" si="196"/>
        <v>0</v>
      </c>
      <c r="M201" s="35">
        <f t="shared" si="217"/>
        <v>0</v>
      </c>
      <c r="N201" s="35">
        <f t="shared" si="218"/>
        <v>0</v>
      </c>
      <c r="O201" s="97" t="e">
        <f>SUM($Z201,$BH201,$AQ201,$BY201,$CP201,$DG201,$DX201,$EO201,$FF201,$FW201,$GN201)/I201</f>
        <v>#DIV/0!</v>
      </c>
      <c r="P201" s="150"/>
      <c r="Q201" s="132">
        <f t="shared" si="355"/>
        <v>0</v>
      </c>
      <c r="R201" s="134">
        <f t="shared" si="356"/>
        <v>0</v>
      </c>
      <c r="S201" s="136">
        <f t="shared" si="357"/>
        <v>0</v>
      </c>
      <c r="T201" s="138">
        <f t="shared" si="358"/>
        <v>0</v>
      </c>
      <c r="U201" s="144">
        <f t="shared" si="359"/>
        <v>0</v>
      </c>
      <c r="W201" s="11">
        <v>0</v>
      </c>
      <c r="X201" s="1">
        <v>0</v>
      </c>
      <c r="Y201" s="35">
        <f t="shared" si="201"/>
        <v>0</v>
      </c>
      <c r="Z201" s="35">
        <f t="shared" si="220"/>
        <v>0</v>
      </c>
      <c r="AA201" s="15">
        <f t="shared" si="233"/>
        <v>1.7727513636483384E-3</v>
      </c>
      <c r="AB201" s="43">
        <f t="shared" si="298"/>
        <v>0.11833868947278835</v>
      </c>
      <c r="AC201" s="43">
        <f t="shared" si="299"/>
        <v>66.754250990531602</v>
      </c>
      <c r="AD201" s="33"/>
      <c r="AH201" s="31"/>
      <c r="AP201" s="35">
        <f t="shared" si="202"/>
        <v>0</v>
      </c>
      <c r="AQ201" s="35">
        <f t="shared" si="221"/>
        <v>0</v>
      </c>
      <c r="AR201" s="15">
        <f t="shared" si="234"/>
        <v>0.53535336621184759</v>
      </c>
      <c r="AS201" s="28">
        <f t="shared" si="235"/>
        <v>246.72892498628255</v>
      </c>
      <c r="AT201" s="28">
        <f t="shared" si="236"/>
        <v>460.87115643286739</v>
      </c>
      <c r="AU201" s="33"/>
      <c r="AY201" s="31"/>
      <c r="BG201" s="35">
        <f t="shared" si="203"/>
        <v>0</v>
      </c>
      <c r="BH201" s="35">
        <f t="shared" si="222"/>
        <v>0</v>
      </c>
      <c r="BI201" s="15">
        <f t="shared" si="237"/>
        <v>0.73731065756009762</v>
      </c>
      <c r="BJ201" s="28">
        <f t="shared" si="238"/>
        <v>379.02579064291268</v>
      </c>
      <c r="BK201" s="28">
        <f t="shared" si="239"/>
        <v>514.06525425413179</v>
      </c>
      <c r="BL201" s="33"/>
      <c r="BP201" s="31"/>
      <c r="BX201" s="35">
        <f t="shared" si="204"/>
        <v>0</v>
      </c>
      <c r="BY201" s="35">
        <f t="shared" si="223"/>
        <v>0</v>
      </c>
      <c r="BZ201" s="15">
        <f t="shared" si="240"/>
        <v>0.56062669547751143</v>
      </c>
      <c r="CA201" s="28">
        <f t="shared" si="241"/>
        <v>235.54647037622499</v>
      </c>
      <c r="CB201" s="28">
        <f t="shared" si="242"/>
        <v>420.14850929565398</v>
      </c>
      <c r="CC201" s="33"/>
      <c r="CG201" s="31"/>
      <c r="CO201" s="35">
        <f t="shared" si="205"/>
        <v>0</v>
      </c>
      <c r="CP201" s="35">
        <f t="shared" si="224"/>
        <v>0</v>
      </c>
      <c r="CQ201" s="15">
        <f t="shared" si="243"/>
        <v>0.61423783095815265</v>
      </c>
      <c r="CR201" s="28">
        <f t="shared" si="244"/>
        <v>304.81028233700749</v>
      </c>
      <c r="CS201" s="28">
        <f t="shared" si="245"/>
        <v>496.24146702513002</v>
      </c>
      <c r="CT201" s="33"/>
      <c r="CX201" s="31"/>
      <c r="DF201" s="35">
        <f t="shared" si="206"/>
        <v>0</v>
      </c>
      <c r="DG201" s="35">
        <f t="shared" si="225"/>
        <v>0</v>
      </c>
      <c r="DH201" s="15">
        <f t="shared" si="246"/>
        <v>0.59743346858135848</v>
      </c>
      <c r="DI201" s="28">
        <f t="shared" si="247"/>
        <v>185.20954446426691</v>
      </c>
      <c r="DJ201" s="28">
        <f t="shared" si="248"/>
        <v>310.00865235096063</v>
      </c>
      <c r="DK201" s="33"/>
      <c r="DO201" s="31"/>
      <c r="DW201" s="35">
        <f t="shared" si="207"/>
        <v>0</v>
      </c>
      <c r="DX201" s="35">
        <f t="shared" si="226"/>
        <v>0</v>
      </c>
      <c r="DY201" s="15">
        <f t="shared" si="249"/>
        <v>0.61855355210426266</v>
      </c>
      <c r="DZ201" s="28">
        <f t="shared" si="250"/>
        <v>180.82037019717947</v>
      </c>
      <c r="EA201" s="28">
        <f t="shared" si="251"/>
        <v>292.32775332393629</v>
      </c>
      <c r="EB201" s="33"/>
      <c r="EF201" s="31"/>
      <c r="EN201" s="35">
        <f t="shared" si="208"/>
        <v>0</v>
      </c>
      <c r="EO201" s="35">
        <f t="shared" si="227"/>
        <v>0</v>
      </c>
      <c r="EP201" s="15">
        <f t="shared" si="252"/>
        <v>0.66042008613060055</v>
      </c>
      <c r="EQ201" s="28">
        <f t="shared" si="253"/>
        <v>355.30281506382198</v>
      </c>
      <c r="ER201" s="28">
        <f t="shared" si="254"/>
        <v>537.99516781135503</v>
      </c>
      <c r="ES201" s="33"/>
      <c r="EW201" s="31"/>
      <c r="FE201" s="35">
        <f t="shared" si="209"/>
        <v>0</v>
      </c>
      <c r="FF201" s="35">
        <f t="shared" si="228"/>
        <v>0</v>
      </c>
      <c r="FG201" s="15">
        <f t="shared" si="255"/>
        <v>0.63803526311403835</v>
      </c>
      <c r="FH201" s="28">
        <f t="shared" si="256"/>
        <v>325.24702026445755</v>
      </c>
      <c r="FI201" s="28">
        <f t="shared" si="257"/>
        <v>509.763392507547</v>
      </c>
      <c r="FJ201" s="33"/>
      <c r="FN201" s="31"/>
      <c r="FV201" s="35">
        <f t="shared" si="210"/>
        <v>0</v>
      </c>
      <c r="FW201" s="35">
        <f t="shared" si="229"/>
        <v>0</v>
      </c>
      <c r="FX201" s="15">
        <f t="shared" si="258"/>
        <v>0.60064118982404335</v>
      </c>
      <c r="FY201" s="28">
        <f t="shared" si="259"/>
        <v>325.67553446020185</v>
      </c>
      <c r="FZ201" s="28">
        <f t="shared" si="260"/>
        <v>542.2131215403457</v>
      </c>
      <c r="GA201" s="33"/>
      <c r="GE201" s="31"/>
      <c r="GM201" s="35">
        <f t="shared" si="211"/>
        <v>0</v>
      </c>
      <c r="GN201" s="35">
        <f t="shared" si="230"/>
        <v>0</v>
      </c>
      <c r="GO201" s="15">
        <f t="shared" si="261"/>
        <v>0.62066473483312223</v>
      </c>
      <c r="GP201" s="28">
        <f t="shared" si="262"/>
        <v>335.64406058542841</v>
      </c>
      <c r="GQ201" s="28">
        <f t="shared" si="263"/>
        <v>540.78158746311374</v>
      </c>
      <c r="GR201" s="33"/>
      <c r="GV201" s="31"/>
      <c r="HD201" s="35">
        <f t="shared" si="212"/>
        <v>0</v>
      </c>
      <c r="HE201" s="35">
        <f t="shared" si="231"/>
        <v>0</v>
      </c>
      <c r="HF201" s="15">
        <f t="shared" si="264"/>
        <v>0.87433337827859448</v>
      </c>
      <c r="HG201" s="28">
        <f t="shared" si="265"/>
        <v>243.46376229492088</v>
      </c>
      <c r="HH201" s="28">
        <f t="shared" si="266"/>
        <v>278.45644275214261</v>
      </c>
      <c r="HI201" s="33"/>
      <c r="HM201" s="31"/>
      <c r="HU201" s="35">
        <f t="shared" si="213"/>
        <v>0</v>
      </c>
      <c r="HV201" s="35">
        <f t="shared" si="232"/>
        <v>0</v>
      </c>
      <c r="HW201" s="15">
        <f t="shared" si="267"/>
        <v>2.0185607797150192E-9</v>
      </c>
      <c r="HX201" s="28">
        <f t="shared" si="268"/>
        <v>8.5562156604910749E-11</v>
      </c>
      <c r="HY201" s="28">
        <f t="shared" si="269"/>
        <v>4.2387703885235717E-2</v>
      </c>
      <c r="HZ201" s="33"/>
      <c r="ID201" s="31"/>
      <c r="II201" s="12"/>
      <c r="IL201" s="35">
        <f t="shared" si="214"/>
        <v>0</v>
      </c>
      <c r="IM201" s="35">
        <f t="shared" si="215"/>
        <v>3044.6103080696025</v>
      </c>
      <c r="IN201" s="15">
        <f t="shared" si="270"/>
        <v>0.1989230588271598</v>
      </c>
      <c r="IO201" s="28">
        <f t="shared" si="271"/>
        <v>6.3285694809840578</v>
      </c>
      <c r="IP201" s="28">
        <f t="shared" si="272"/>
        <v>31.814157284213206</v>
      </c>
      <c r="IQ201" s="33"/>
      <c r="IU201" s="31"/>
      <c r="JC201" s="35">
        <f t="shared" si="369"/>
        <v>0</v>
      </c>
      <c r="JD201" s="35">
        <f t="shared" si="216"/>
        <v>3702.2911779665546</v>
      </c>
      <c r="JE201" s="15">
        <f t="shared" si="273"/>
        <v>0.24021569317090194</v>
      </c>
      <c r="JF201" s="28">
        <f t="shared" si="274"/>
        <v>8.0774926965674538</v>
      </c>
      <c r="JG201" s="28">
        <f t="shared" si="275"/>
        <v>33.625999159100338</v>
      </c>
      <c r="JH201" s="33"/>
      <c r="JL201" s="31"/>
      <c r="JR201" s="99"/>
      <c r="JS201" s="99"/>
      <c r="JT201" s="99"/>
      <c r="JU201" s="99"/>
      <c r="JV201" s="99"/>
      <c r="JW201" s="99"/>
      <c r="JX201" s="99"/>
      <c r="JY201" s="99"/>
      <c r="JZ201" s="99"/>
      <c r="KA201" s="99"/>
      <c r="KB201" s="99"/>
      <c r="KC201" s="99"/>
      <c r="KD201" s="99"/>
      <c r="KE201" s="99"/>
      <c r="KF201" s="99"/>
      <c r="KG201" s="99"/>
      <c r="KH201" s="99"/>
      <c r="KI201" s="99"/>
      <c r="KJ201" s="99"/>
      <c r="KK201" s="99"/>
      <c r="KL201" s="99"/>
      <c r="KM201" s="99"/>
      <c r="KN201" s="99"/>
      <c r="KO201" s="99"/>
      <c r="KP201" s="99"/>
      <c r="KQ201" s="99"/>
      <c r="KR201" s="99"/>
      <c r="KS201" s="99"/>
      <c r="KT201" s="99"/>
      <c r="KU201" s="99"/>
      <c r="KV201" s="99"/>
      <c r="KW201" s="99"/>
      <c r="KX201" s="99"/>
      <c r="KY201" s="99"/>
      <c r="KZ201" s="99"/>
      <c r="LA201" s="99"/>
      <c r="LB201" s="99"/>
      <c r="LC201" s="99"/>
      <c r="LD201" s="99"/>
      <c r="LE201" s="99"/>
      <c r="LF201" s="99"/>
      <c r="LG201" s="99"/>
      <c r="LH201" s="99"/>
      <c r="LI201" s="99"/>
      <c r="LJ201" s="99"/>
      <c r="LK201" s="99"/>
      <c r="LL201" s="99"/>
      <c r="LM201" s="99"/>
      <c r="LN201" s="99"/>
      <c r="LO201" s="99"/>
      <c r="LP201" s="99"/>
      <c r="LQ201" s="99"/>
      <c r="LR201" s="99"/>
      <c r="LS201" s="99"/>
      <c r="LT201" s="99"/>
      <c r="LU201" s="99"/>
      <c r="LV201" s="99"/>
      <c r="LW201" s="99"/>
      <c r="LX201" s="99"/>
      <c r="LY201" s="99"/>
      <c r="LZ201" s="99"/>
      <c r="MA201" s="99"/>
      <c r="MB201" s="99"/>
      <c r="MC201" s="99"/>
      <c r="MD201" s="99"/>
      <c r="ME201" s="99"/>
      <c r="MF201" s="99"/>
    </row>
    <row r="202" spans="1:344" ht="17.25" customHeight="1" x14ac:dyDescent="0.25">
      <c r="A202" s="156"/>
      <c r="B202" s="81" t="s">
        <v>3</v>
      </c>
      <c r="C202" s="82">
        <v>45336</v>
      </c>
      <c r="D202" s="49"/>
      <c r="G202" s="89">
        <f t="shared" si="194"/>
        <v>0</v>
      </c>
      <c r="H202" s="35">
        <f t="shared" si="195"/>
        <v>0</v>
      </c>
      <c r="I202" s="39"/>
      <c r="L202" s="89">
        <f t="shared" si="196"/>
        <v>0</v>
      </c>
      <c r="M202" s="35">
        <f t="shared" si="217"/>
        <v>0</v>
      </c>
      <c r="N202" s="35">
        <f t="shared" si="218"/>
        <v>0</v>
      </c>
      <c r="O202" s="97" t="e">
        <f>SUM($Z202,$BH202,$AQ202,$BY202,$CP202,$DG202,$DX202,$EO202,$FF202,$FW202,$GN202)/D202</f>
        <v>#DIV/0!</v>
      </c>
      <c r="P202" s="150"/>
      <c r="Q202" s="132">
        <f t="shared" si="355"/>
        <v>0</v>
      </c>
      <c r="R202" s="134">
        <f t="shared" si="356"/>
        <v>0</v>
      </c>
      <c r="S202" s="136">
        <f t="shared" si="357"/>
        <v>0</v>
      </c>
      <c r="T202" s="138">
        <f t="shared" si="358"/>
        <v>0</v>
      </c>
      <c r="U202" s="144">
        <f t="shared" si="359"/>
        <v>0</v>
      </c>
      <c r="W202" s="11">
        <v>0</v>
      </c>
      <c r="X202" s="1">
        <v>0</v>
      </c>
      <c r="Y202" s="35">
        <f t="shared" si="201"/>
        <v>0</v>
      </c>
      <c r="Z202" s="35">
        <f t="shared" si="220"/>
        <v>0</v>
      </c>
      <c r="AA202" s="15">
        <f t="shared" si="233"/>
        <v>1.4280497096056061E-3</v>
      </c>
      <c r="AB202" s="43">
        <f t="shared" si="298"/>
        <v>8.8754017104591257E-2</v>
      </c>
      <c r="AC202" s="43">
        <f t="shared" si="299"/>
        <v>62.150509542908729</v>
      </c>
      <c r="AD202" s="33"/>
      <c r="AH202" s="31"/>
      <c r="AP202" s="35">
        <f t="shared" si="202"/>
        <v>0</v>
      </c>
      <c r="AQ202" s="35">
        <f t="shared" si="221"/>
        <v>0</v>
      </c>
      <c r="AR202" s="15">
        <f t="shared" si="234"/>
        <v>0.43125687833732168</v>
      </c>
      <c r="AS202" s="28">
        <f t="shared" si="235"/>
        <v>185.04669373971191</v>
      </c>
      <c r="AT202" s="28">
        <f t="shared" si="236"/>
        <v>429.08693874784205</v>
      </c>
      <c r="AU202" s="33"/>
      <c r="AY202" s="31"/>
      <c r="BG202" s="35">
        <f t="shared" si="203"/>
        <v>0</v>
      </c>
      <c r="BH202" s="35">
        <f t="shared" si="222"/>
        <v>0</v>
      </c>
      <c r="BI202" s="15">
        <f t="shared" si="237"/>
        <v>0.59394469636785652</v>
      </c>
      <c r="BJ202" s="28">
        <f t="shared" si="238"/>
        <v>284.26934298218453</v>
      </c>
      <c r="BK202" s="28">
        <f t="shared" si="239"/>
        <v>478.61247809867439</v>
      </c>
      <c r="BL202" s="33"/>
      <c r="BP202" s="31"/>
      <c r="BX202" s="35">
        <f t="shared" si="204"/>
        <v>0</v>
      </c>
      <c r="BY202" s="35">
        <f t="shared" si="223"/>
        <v>0</v>
      </c>
      <c r="BZ202" s="15">
        <f t="shared" si="240"/>
        <v>0.45161594913466202</v>
      </c>
      <c r="CA202" s="28">
        <f t="shared" si="241"/>
        <v>176.65985278216874</v>
      </c>
      <c r="CB202" s="28">
        <f t="shared" si="242"/>
        <v>391.17275003388471</v>
      </c>
      <c r="CC202" s="33"/>
      <c r="CG202" s="31"/>
      <c r="CO202" s="35">
        <f t="shared" si="205"/>
        <v>0</v>
      </c>
      <c r="CP202" s="35">
        <f t="shared" si="224"/>
        <v>0</v>
      </c>
      <c r="CQ202" s="15">
        <f t="shared" si="243"/>
        <v>0.49480269716073411</v>
      </c>
      <c r="CR202" s="28">
        <f t="shared" si="244"/>
        <v>228.60771175275562</v>
      </c>
      <c r="CS202" s="28">
        <f t="shared" si="245"/>
        <v>462.01791757512103</v>
      </c>
      <c r="CT202" s="33"/>
      <c r="CX202" s="31"/>
      <c r="DF202" s="35">
        <f t="shared" si="206"/>
        <v>0</v>
      </c>
      <c r="DG202" s="35">
        <f t="shared" si="225"/>
        <v>0</v>
      </c>
      <c r="DH202" s="15">
        <f t="shared" si="246"/>
        <v>0.48126584969053887</v>
      </c>
      <c r="DI202" s="28">
        <f t="shared" si="247"/>
        <v>138.9071583482002</v>
      </c>
      <c r="DJ202" s="28">
        <f t="shared" si="248"/>
        <v>288.62874529227366</v>
      </c>
      <c r="DK202" s="33"/>
      <c r="DO202" s="31"/>
      <c r="DW202" s="35">
        <f t="shared" si="207"/>
        <v>0</v>
      </c>
      <c r="DX202" s="35">
        <f t="shared" si="226"/>
        <v>0</v>
      </c>
      <c r="DY202" s="15">
        <f t="shared" si="249"/>
        <v>0.49827925030621162</v>
      </c>
      <c r="DZ202" s="28">
        <f t="shared" si="250"/>
        <v>135.6152776478846</v>
      </c>
      <c r="EA202" s="28">
        <f t="shared" si="251"/>
        <v>272.16721861194065</v>
      </c>
      <c r="EB202" s="33"/>
      <c r="EF202" s="31"/>
      <c r="EN202" s="35">
        <f t="shared" si="208"/>
        <v>0</v>
      </c>
      <c r="EO202" s="35">
        <f t="shared" si="227"/>
        <v>0</v>
      </c>
      <c r="EP202" s="15">
        <f t="shared" si="252"/>
        <v>0.53200506938298375</v>
      </c>
      <c r="EQ202" s="28">
        <f t="shared" si="253"/>
        <v>266.47711129786649</v>
      </c>
      <c r="ER202" s="28">
        <f t="shared" si="254"/>
        <v>500.89205278988226</v>
      </c>
      <c r="ES202" s="33"/>
      <c r="EW202" s="31"/>
      <c r="FE202" s="35">
        <f t="shared" si="209"/>
        <v>0</v>
      </c>
      <c r="FF202" s="35">
        <f t="shared" si="228"/>
        <v>0</v>
      </c>
      <c r="FG202" s="15">
        <f t="shared" si="255"/>
        <v>0.51397285084186428</v>
      </c>
      <c r="FH202" s="28">
        <f t="shared" si="256"/>
        <v>243.93526519834316</v>
      </c>
      <c r="FI202" s="28">
        <f t="shared" si="257"/>
        <v>474.60729647254374</v>
      </c>
      <c r="FJ202" s="33"/>
      <c r="FN202" s="31"/>
      <c r="FV202" s="35">
        <f t="shared" si="210"/>
        <v>0</v>
      </c>
      <c r="FW202" s="35">
        <f t="shared" si="229"/>
        <v>0</v>
      </c>
      <c r="FX202" s="15">
        <f t="shared" si="258"/>
        <v>0.48384984735825715</v>
      </c>
      <c r="FY202" s="28">
        <f t="shared" si="259"/>
        <v>244.2566508451514</v>
      </c>
      <c r="FZ202" s="28">
        <f t="shared" si="260"/>
        <v>504.81911315825289</v>
      </c>
      <c r="GA202" s="33"/>
      <c r="GE202" s="31"/>
      <c r="GM202" s="35">
        <f t="shared" si="211"/>
        <v>0</v>
      </c>
      <c r="GN202" s="35">
        <f t="shared" si="230"/>
        <v>0</v>
      </c>
      <c r="GO202" s="15">
        <f t="shared" si="261"/>
        <v>0.49997992528223739</v>
      </c>
      <c r="GP202" s="28">
        <f t="shared" si="262"/>
        <v>251.7330454390713</v>
      </c>
      <c r="GQ202" s="28">
        <f t="shared" si="263"/>
        <v>503.48630556910587</v>
      </c>
      <c r="GR202" s="33"/>
      <c r="GV202" s="31"/>
      <c r="HD202" s="35">
        <f t="shared" si="212"/>
        <v>0</v>
      </c>
      <c r="HE202" s="35">
        <f t="shared" si="231"/>
        <v>0</v>
      </c>
      <c r="HF202" s="15">
        <f t="shared" si="264"/>
        <v>0.70432411027997888</v>
      </c>
      <c r="HG202" s="28">
        <f t="shared" si="265"/>
        <v>182.59782172119066</v>
      </c>
      <c r="HH202" s="28">
        <f t="shared" si="266"/>
        <v>259.25255014854656</v>
      </c>
      <c r="HI202" s="33"/>
      <c r="HM202" s="31"/>
      <c r="HU202" s="35">
        <f t="shared" si="213"/>
        <v>0</v>
      </c>
      <c r="HV202" s="35">
        <f t="shared" si="232"/>
        <v>0</v>
      </c>
      <c r="HW202" s="15">
        <f t="shared" si="267"/>
        <v>1.6260628503259877E-9</v>
      </c>
      <c r="HX202" s="28">
        <f t="shared" si="268"/>
        <v>6.4171617453683059E-11</v>
      </c>
      <c r="HY202" s="28">
        <f t="shared" si="269"/>
        <v>3.9464413962116009E-2</v>
      </c>
      <c r="HZ202" s="33"/>
      <c r="ID202" s="31"/>
      <c r="II202" s="12"/>
      <c r="IL202" s="35">
        <f t="shared" si="214"/>
        <v>0</v>
      </c>
      <c r="IM202" s="35">
        <f t="shared" si="215"/>
        <v>2663.8580091455024</v>
      </c>
      <c r="IN202" s="15">
        <f t="shared" si="270"/>
        <v>0.16024357516632318</v>
      </c>
      <c r="IO202" s="28">
        <f t="shared" si="271"/>
        <v>4.7464271107380434</v>
      </c>
      <c r="IP202" s="28">
        <f t="shared" si="272"/>
        <v>29.620077471508846</v>
      </c>
      <c r="IQ202" s="33"/>
      <c r="IU202" s="31"/>
      <c r="JC202" s="35">
        <f t="shared" si="369"/>
        <v>0</v>
      </c>
      <c r="JD202" s="35">
        <f t="shared" si="216"/>
        <v>3226.00484297811</v>
      </c>
      <c r="JE202" s="15">
        <f t="shared" si="273"/>
        <v>0.19350708616544879</v>
      </c>
      <c r="JF202" s="28">
        <f t="shared" si="274"/>
        <v>6.0581195224255904</v>
      </c>
      <c r="JG202" s="28">
        <f t="shared" si="275"/>
        <v>31.306964734334798</v>
      </c>
      <c r="JH202" s="33"/>
      <c r="JL202" s="31"/>
      <c r="JR202" s="99"/>
      <c r="JS202" s="99"/>
      <c r="JT202" s="99"/>
      <c r="JU202" s="99"/>
      <c r="JV202" s="99"/>
      <c r="JW202" s="99"/>
      <c r="JX202" s="99"/>
      <c r="JY202" s="99"/>
      <c r="JZ202" s="99"/>
      <c r="KA202" s="99"/>
      <c r="KB202" s="99"/>
      <c r="KC202" s="99"/>
      <c r="KD202" s="99"/>
      <c r="KE202" s="99"/>
      <c r="KF202" s="99"/>
      <c r="KG202" s="99"/>
      <c r="KH202" s="99"/>
      <c r="KI202" s="99"/>
      <c r="KJ202" s="99"/>
      <c r="KK202" s="99"/>
      <c r="KL202" s="99"/>
      <c r="KM202" s="99"/>
      <c r="KN202" s="99"/>
      <c r="KO202" s="99"/>
      <c r="KP202" s="99"/>
      <c r="KQ202" s="99"/>
      <c r="KR202" s="99"/>
      <c r="KS202" s="99"/>
      <c r="KT202" s="99"/>
      <c r="KU202" s="99"/>
      <c r="KV202" s="99"/>
      <c r="KW202" s="99"/>
      <c r="KX202" s="99"/>
      <c r="KY202" s="99"/>
      <c r="KZ202" s="99"/>
      <c r="LA202" s="99"/>
      <c r="LB202" s="99"/>
      <c r="LC202" s="99"/>
      <c r="LD202" s="99"/>
      <c r="LE202" s="99"/>
      <c r="LF202" s="99"/>
      <c r="LG202" s="99"/>
      <c r="LH202" s="99"/>
      <c r="LI202" s="99"/>
      <c r="LJ202" s="99"/>
      <c r="LK202" s="99"/>
      <c r="LL202" s="99"/>
      <c r="LM202" s="99"/>
      <c r="LN202" s="99"/>
      <c r="LO202" s="99"/>
      <c r="LP202" s="99"/>
      <c r="LQ202" s="99"/>
      <c r="LR202" s="99"/>
      <c r="LS202" s="99"/>
      <c r="LT202" s="99"/>
      <c r="LU202" s="99"/>
      <c r="LV202" s="99"/>
      <c r="LW202" s="99"/>
      <c r="LX202" s="99"/>
      <c r="LY202" s="99"/>
      <c r="LZ202" s="99"/>
      <c r="MA202" s="99"/>
      <c r="MB202" s="99"/>
      <c r="MC202" s="99"/>
      <c r="MD202" s="99"/>
      <c r="ME202" s="99"/>
      <c r="MF202" s="99"/>
    </row>
    <row r="203" spans="1:344" ht="17.25" customHeight="1" x14ac:dyDescent="0.25">
      <c r="A203" s="156"/>
      <c r="B203" s="81" t="s">
        <v>4</v>
      </c>
      <c r="C203" s="82">
        <v>45337</v>
      </c>
      <c r="D203" s="49"/>
      <c r="G203" s="89">
        <f t="shared" ref="G203:G266" si="373">AVERAGE(W203,AN203,BE203,BV203,CM203,DD203,DU203,EL203,FC203,FT203,GK203,KI193)</f>
        <v>0</v>
      </c>
      <c r="H203" s="35">
        <f t="shared" ref="H203:H266" si="374">F203*G203</f>
        <v>0</v>
      </c>
      <c r="I203" s="39"/>
      <c r="L203" s="89">
        <f t="shared" ref="L203:L266" si="375">AVERAGE(X203,AO203,BF203,BW203,CN203,DE203,DV203,EM203,FD203,FU203,GL203)</f>
        <v>0</v>
      </c>
      <c r="M203" s="35">
        <f t="shared" si="217"/>
        <v>0</v>
      </c>
      <c r="N203" s="35">
        <f t="shared" si="218"/>
        <v>0</v>
      </c>
      <c r="O203" s="97" t="e">
        <f>SUM($Z203,$BH203,$AQ203,$BY203,$CP203,$DG203,$DX203,$EO203,$FF203,$FW203,$GN203)/D203</f>
        <v>#DIV/0!</v>
      </c>
      <c r="P203" s="150"/>
      <c r="Q203" s="132">
        <f t="shared" si="355"/>
        <v>0</v>
      </c>
      <c r="R203" s="134">
        <f t="shared" si="356"/>
        <v>0</v>
      </c>
      <c r="S203" s="136">
        <f t="shared" si="357"/>
        <v>0</v>
      </c>
      <c r="T203" s="138">
        <f t="shared" si="358"/>
        <v>0</v>
      </c>
      <c r="U203" s="144">
        <f t="shared" si="359"/>
        <v>0</v>
      </c>
      <c r="W203" s="11">
        <v>0</v>
      </c>
      <c r="X203" s="1">
        <v>0</v>
      </c>
      <c r="Y203" s="35">
        <f t="shared" ref="Y203:Y266" si="376">(W203*F203)+X203*K203</f>
        <v>0</v>
      </c>
      <c r="Z203" s="35">
        <f t="shared" si="220"/>
        <v>0</v>
      </c>
      <c r="AA203" s="15">
        <f t="shared" si="233"/>
        <v>1.1503733771822938E-3</v>
      </c>
      <c r="AB203" s="43">
        <f t="shared" si="298"/>
        <v>6.6565512828443446E-2</v>
      </c>
      <c r="AC203" s="43">
        <f t="shared" si="299"/>
        <v>57.864267505466749</v>
      </c>
      <c r="AD203" s="33"/>
      <c r="AH203" s="31"/>
      <c r="AP203" s="35">
        <f t="shared" ref="AP203:AP266" si="377">(AN203*$F203)+AO203*$K203</f>
        <v>0</v>
      </c>
      <c r="AQ203" s="35">
        <f t="shared" si="221"/>
        <v>0</v>
      </c>
      <c r="AR203" s="15">
        <f t="shared" si="234"/>
        <v>0.34740137421617578</v>
      </c>
      <c r="AS203" s="28">
        <f t="shared" si="235"/>
        <v>138.78502030478393</v>
      </c>
      <c r="AT203" s="28">
        <f t="shared" si="236"/>
        <v>399.49473607557707</v>
      </c>
      <c r="AU203" s="33"/>
      <c r="AY203" s="31"/>
      <c r="BG203" s="35">
        <f t="shared" ref="BG203:BG266" si="378">(BE203*$F203)+BF203*$K203</f>
        <v>0</v>
      </c>
      <c r="BH203" s="35">
        <f t="shared" si="222"/>
        <v>0</v>
      </c>
      <c r="BI203" s="15">
        <f t="shared" si="237"/>
        <v>0.47845544985188437</v>
      </c>
      <c r="BJ203" s="28">
        <f t="shared" si="238"/>
        <v>213.20200723663839</v>
      </c>
      <c r="BK203" s="28">
        <f t="shared" si="239"/>
        <v>445.60472098842098</v>
      </c>
      <c r="BL203" s="33"/>
      <c r="BP203" s="31"/>
      <c r="BX203" s="35">
        <f t="shared" ref="BX203:BX266" si="379">(BV203*$F203)+BW203*$K203</f>
        <v>0</v>
      </c>
      <c r="BY203" s="35">
        <f t="shared" si="223"/>
        <v>0</v>
      </c>
      <c r="BZ203" s="15">
        <f t="shared" si="240"/>
        <v>0.36380173680292222</v>
      </c>
      <c r="CA203" s="28">
        <f t="shared" si="241"/>
        <v>132.49488958662656</v>
      </c>
      <c r="CB203" s="28">
        <f t="shared" si="242"/>
        <v>364.19531899706504</v>
      </c>
      <c r="CC203" s="33"/>
      <c r="CG203" s="31"/>
      <c r="CO203" s="35">
        <f t="shared" ref="CO203:CO266" si="380">(CM203*$F203)+CN203*$K203</f>
        <v>0</v>
      </c>
      <c r="CP203" s="35">
        <f t="shared" si="224"/>
        <v>0</v>
      </c>
      <c r="CQ203" s="15">
        <f t="shared" si="243"/>
        <v>0.39859106160170249</v>
      </c>
      <c r="CR203" s="28">
        <f t="shared" si="244"/>
        <v>171.4557838145667</v>
      </c>
      <c r="CS203" s="28">
        <f t="shared" si="245"/>
        <v>430.15461291476782</v>
      </c>
      <c r="CT203" s="33"/>
      <c r="CX203" s="31"/>
      <c r="DF203" s="35">
        <f t="shared" ref="DF203:DF266" si="381">(DD203*$F203)+DE203*$K203</f>
        <v>0</v>
      </c>
      <c r="DG203" s="35">
        <f t="shared" si="225"/>
        <v>0</v>
      </c>
      <c r="DH203" s="15">
        <f t="shared" si="246"/>
        <v>0.3876863789173785</v>
      </c>
      <c r="DI203" s="28">
        <f t="shared" si="247"/>
        <v>104.18036876115015</v>
      </c>
      <c r="DJ203" s="28">
        <f t="shared" si="248"/>
        <v>268.72331458246168</v>
      </c>
      <c r="DK203" s="33"/>
      <c r="DO203" s="31"/>
      <c r="DW203" s="35">
        <f t="shared" ref="DW203:DW266" si="382">(DU203*$F203)+DV203*$K203</f>
        <v>0</v>
      </c>
      <c r="DX203" s="35">
        <f t="shared" si="226"/>
        <v>0</v>
      </c>
      <c r="DY203" s="15">
        <f t="shared" si="249"/>
        <v>0.40139161830222603</v>
      </c>
      <c r="DZ203" s="28">
        <f t="shared" si="250"/>
        <v>101.71145823591345</v>
      </c>
      <c r="EA203" s="28">
        <f t="shared" si="251"/>
        <v>253.39706560422061</v>
      </c>
      <c r="EB203" s="33"/>
      <c r="EF203" s="31"/>
      <c r="EN203" s="35">
        <f t="shared" ref="EN203:EN266" si="383">(EL203*$F203)+EM203*$K203</f>
        <v>0</v>
      </c>
      <c r="EO203" s="35">
        <f t="shared" si="227"/>
        <v>0</v>
      </c>
      <c r="EP203" s="15">
        <f t="shared" si="252"/>
        <v>0.42855963922518137</v>
      </c>
      <c r="EQ203" s="28">
        <f t="shared" si="253"/>
        <v>199.85783347339986</v>
      </c>
      <c r="ER203" s="28">
        <f t="shared" si="254"/>
        <v>466.34777328713176</v>
      </c>
      <c r="ES203" s="33"/>
      <c r="EW203" s="31"/>
      <c r="FE203" s="35">
        <f t="shared" ref="FE203:FE266" si="384">(FC203*$F203)+FD203*$K203</f>
        <v>0</v>
      </c>
      <c r="FF203" s="35">
        <f t="shared" si="228"/>
        <v>0</v>
      </c>
      <c r="FG203" s="15">
        <f t="shared" si="255"/>
        <v>0.41403368540039065</v>
      </c>
      <c r="FH203" s="28">
        <f t="shared" si="256"/>
        <v>182.95144889875738</v>
      </c>
      <c r="FI203" s="28">
        <f t="shared" si="257"/>
        <v>441.87575878478208</v>
      </c>
      <c r="FJ203" s="33"/>
      <c r="FN203" s="31"/>
      <c r="FV203" s="35">
        <f t="shared" ref="FV203:FV266" si="385">(FT203*$F203)+FU203*$K203</f>
        <v>0</v>
      </c>
      <c r="FW203" s="35">
        <f t="shared" si="229"/>
        <v>0</v>
      </c>
      <c r="FX203" s="15">
        <f t="shared" si="258"/>
        <v>0.3897679325941516</v>
      </c>
      <c r="FY203" s="28">
        <f t="shared" si="259"/>
        <v>183.19248813386355</v>
      </c>
      <c r="FZ203" s="28">
        <f t="shared" si="260"/>
        <v>470.00400190595957</v>
      </c>
      <c r="GA203" s="33"/>
      <c r="GE203" s="31"/>
      <c r="GM203" s="35">
        <f t="shared" ref="GM203:GM266" si="386">(GK203*$F203)+GL203*$K203</f>
        <v>0</v>
      </c>
      <c r="GN203" s="35">
        <f t="shared" si="230"/>
        <v>0</v>
      </c>
      <c r="GO203" s="15">
        <f t="shared" si="261"/>
        <v>0.40276160647735798</v>
      </c>
      <c r="GP203" s="28">
        <f t="shared" si="262"/>
        <v>188.79978407930349</v>
      </c>
      <c r="GQ203" s="28">
        <f t="shared" si="263"/>
        <v>468.76311208158131</v>
      </c>
      <c r="GR203" s="33"/>
      <c r="GV203" s="31"/>
      <c r="HD203" s="35">
        <f t="shared" ref="HD203:HD266" si="387">(HB203*$F203)+HC203*$K203</f>
        <v>0</v>
      </c>
      <c r="HE203" s="35">
        <f t="shared" si="231"/>
        <v>0</v>
      </c>
      <c r="HF203" s="15">
        <f t="shared" si="264"/>
        <v>0.56737219994776067</v>
      </c>
      <c r="HG203" s="28">
        <f t="shared" si="265"/>
        <v>136.94836629089298</v>
      </c>
      <c r="HH203" s="28">
        <f t="shared" si="266"/>
        <v>241.37306393140543</v>
      </c>
      <c r="HI203" s="33"/>
      <c r="HM203" s="31"/>
      <c r="HU203" s="35">
        <f t="shared" ref="HU203:HU266" si="388">(HS203*$F203)+HT203*$K203</f>
        <v>0</v>
      </c>
      <c r="HV203" s="35">
        <f t="shared" si="232"/>
        <v>0</v>
      </c>
      <c r="HW203" s="15">
        <f t="shared" si="267"/>
        <v>1.3098839627626012E-9</v>
      </c>
      <c r="HX203" s="28">
        <f t="shared" si="268"/>
        <v>4.8128713090262291E-11</v>
      </c>
      <c r="HY203" s="28">
        <f t="shared" si="269"/>
        <v>3.6742730240590764E-2</v>
      </c>
      <c r="HZ203" s="33"/>
      <c r="ID203" s="31"/>
      <c r="II203" s="12"/>
      <c r="IL203" s="35">
        <f t="shared" ref="IL203:IL266" si="389">(IJ203*$F203)+IK203*$K203</f>
        <v>0</v>
      </c>
      <c r="IM203" s="35">
        <f t="shared" ref="IM203:IM266" si="390">(BX203*1+BY203*2+BZ203*3+CA203*4+CB203*5)+(CC203*1+CD203*2+CE203*3+CF203*4+CG203*5)</f>
        <v>2352.04755854224</v>
      </c>
      <c r="IN203" s="15">
        <f t="shared" si="270"/>
        <v>0.12908510221731589</v>
      </c>
      <c r="IO203" s="28">
        <f t="shared" si="271"/>
        <v>3.5598203330535325</v>
      </c>
      <c r="IP203" s="28">
        <f t="shared" si="272"/>
        <v>27.577313507956511</v>
      </c>
      <c r="IQ203" s="33"/>
      <c r="IU203" s="31"/>
      <c r="JC203" s="35">
        <f t="shared" si="369"/>
        <v>0</v>
      </c>
      <c r="JD203" s="35">
        <f t="shared" ref="JD203:JD266" si="391">(CO203*1+CP203*2+CQ203*3+CR203*4+CS203*5)+(CT203*1+CU203*2+CV203*3+CW203*4+CX203*5)</f>
        <v>2837.7919730169115</v>
      </c>
      <c r="JE203" s="15">
        <f t="shared" si="273"/>
        <v>0.15588070829994485</v>
      </c>
      <c r="JF203" s="28">
        <f t="shared" si="274"/>
        <v>4.5435896418191923</v>
      </c>
      <c r="JG203" s="28">
        <f t="shared" si="275"/>
        <v>29.147863718173777</v>
      </c>
      <c r="JH203" s="33"/>
      <c r="JL203" s="31"/>
      <c r="JR203" s="99"/>
      <c r="JS203" s="99"/>
      <c r="JT203" s="99"/>
      <c r="JU203" s="99"/>
      <c r="JV203" s="99"/>
      <c r="JW203" s="99"/>
      <c r="JX203" s="99"/>
      <c r="JY203" s="99"/>
      <c r="JZ203" s="99"/>
      <c r="KA203" s="99"/>
      <c r="KB203" s="99"/>
      <c r="KC203" s="99"/>
      <c r="KD203" s="99"/>
      <c r="KE203" s="99"/>
      <c r="KF203" s="99"/>
      <c r="KG203" s="99"/>
      <c r="KH203" s="99"/>
      <c r="KI203" s="99"/>
      <c r="KJ203" s="99"/>
      <c r="KK203" s="99"/>
      <c r="KL203" s="99"/>
      <c r="KM203" s="99"/>
      <c r="KN203" s="99"/>
      <c r="KO203" s="99"/>
      <c r="KP203" s="99"/>
      <c r="KQ203" s="99"/>
      <c r="KR203" s="99"/>
      <c r="KS203" s="99"/>
      <c r="KT203" s="99"/>
      <c r="KU203" s="99"/>
      <c r="KV203" s="99"/>
      <c r="KW203" s="99"/>
      <c r="KX203" s="99"/>
      <c r="KY203" s="99"/>
      <c r="KZ203" s="99"/>
      <c r="LA203" s="99"/>
      <c r="LB203" s="99"/>
      <c r="LC203" s="99"/>
      <c r="LD203" s="99"/>
      <c r="LE203" s="99"/>
      <c r="LF203" s="99"/>
      <c r="LG203" s="99"/>
      <c r="LH203" s="99"/>
      <c r="LI203" s="99"/>
      <c r="LJ203" s="99"/>
      <c r="LK203" s="99"/>
      <c r="LL203" s="99"/>
      <c r="LM203" s="99"/>
      <c r="LN203" s="99"/>
      <c r="LO203" s="99"/>
      <c r="LP203" s="99"/>
      <c r="LQ203" s="99"/>
      <c r="LR203" s="99"/>
      <c r="LS203" s="99"/>
      <c r="LT203" s="99"/>
      <c r="LU203" s="99"/>
      <c r="LV203" s="99"/>
      <c r="LW203" s="99"/>
      <c r="LX203" s="99"/>
      <c r="LY203" s="99"/>
      <c r="LZ203" s="99"/>
      <c r="MA203" s="99"/>
      <c r="MB203" s="99"/>
      <c r="MC203" s="99"/>
      <c r="MD203" s="99"/>
      <c r="ME203" s="99"/>
      <c r="MF203" s="99"/>
    </row>
    <row r="204" spans="1:344" ht="17.25" customHeight="1" x14ac:dyDescent="0.25">
      <c r="A204" s="156"/>
      <c r="B204" s="81" t="s">
        <v>5</v>
      </c>
      <c r="C204" s="82">
        <v>45338</v>
      </c>
      <c r="D204" s="49"/>
      <c r="G204" s="89">
        <f t="shared" si="373"/>
        <v>0</v>
      </c>
      <c r="H204" s="35">
        <f t="shared" si="374"/>
        <v>0</v>
      </c>
      <c r="I204" s="39"/>
      <c r="L204" s="89">
        <f t="shared" si="375"/>
        <v>0</v>
      </c>
      <c r="M204" s="35">
        <f t="shared" ref="M204:M267" si="392">K204*L204</f>
        <v>0</v>
      </c>
      <c r="N204" s="35">
        <f t="shared" ref="N204:N267" si="393">H204+M204</f>
        <v>0</v>
      </c>
      <c r="O204" s="97" t="e">
        <f>SUM($Z204,$BH204,$AQ204,$BY204,$CP204,$DG204,$DX204,$EO204,$FF204,$FW204,$GN204)/D204</f>
        <v>#DIV/0!</v>
      </c>
      <c r="P204" s="150"/>
      <c r="Q204" s="132">
        <f t="shared" si="355"/>
        <v>0</v>
      </c>
      <c r="R204" s="134">
        <f t="shared" si="356"/>
        <v>0</v>
      </c>
      <c r="S204" s="136">
        <f t="shared" si="357"/>
        <v>0</v>
      </c>
      <c r="T204" s="138">
        <f t="shared" si="358"/>
        <v>0</v>
      </c>
      <c r="U204" s="144">
        <f t="shared" si="359"/>
        <v>0</v>
      </c>
      <c r="W204" s="11">
        <v>0</v>
      </c>
      <c r="X204" s="1">
        <v>0</v>
      </c>
      <c r="Y204" s="35">
        <f t="shared" si="376"/>
        <v>0</v>
      </c>
      <c r="Z204" s="35">
        <f t="shared" ref="Z204:Z267" si="394">(AD204*1+AE204*2+AF204*3+AG204*4+AH204*5)+(AI204*1+AJ204*2+AK204*3+AL204*4+AM204*5)</f>
        <v>0</v>
      </c>
      <c r="AA204" s="15">
        <f t="shared" si="233"/>
        <v>9.2668966495240332E-4</v>
      </c>
      <c r="AB204" s="43">
        <f t="shared" si="298"/>
        <v>4.9924134621332585E-2</v>
      </c>
      <c r="AC204" s="43">
        <f t="shared" si="299"/>
        <v>53.873628367158695</v>
      </c>
      <c r="AD204" s="33"/>
      <c r="AH204" s="31"/>
      <c r="AP204" s="35">
        <f t="shared" si="377"/>
        <v>0</v>
      </c>
      <c r="AQ204" s="35">
        <f t="shared" ref="AQ204:AQ267" si="395">(AU204*1+AV204*2+AW204*3+AX204*4+AY204*5)+(AZ204*1+BA204*2+BB204*3+BC204*4+BD204*5)</f>
        <v>0</v>
      </c>
      <c r="AR204" s="15">
        <f t="shared" si="234"/>
        <v>0.27985110700747495</v>
      </c>
      <c r="AS204" s="28">
        <f t="shared" si="235"/>
        <v>104.08876522858795</v>
      </c>
      <c r="AT204" s="28">
        <f t="shared" si="236"/>
        <v>371.94337496691656</v>
      </c>
      <c r="AU204" s="33"/>
      <c r="AY204" s="31"/>
      <c r="BG204" s="35">
        <f t="shared" si="378"/>
        <v>0</v>
      </c>
      <c r="BH204" s="35">
        <f t="shared" ref="BH204:BH267" si="396">(BL204*1+BM204*2+BN204*3+BO204*4+BP204*5)+(BQ204*1+BR204*2+BS204*3+BT204*4+BU204*5)</f>
        <v>0</v>
      </c>
      <c r="BI204" s="15">
        <f t="shared" si="237"/>
        <v>0.38542244571401801</v>
      </c>
      <c r="BJ204" s="28">
        <f t="shared" si="238"/>
        <v>159.90150542747881</v>
      </c>
      <c r="BK204" s="28">
        <f t="shared" si="239"/>
        <v>414.87336092025402</v>
      </c>
      <c r="BL204" s="33"/>
      <c r="BP204" s="31"/>
      <c r="BX204" s="35">
        <f t="shared" si="379"/>
        <v>0</v>
      </c>
      <c r="BY204" s="35">
        <f t="shared" ref="BY204:BY267" si="397">(CC204*1+CD204*2+CE204*3+CF204*4+CG204*5)+(CH204*1+CI204*2+CJ204*3+CK204*4+CL204*5)</f>
        <v>0</v>
      </c>
      <c r="BZ204" s="15">
        <f t="shared" si="240"/>
        <v>0.29306251020235402</v>
      </c>
      <c r="CA204" s="28">
        <f t="shared" si="241"/>
        <v>99.371167189969924</v>
      </c>
      <c r="CB204" s="28">
        <f t="shared" si="242"/>
        <v>339.07840044554331</v>
      </c>
      <c r="CC204" s="33"/>
      <c r="CG204" s="31"/>
      <c r="CO204" s="35">
        <f t="shared" si="380"/>
        <v>0</v>
      </c>
      <c r="CP204" s="35">
        <f t="shared" ref="CP204:CP267" si="398">(CT204*1+CU204*2+CV204*3+CW204*4+CX204*5)+(CY204*1+CZ204*2+DA204*3+DB204*4+DC204*5)</f>
        <v>0</v>
      </c>
      <c r="CQ204" s="15">
        <f t="shared" si="243"/>
        <v>0.32108724406803807</v>
      </c>
      <c r="CR204" s="28">
        <f t="shared" si="244"/>
        <v>128.59183786092501</v>
      </c>
      <c r="CS204" s="28">
        <f t="shared" si="245"/>
        <v>400.48877754133554</v>
      </c>
      <c r="CT204" s="33"/>
      <c r="CX204" s="31"/>
      <c r="DF204" s="35">
        <f t="shared" si="381"/>
        <v>0</v>
      </c>
      <c r="DG204" s="35">
        <f t="shared" ref="DG204:DG267" si="399">(DK204*1+DL204*2+DM204*3+DN204*4+DO204*5)+(DP204*1+DQ204*2+DR204*3+DS204*4+DT204*5)</f>
        <v>0</v>
      </c>
      <c r="DH204" s="15">
        <f t="shared" si="246"/>
        <v>0.31230291635011048</v>
      </c>
      <c r="DI204" s="28">
        <f t="shared" si="247"/>
        <v>78.135276570862615</v>
      </c>
      <c r="DJ204" s="28">
        <f t="shared" si="248"/>
        <v>250.19067219746432</v>
      </c>
      <c r="DK204" s="33"/>
      <c r="DO204" s="31"/>
      <c r="DW204" s="35">
        <f t="shared" si="382"/>
        <v>0</v>
      </c>
      <c r="DX204" s="35">
        <f t="shared" ref="DX204:DX267" si="400">(EB204*1+EC204*2+ED204*3+EE204*4+EF204*5)+(EG204*1+EH204*2+EI204*3+EJ204*4+EK204*5)</f>
        <v>0</v>
      </c>
      <c r="DY204" s="15">
        <f t="shared" si="249"/>
        <v>0.32334324807679315</v>
      </c>
      <c r="DZ204" s="28">
        <f t="shared" si="250"/>
        <v>76.283593676935084</v>
      </c>
      <c r="EA204" s="28">
        <f t="shared" si="251"/>
        <v>235.92140590737782</v>
      </c>
      <c r="EB204" s="33"/>
      <c r="EF204" s="31"/>
      <c r="EN204" s="35">
        <f t="shared" si="383"/>
        <v>0</v>
      </c>
      <c r="EO204" s="35">
        <f t="shared" ref="EO204:EO267" si="401">(ES204*1+ET204*2+EU204*3+EV204*4+EW204*5)+(EX204*1+EY204*2+EZ204*3+FA204*4+FB204*5)</f>
        <v>0</v>
      </c>
      <c r="EP204" s="15">
        <f t="shared" si="252"/>
        <v>0.34522859826472946</v>
      </c>
      <c r="EQ204" s="28">
        <f t="shared" si="253"/>
        <v>149.8933751050499</v>
      </c>
      <c r="ER204" s="28">
        <f t="shared" si="254"/>
        <v>434.1858578880192</v>
      </c>
      <c r="ES204" s="33"/>
      <c r="EW204" s="31"/>
      <c r="FE204" s="35">
        <f t="shared" si="384"/>
        <v>0</v>
      </c>
      <c r="FF204" s="35">
        <f t="shared" ref="FF204:FF267" si="402">(FJ204*1+FK204*2+FL204*3+FM204*4+FN204*5)+(FO204*1+FP204*2+FQ204*3+FR204*4+FS204*5)</f>
        <v>0</v>
      </c>
      <c r="FG204" s="15">
        <f t="shared" si="255"/>
        <v>0.33352713546142587</v>
      </c>
      <c r="FH204" s="28">
        <f t="shared" si="256"/>
        <v>137.21358667406804</v>
      </c>
      <c r="FI204" s="28">
        <f t="shared" si="257"/>
        <v>411.40156852376259</v>
      </c>
      <c r="FJ204" s="33"/>
      <c r="FN204" s="31"/>
      <c r="FV204" s="35">
        <f t="shared" si="385"/>
        <v>0</v>
      </c>
      <c r="FW204" s="35">
        <f t="shared" ref="FW204:FW267" si="403">(GA204*1+GB204*2+GC204*3+GD204*4+GE204*5)+(GF204*1+GG204*2+GH204*3+GI204*4+GJ204*5)</f>
        <v>0</v>
      </c>
      <c r="FX204" s="15">
        <f t="shared" si="258"/>
        <v>0.31397972347862213</v>
      </c>
      <c r="FY204" s="28">
        <f t="shared" si="259"/>
        <v>137.39436610039766</v>
      </c>
      <c r="FZ204" s="28">
        <f t="shared" si="260"/>
        <v>437.58993280899682</v>
      </c>
      <c r="GA204" s="33"/>
      <c r="GE204" s="31"/>
      <c r="GM204" s="35">
        <f t="shared" si="386"/>
        <v>0</v>
      </c>
      <c r="GN204" s="35">
        <f t="shared" ref="GN204:GN267" si="404">(GR204*1+GS204*2+GT204*3+GU204*4+GV204*5)+(GW204*1+GX204*2+GY204*3+GZ204*4+HA204*5)</f>
        <v>0</v>
      </c>
      <c r="GO204" s="15">
        <f t="shared" si="261"/>
        <v>0.32444684966231618</v>
      </c>
      <c r="GP204" s="28">
        <f t="shared" si="262"/>
        <v>141.59983805947763</v>
      </c>
      <c r="GQ204" s="28">
        <f t="shared" si="263"/>
        <v>436.43462159319637</v>
      </c>
      <c r="GR204" s="33"/>
      <c r="GV204" s="31"/>
      <c r="HD204" s="35">
        <f t="shared" si="387"/>
        <v>0</v>
      </c>
      <c r="HE204" s="35">
        <f t="shared" ref="HE204:HE267" si="405">(HI204*1+HJ204*2+HK204*3+HL204*4+HM204*5)+(HN204*1+HO204*2+HP204*3+HQ204*4+HR204*5)</f>
        <v>0</v>
      </c>
      <c r="HF204" s="15">
        <f t="shared" si="264"/>
        <v>0.45704982773569613</v>
      </c>
      <c r="HG204" s="28">
        <f t="shared" si="265"/>
        <v>102.71127471816973</v>
      </c>
      <c r="HH204" s="28">
        <f t="shared" si="266"/>
        <v>224.72664572923952</v>
      </c>
      <c r="HI204" s="33"/>
      <c r="HM204" s="31"/>
      <c r="HU204" s="35">
        <f t="shared" si="388"/>
        <v>0</v>
      </c>
      <c r="HV204" s="35">
        <f t="shared" ref="HV204:HV267" si="406">(HZ204*1+IA204*2+IB204*3+IC204*4+ID204*5)+(IE204*1+IF204*2+IG204*3+IH204*4+II204*5)</f>
        <v>0</v>
      </c>
      <c r="HW204" s="15">
        <f t="shared" si="267"/>
        <v>1.0551843033365399E-9</v>
      </c>
      <c r="HX204" s="28">
        <f t="shared" si="268"/>
        <v>3.6096534817696715E-11</v>
      </c>
      <c r="HY204" s="28">
        <f t="shared" si="269"/>
        <v>3.4208748844687949E-2</v>
      </c>
      <c r="HZ204" s="33"/>
      <c r="ID204" s="31"/>
      <c r="II204" s="12"/>
      <c r="IL204" s="35">
        <f t="shared" si="389"/>
        <v>0</v>
      </c>
      <c r="IM204" s="35">
        <f t="shared" si="390"/>
        <v>2093.7558585182032</v>
      </c>
      <c r="IN204" s="15">
        <f t="shared" si="270"/>
        <v>0.10398522123061558</v>
      </c>
      <c r="IO204" s="28">
        <f t="shared" si="271"/>
        <v>2.6698652497901492</v>
      </c>
      <c r="IP204" s="28">
        <f t="shared" si="272"/>
        <v>25.675429817752612</v>
      </c>
      <c r="IQ204" s="33"/>
      <c r="IU204" s="31"/>
      <c r="JC204" s="35">
        <f t="shared" si="369"/>
        <v>0</v>
      </c>
      <c r="JD204" s="35">
        <f t="shared" si="391"/>
        <v>2517.7745008825818</v>
      </c>
      <c r="JE204" s="15">
        <f t="shared" si="273"/>
        <v>0.12557057057495558</v>
      </c>
      <c r="JF204" s="28">
        <f t="shared" si="274"/>
        <v>3.4076922313643943</v>
      </c>
      <c r="JG204" s="28">
        <f t="shared" si="275"/>
        <v>27.13766622036869</v>
      </c>
      <c r="JH204" s="33"/>
      <c r="JL204" s="31"/>
      <c r="JR204" s="99"/>
      <c r="JS204" s="99"/>
      <c r="JT204" s="99"/>
      <c r="JU204" s="99"/>
      <c r="JV204" s="99"/>
      <c r="JW204" s="99"/>
      <c r="JX204" s="99"/>
      <c r="JY204" s="99"/>
      <c r="JZ204" s="99"/>
      <c r="KA204" s="99"/>
      <c r="KB204" s="99"/>
      <c r="KC204" s="99"/>
      <c r="KD204" s="99"/>
      <c r="KE204" s="99"/>
      <c r="KF204" s="99"/>
      <c r="KG204" s="99"/>
      <c r="KH204" s="99"/>
      <c r="KI204" s="99"/>
      <c r="KJ204" s="99"/>
      <c r="KK204" s="99"/>
      <c r="KL204" s="99"/>
      <c r="KM204" s="99"/>
      <c r="KN204" s="99"/>
      <c r="KO204" s="99"/>
      <c r="KP204" s="99"/>
      <c r="KQ204" s="99"/>
      <c r="KR204" s="99"/>
      <c r="KS204" s="99"/>
      <c r="KT204" s="99"/>
      <c r="KU204" s="99"/>
      <c r="KV204" s="99"/>
      <c r="KW204" s="99"/>
      <c r="KX204" s="99"/>
      <c r="KY204" s="99"/>
      <c r="KZ204" s="99"/>
      <c r="LA204" s="99"/>
      <c r="LB204" s="99"/>
      <c r="LC204" s="99"/>
      <c r="LD204" s="99"/>
      <c r="LE204" s="99"/>
      <c r="LF204" s="99"/>
      <c r="LG204" s="99"/>
      <c r="LH204" s="99"/>
      <c r="LI204" s="99"/>
      <c r="LJ204" s="99"/>
      <c r="LK204" s="99"/>
      <c r="LL204" s="99"/>
      <c r="LM204" s="99"/>
      <c r="LN204" s="99"/>
      <c r="LO204" s="99"/>
      <c r="LP204" s="99"/>
      <c r="LQ204" s="99"/>
      <c r="LR204" s="99"/>
      <c r="LS204" s="99"/>
      <c r="LT204" s="99"/>
      <c r="LU204" s="99"/>
      <c r="LV204" s="99"/>
      <c r="LW204" s="99"/>
      <c r="LX204" s="99"/>
      <c r="LY204" s="99"/>
      <c r="LZ204" s="99"/>
      <c r="MA204" s="99"/>
      <c r="MB204" s="99"/>
      <c r="MC204" s="99"/>
      <c r="MD204" s="99"/>
      <c r="ME204" s="99"/>
      <c r="MF204" s="99"/>
    </row>
    <row r="205" spans="1:344" ht="17.25" customHeight="1" x14ac:dyDescent="0.25">
      <c r="A205" s="156"/>
      <c r="B205" s="81" t="s">
        <v>6</v>
      </c>
      <c r="C205" s="82">
        <v>45339</v>
      </c>
      <c r="D205" s="49"/>
      <c r="G205" s="89">
        <f t="shared" si="373"/>
        <v>0</v>
      </c>
      <c r="H205" s="35">
        <f t="shared" si="374"/>
        <v>0</v>
      </c>
      <c r="I205" s="39"/>
      <c r="L205" s="89">
        <f t="shared" si="375"/>
        <v>0</v>
      </c>
      <c r="M205" s="35">
        <f t="shared" si="392"/>
        <v>0</v>
      </c>
      <c r="N205" s="35">
        <f t="shared" si="393"/>
        <v>0</v>
      </c>
      <c r="O205" s="97" t="e">
        <f>SUM($Z205,$BH205,$AQ205,$BY205,$CP205,$DG205,$DX205,$EO205,$FF205,$FW205,$GN205)/D205</f>
        <v>#DIV/0!</v>
      </c>
      <c r="P205" s="150"/>
      <c r="Q205" s="132">
        <f t="shared" si="355"/>
        <v>0</v>
      </c>
      <c r="R205" s="134">
        <f t="shared" si="356"/>
        <v>0</v>
      </c>
      <c r="S205" s="136">
        <f t="shared" si="357"/>
        <v>0</v>
      </c>
      <c r="T205" s="138">
        <f t="shared" si="358"/>
        <v>0</v>
      </c>
      <c r="U205" s="144">
        <f t="shared" si="359"/>
        <v>0</v>
      </c>
      <c r="W205" s="11">
        <v>0</v>
      </c>
      <c r="X205" s="1">
        <v>0</v>
      </c>
      <c r="Y205" s="35">
        <f t="shared" si="376"/>
        <v>0</v>
      </c>
      <c r="Z205" s="35">
        <f t="shared" si="394"/>
        <v>0</v>
      </c>
      <c r="AA205" s="15">
        <f t="shared" ref="AA205:AA268" si="407">AB205/AC205</f>
        <v>7.4650000787832493E-4</v>
      </c>
      <c r="AB205" s="43">
        <f t="shared" si="298"/>
        <v>3.744310096599944E-2</v>
      </c>
      <c r="AC205" s="43">
        <f t="shared" si="299"/>
        <v>50.158205721147752</v>
      </c>
      <c r="AD205" s="33"/>
      <c r="AH205" s="31"/>
      <c r="AP205" s="35">
        <f t="shared" si="377"/>
        <v>0</v>
      </c>
      <c r="AQ205" s="35">
        <f t="shared" si="395"/>
        <v>0</v>
      </c>
      <c r="AR205" s="15">
        <f t="shared" ref="AR205:AR268" si="408">AS205/AT205</f>
        <v>0.22543561397824372</v>
      </c>
      <c r="AS205" s="28">
        <f t="shared" ref="AS205:AS268" si="409">AP205*(2/(7+1))+((1-(2/(7+1)))*AS204)</f>
        <v>78.066573921440963</v>
      </c>
      <c r="AT205" s="28">
        <f t="shared" ref="AT205:AT268" si="410">AP205*(2/(28+1))+((1-(2/(28+1)))*AT204)</f>
        <v>346.29210772781886</v>
      </c>
      <c r="AU205" s="33"/>
      <c r="AY205" s="31"/>
      <c r="BG205" s="35">
        <f t="shared" si="378"/>
        <v>0</v>
      </c>
      <c r="BH205" s="35">
        <f t="shared" si="396"/>
        <v>0</v>
      </c>
      <c r="BI205" s="15">
        <f t="shared" ref="BI205:BI268" si="411">BJ205/BK205</f>
        <v>0.31047919238073673</v>
      </c>
      <c r="BJ205" s="28">
        <f t="shared" ref="BJ205:BJ268" si="412">BG205*(2/(7+1))+((1-(2/(7+1)))*BJ204)</f>
        <v>119.92612907060911</v>
      </c>
      <c r="BK205" s="28">
        <f t="shared" ref="BK205:BK268" si="413">BG205*(2/(28+1))+((1-(2/(28+1)))*BK204)</f>
        <v>386.26140499471927</v>
      </c>
      <c r="BL205" s="33"/>
      <c r="BP205" s="31"/>
      <c r="BX205" s="35">
        <f t="shared" si="379"/>
        <v>0</v>
      </c>
      <c r="BY205" s="35">
        <f t="shared" si="397"/>
        <v>0</v>
      </c>
      <c r="BZ205" s="15">
        <f t="shared" ref="BZ205:BZ268" si="414">CA205/CB205</f>
        <v>0.236078133218563</v>
      </c>
      <c r="CA205" s="28">
        <f t="shared" ref="CA205:CA268" si="415">BX205*(2/(7+1))+((1-(2/(7+1)))*CA204)</f>
        <v>74.528375392477443</v>
      </c>
      <c r="CB205" s="28">
        <f t="shared" ref="CB205:CB268" si="416">BX205*(2/(28+1))+((1-(2/(28+1)))*CB204)</f>
        <v>315.69368317343685</v>
      </c>
      <c r="CC205" s="33"/>
      <c r="CG205" s="31"/>
      <c r="CO205" s="35">
        <f t="shared" si="380"/>
        <v>0</v>
      </c>
      <c r="CP205" s="35">
        <f t="shared" si="398"/>
        <v>0</v>
      </c>
      <c r="CQ205" s="15">
        <f t="shared" ref="CQ205:CQ268" si="417">CR205/CS205</f>
        <v>0.25865361327703068</v>
      </c>
      <c r="CR205" s="28">
        <f t="shared" ref="CR205:CR268" si="418">CO205*(2/(7+1))+((1-(2/(7+1)))*CR204)</f>
        <v>96.443878395693758</v>
      </c>
      <c r="CS205" s="28">
        <f t="shared" ref="CS205:CS268" si="419">CO205*(2/(28+1))+((1-(2/(28+1)))*CS204)</f>
        <v>372.86886184882962</v>
      </c>
      <c r="CT205" s="33"/>
      <c r="CX205" s="31"/>
      <c r="DF205" s="35">
        <f t="shared" si="381"/>
        <v>0</v>
      </c>
      <c r="DG205" s="35">
        <f t="shared" si="399"/>
        <v>0</v>
      </c>
      <c r="DH205" s="15">
        <f t="shared" ref="DH205:DH268" si="420">DI205/DJ205</f>
        <v>0.25157734928203346</v>
      </c>
      <c r="DI205" s="28">
        <f t="shared" ref="DI205:DI268" si="421">DF205*(2/(7+1))+((1-(2/(7+1)))*DI204)</f>
        <v>58.601457428146958</v>
      </c>
      <c r="DJ205" s="28">
        <f t="shared" ref="DJ205:DJ268" si="422">DF205*(2/(28+1))+((1-(2/(28+1)))*DJ204)</f>
        <v>232.93614308039781</v>
      </c>
      <c r="DK205" s="33"/>
      <c r="DO205" s="31"/>
      <c r="DW205" s="35">
        <f t="shared" si="382"/>
        <v>0</v>
      </c>
      <c r="DX205" s="35">
        <f t="shared" si="400"/>
        <v>0</v>
      </c>
      <c r="DY205" s="15">
        <f t="shared" ref="DY205:DY268" si="423">DZ205/EA205</f>
        <v>0.26047094983963892</v>
      </c>
      <c r="DZ205" s="28">
        <f t="shared" ref="DZ205:DZ268" si="424">DW205*(2/(7+1))+((1-(2/(7+1)))*DZ204)</f>
        <v>57.212695257701313</v>
      </c>
      <c r="EA205" s="28">
        <f t="shared" ref="EA205:EA268" si="425">DW205*(2/(28+1))+((1-(2/(28+1)))*EA204)</f>
        <v>219.65096412066211</v>
      </c>
      <c r="EB205" s="33"/>
      <c r="EF205" s="31"/>
      <c r="EN205" s="35">
        <f t="shared" si="383"/>
        <v>0</v>
      </c>
      <c r="EO205" s="35">
        <f t="shared" si="401"/>
        <v>0</v>
      </c>
      <c r="EP205" s="15">
        <f t="shared" ref="EP205:EP268" si="426">EQ205/ER205</f>
        <v>0.27810081526880981</v>
      </c>
      <c r="EQ205" s="28">
        <f t="shared" ref="EQ205:EQ268" si="427">EN205*(2/(7+1))+((1-(2/(7+1)))*EQ204)</f>
        <v>112.42003132878742</v>
      </c>
      <c r="ER205" s="28">
        <f t="shared" ref="ER205:ER268" si="428">EN205*(2/(28+1))+((1-(2/(28+1)))*ER204)</f>
        <v>404.24200561987993</v>
      </c>
      <c r="ES205" s="33"/>
      <c r="EW205" s="31"/>
      <c r="FE205" s="35">
        <f t="shared" si="384"/>
        <v>0</v>
      </c>
      <c r="FF205" s="35">
        <f t="shared" si="402"/>
        <v>0</v>
      </c>
      <c r="FG205" s="15">
        <f t="shared" ref="FG205:FG268" si="429">FH205/FI205</f>
        <v>0.26867463689948196</v>
      </c>
      <c r="FH205" s="28">
        <f t="shared" ref="FH205:FH268" si="430">FE205*(2/(7+1))+((1-(2/(7+1)))*FH204)</f>
        <v>102.91019000555103</v>
      </c>
      <c r="FI205" s="28">
        <f t="shared" ref="FI205:FI268" si="431">FE205*(2/(28+1))+((1-(2/(28+1)))*FI204)</f>
        <v>383.02904655660654</v>
      </c>
      <c r="FJ205" s="33"/>
      <c r="FN205" s="31"/>
      <c r="FV205" s="35">
        <f t="shared" si="385"/>
        <v>0</v>
      </c>
      <c r="FW205" s="35">
        <f t="shared" si="403"/>
        <v>0</v>
      </c>
      <c r="FX205" s="15">
        <f t="shared" ref="FX205:FX268" si="432">FY205/FZ205</f>
        <v>0.2529281105800012</v>
      </c>
      <c r="FY205" s="28">
        <f t="shared" ref="FY205:FY268" si="433">FV205*(2/(7+1))+((1-(2/(7+1)))*FY204)</f>
        <v>103.04577457529825</v>
      </c>
      <c r="FZ205" s="28">
        <f t="shared" ref="FZ205:FZ268" si="434">FV205*(2/(28+1))+((1-(2/(28+1)))*FZ204)</f>
        <v>407.41131675320395</v>
      </c>
      <c r="GA205" s="33"/>
      <c r="GE205" s="31"/>
      <c r="GM205" s="35">
        <f t="shared" si="386"/>
        <v>0</v>
      </c>
      <c r="GN205" s="35">
        <f t="shared" si="404"/>
        <v>0</v>
      </c>
      <c r="GO205" s="15">
        <f t="shared" ref="GO205:GO268" si="435">GP205/GQ205</f>
        <v>0.26135996222797692</v>
      </c>
      <c r="GP205" s="28">
        <f t="shared" ref="GP205:GP268" si="436">GM205*(2/(7+1))+((1-(2/(7+1)))*GP204)</f>
        <v>106.19987854460823</v>
      </c>
      <c r="GQ205" s="28">
        <f t="shared" ref="GQ205:GQ268" si="437">GM205*(2/(28+1))+((1-(2/(28+1)))*GQ204)</f>
        <v>406.33568217297591</v>
      </c>
      <c r="GR205" s="33"/>
      <c r="GV205" s="31"/>
      <c r="HD205" s="35">
        <f t="shared" si="387"/>
        <v>0</v>
      </c>
      <c r="HE205" s="35">
        <f t="shared" si="405"/>
        <v>0</v>
      </c>
      <c r="HF205" s="15">
        <f t="shared" ref="HF205:HF268" si="438">HG205/HH205</f>
        <v>0.36817902789819962</v>
      </c>
      <c r="HG205" s="28">
        <f t="shared" ref="HG205:HG268" si="439">HD205*(2/(7+1))+((1-(2/(7+1)))*HG204)</f>
        <v>77.033456038627293</v>
      </c>
      <c r="HH205" s="28">
        <f t="shared" ref="HH205:HH268" si="440">HD205*(2/(28+1))+((1-(2/(28+1)))*HH204)</f>
        <v>209.2282563686023</v>
      </c>
      <c r="HI205" s="33"/>
      <c r="HM205" s="31"/>
      <c r="HU205" s="35">
        <f t="shared" si="388"/>
        <v>0</v>
      </c>
      <c r="HV205" s="35">
        <f t="shared" si="406"/>
        <v>0</v>
      </c>
      <c r="HW205" s="15">
        <f t="shared" ref="HW205:HW268" si="441">HX205/HY205</f>
        <v>8.5000957768776811E-10</v>
      </c>
      <c r="HX205" s="28">
        <f t="shared" ref="HX205:HX268" si="442">HU205*(2/(7+1))+((1-(2/(7+1)))*HX204)</f>
        <v>2.7072401113272536E-11</v>
      </c>
      <c r="HY205" s="28">
        <f t="shared" ref="HY205:HY268" si="443">HU205*(2/(28+1))+((1-(2/(28+1)))*HY204)</f>
        <v>3.184952478643361E-2</v>
      </c>
      <c r="HZ205" s="33"/>
      <c r="ID205" s="31"/>
      <c r="II205" s="12"/>
      <c r="IL205" s="35">
        <f t="shared" si="389"/>
        <v>0</v>
      </c>
      <c r="IM205" s="35">
        <f t="shared" si="390"/>
        <v>1877.2901518367498</v>
      </c>
      <c r="IN205" s="15">
        <f t="shared" ref="IN205:IN268" si="444">IO205/IP205</f>
        <v>8.3765872657995885E-2</v>
      </c>
      <c r="IO205" s="28">
        <f t="shared" ref="IO205:IO268" si="445">IL205*(2/(7+1))+((1-(2/(7+1)))*IO204)</f>
        <v>2.0023989373426119</v>
      </c>
      <c r="IP205" s="28">
        <f t="shared" ref="IP205:IP268" si="446">IL205*(2/(28+1))+((1-(2/(28+1)))*IP204)</f>
        <v>23.904710519976568</v>
      </c>
      <c r="IQ205" s="33"/>
      <c r="IU205" s="31"/>
      <c r="JC205" s="35">
        <f t="shared" si="369"/>
        <v>0</v>
      </c>
      <c r="JD205" s="35">
        <f t="shared" si="391"/>
        <v>2250.8957836667541</v>
      </c>
      <c r="JE205" s="15">
        <f t="shared" ref="JE205:JE268" si="447">JF205/JG205</f>
        <v>0.10115407074093644</v>
      </c>
      <c r="JF205" s="28">
        <f t="shared" ref="JF205:JF268" si="448">JC205*(2/(7+1))+((1-(2/(7+1)))*JF204)</f>
        <v>2.5557691735232959</v>
      </c>
      <c r="JG205" s="28">
        <f t="shared" ref="JG205:JG268" si="449">JC205*(2/(28+1))+((1-(2/(28+1)))*JG204)</f>
        <v>25.266103032757055</v>
      </c>
      <c r="JH205" s="33"/>
      <c r="JL205" s="31"/>
      <c r="JR205" s="99"/>
      <c r="JS205" s="99"/>
      <c r="JT205" s="99"/>
      <c r="JU205" s="99"/>
      <c r="JV205" s="99"/>
      <c r="JW205" s="99"/>
      <c r="JX205" s="99"/>
      <c r="JY205" s="99"/>
      <c r="JZ205" s="99"/>
      <c r="KA205" s="99"/>
      <c r="KB205" s="99"/>
      <c r="KC205" s="99"/>
      <c r="KD205" s="99"/>
      <c r="KE205" s="99"/>
      <c r="KF205" s="99"/>
      <c r="KG205" s="99"/>
      <c r="KH205" s="99"/>
      <c r="KI205" s="99"/>
      <c r="KJ205" s="99"/>
      <c r="KK205" s="99"/>
      <c r="KL205" s="99"/>
      <c r="KM205" s="99"/>
      <c r="KN205" s="99"/>
      <c r="KO205" s="99"/>
      <c r="KP205" s="99"/>
      <c r="KQ205" s="99"/>
      <c r="KR205" s="99"/>
      <c r="KS205" s="99"/>
      <c r="KT205" s="99"/>
      <c r="KU205" s="99"/>
      <c r="KV205" s="99"/>
      <c r="KW205" s="99"/>
      <c r="KX205" s="99"/>
      <c r="KY205" s="99"/>
      <c r="KZ205" s="99"/>
      <c r="LA205" s="99"/>
      <c r="LB205" s="99"/>
      <c r="LC205" s="99"/>
      <c r="LD205" s="99"/>
      <c r="LE205" s="99"/>
      <c r="LF205" s="99"/>
      <c r="LG205" s="99"/>
      <c r="LH205" s="99"/>
      <c r="LI205" s="99"/>
      <c r="LJ205" s="99"/>
      <c r="LK205" s="99"/>
      <c r="LL205" s="99"/>
      <c r="LM205" s="99"/>
      <c r="LN205" s="99"/>
      <c r="LO205" s="99"/>
      <c r="LP205" s="99"/>
      <c r="LQ205" s="99"/>
      <c r="LR205" s="99"/>
      <c r="LS205" s="99"/>
      <c r="LT205" s="99"/>
      <c r="LU205" s="99"/>
      <c r="LV205" s="99"/>
      <c r="LW205" s="99"/>
      <c r="LX205" s="99"/>
      <c r="LY205" s="99"/>
      <c r="LZ205" s="99"/>
      <c r="MA205" s="99"/>
      <c r="MB205" s="99"/>
      <c r="MC205" s="99"/>
      <c r="MD205" s="99"/>
      <c r="ME205" s="99"/>
      <c r="MF205" s="99"/>
    </row>
    <row r="206" spans="1:344" ht="17.25" customHeight="1" x14ac:dyDescent="0.25">
      <c r="A206" s="157"/>
      <c r="B206" s="83" t="s">
        <v>7</v>
      </c>
      <c r="C206" s="84">
        <v>45340</v>
      </c>
      <c r="D206" s="51"/>
      <c r="E206" s="48"/>
      <c r="F206" s="104"/>
      <c r="G206" s="37">
        <f t="shared" si="373"/>
        <v>0</v>
      </c>
      <c r="H206" s="26">
        <f t="shared" si="374"/>
        <v>0</v>
      </c>
      <c r="I206" s="48"/>
      <c r="J206" s="48"/>
      <c r="K206" s="104"/>
      <c r="L206" s="37">
        <f t="shared" si="375"/>
        <v>0</v>
      </c>
      <c r="M206" s="26">
        <f t="shared" si="392"/>
        <v>0</v>
      </c>
      <c r="N206" s="26">
        <f t="shared" si="393"/>
        <v>0</v>
      </c>
      <c r="O206" s="98" t="e">
        <f>SUM($Z206,$BH206,$AQ206,$BY206,$CP206,$DG206,$DX206,$EO206,$FF206,$FW206,$GN206)/D206</f>
        <v>#DIV/0!</v>
      </c>
      <c r="P206" s="151"/>
      <c r="Q206" s="139">
        <f t="shared" si="355"/>
        <v>0</v>
      </c>
      <c r="R206" s="140">
        <f t="shared" si="356"/>
        <v>0</v>
      </c>
      <c r="S206" s="141">
        <f t="shared" si="357"/>
        <v>0</v>
      </c>
      <c r="T206" s="142">
        <f t="shared" si="358"/>
        <v>0</v>
      </c>
      <c r="U206" s="145">
        <f t="shared" si="359"/>
        <v>0</v>
      </c>
      <c r="V206" s="23"/>
      <c r="W206" s="13">
        <v>0</v>
      </c>
      <c r="X206" s="2">
        <v>0</v>
      </c>
      <c r="Y206" s="26">
        <f t="shared" si="376"/>
        <v>0</v>
      </c>
      <c r="Z206" s="26">
        <f t="shared" si="394"/>
        <v>0</v>
      </c>
      <c r="AA206" s="16">
        <f t="shared" si="407"/>
        <v>6.0134722856865067E-4</v>
      </c>
      <c r="AB206" s="44">
        <f t="shared" si="298"/>
        <v>2.808232572449958E-2</v>
      </c>
      <c r="AC206" s="44">
        <f t="shared" si="299"/>
        <v>46.699019119689282</v>
      </c>
      <c r="AD206" s="34"/>
      <c r="AE206" s="4"/>
      <c r="AF206" s="5"/>
      <c r="AG206" s="6"/>
      <c r="AH206" s="32"/>
      <c r="AI206" s="3"/>
      <c r="AJ206" s="4"/>
      <c r="AK206" s="5"/>
      <c r="AL206" s="6"/>
      <c r="AM206" s="14"/>
      <c r="AN206" s="13"/>
      <c r="AO206" s="2"/>
      <c r="AP206" s="26">
        <f t="shared" si="377"/>
        <v>0</v>
      </c>
      <c r="AQ206" s="26">
        <f t="shared" si="395"/>
        <v>0</v>
      </c>
      <c r="AR206" s="16">
        <f t="shared" si="408"/>
        <v>0.18160091126025188</v>
      </c>
      <c r="AS206" s="29">
        <f t="shared" si="409"/>
        <v>58.549930441080718</v>
      </c>
      <c r="AT206" s="29">
        <f t="shared" si="410"/>
        <v>322.40989340176236</v>
      </c>
      <c r="AU206" s="34"/>
      <c r="AV206" s="4"/>
      <c r="AW206" s="5"/>
      <c r="AX206" s="6"/>
      <c r="AY206" s="32"/>
      <c r="AZ206" s="3"/>
      <c r="BA206" s="4"/>
      <c r="BB206" s="5"/>
      <c r="BC206" s="6"/>
      <c r="BD206" s="14"/>
      <c r="BE206" s="13"/>
      <c r="BF206" s="2"/>
      <c r="BG206" s="26">
        <f t="shared" si="378"/>
        <v>0</v>
      </c>
      <c r="BH206" s="26">
        <f t="shared" si="396"/>
        <v>0</v>
      </c>
      <c r="BI206" s="16">
        <f t="shared" si="411"/>
        <v>0.25010823830670453</v>
      </c>
      <c r="BJ206" s="29">
        <f t="shared" si="412"/>
        <v>89.944596802956823</v>
      </c>
      <c r="BK206" s="29">
        <f t="shared" si="413"/>
        <v>359.62268740887657</v>
      </c>
      <c r="BL206" s="34"/>
      <c r="BM206" s="4"/>
      <c r="BN206" s="5"/>
      <c r="BO206" s="6"/>
      <c r="BP206" s="32"/>
      <c r="BQ206" s="3"/>
      <c r="BR206" s="4"/>
      <c r="BS206" s="5"/>
      <c r="BT206" s="6"/>
      <c r="BU206" s="14"/>
      <c r="BV206" s="13"/>
      <c r="BW206" s="2"/>
      <c r="BX206" s="26">
        <f t="shared" si="379"/>
        <v>0</v>
      </c>
      <c r="BY206" s="26">
        <f t="shared" si="397"/>
        <v>0</v>
      </c>
      <c r="BZ206" s="16">
        <f t="shared" si="414"/>
        <v>0.19017405175939797</v>
      </c>
      <c r="CA206" s="29">
        <f t="shared" si="415"/>
        <v>55.896281544358082</v>
      </c>
      <c r="CB206" s="29">
        <f t="shared" si="416"/>
        <v>293.92170502354463</v>
      </c>
      <c r="CC206" s="34"/>
      <c r="CD206" s="4"/>
      <c r="CE206" s="5"/>
      <c r="CF206" s="6"/>
      <c r="CG206" s="32"/>
      <c r="CH206" s="3"/>
      <c r="CI206" s="4"/>
      <c r="CJ206" s="5"/>
      <c r="CK206" s="6"/>
      <c r="CL206" s="14"/>
      <c r="CM206" s="13"/>
      <c r="CN206" s="2"/>
      <c r="CO206" s="26">
        <f t="shared" si="380"/>
        <v>0</v>
      </c>
      <c r="CP206" s="26">
        <f t="shared" si="398"/>
        <v>0</v>
      </c>
      <c r="CQ206" s="16">
        <f t="shared" si="417"/>
        <v>0.20835985513983024</v>
      </c>
      <c r="CR206" s="29">
        <f t="shared" si="418"/>
        <v>72.332908796770312</v>
      </c>
      <c r="CS206" s="29">
        <f t="shared" si="419"/>
        <v>347.1537679282207</v>
      </c>
      <c r="CT206" s="34"/>
      <c r="CU206" s="4"/>
      <c r="CV206" s="5"/>
      <c r="CW206" s="6"/>
      <c r="CX206" s="32"/>
      <c r="CY206" s="3"/>
      <c r="CZ206" s="4"/>
      <c r="DA206" s="5"/>
      <c r="DB206" s="6"/>
      <c r="DC206" s="14"/>
      <c r="DD206" s="13"/>
      <c r="DE206" s="2"/>
      <c r="DF206" s="26">
        <f t="shared" si="381"/>
        <v>0</v>
      </c>
      <c r="DG206" s="26">
        <f t="shared" si="399"/>
        <v>0</v>
      </c>
      <c r="DH206" s="16">
        <f t="shared" si="420"/>
        <v>0.20265953136608253</v>
      </c>
      <c r="DI206" s="29">
        <f t="shared" si="421"/>
        <v>43.951093071110222</v>
      </c>
      <c r="DJ206" s="29">
        <f t="shared" si="422"/>
        <v>216.87158148864623</v>
      </c>
      <c r="DK206" s="34"/>
      <c r="DL206" s="4"/>
      <c r="DM206" s="5"/>
      <c r="DN206" s="6"/>
      <c r="DO206" s="32"/>
      <c r="DP206" s="3"/>
      <c r="DQ206" s="4"/>
      <c r="DR206" s="5"/>
      <c r="DS206" s="6"/>
      <c r="DT206" s="14"/>
      <c r="DU206" s="13"/>
      <c r="DV206" s="2"/>
      <c r="DW206" s="26">
        <f t="shared" si="382"/>
        <v>0</v>
      </c>
      <c r="DX206" s="26">
        <f t="shared" si="400"/>
        <v>0</v>
      </c>
      <c r="DY206" s="16">
        <f t="shared" si="423"/>
        <v>0.20982382070415359</v>
      </c>
      <c r="DZ206" s="29">
        <f t="shared" si="424"/>
        <v>42.909521443275985</v>
      </c>
      <c r="EA206" s="29">
        <f t="shared" si="425"/>
        <v>204.50262176751301</v>
      </c>
      <c r="EB206" s="34"/>
      <c r="EC206" s="4"/>
      <c r="ED206" s="5"/>
      <c r="EE206" s="6"/>
      <c r="EF206" s="32"/>
      <c r="EG206" s="3"/>
      <c r="EH206" s="4"/>
      <c r="EI206" s="5"/>
      <c r="EJ206" s="6"/>
      <c r="EK206" s="14"/>
      <c r="EL206" s="13"/>
      <c r="EM206" s="2"/>
      <c r="EN206" s="26">
        <f t="shared" si="383"/>
        <v>0</v>
      </c>
      <c r="EO206" s="26">
        <f t="shared" si="401"/>
        <v>0</v>
      </c>
      <c r="EP206" s="16">
        <f t="shared" si="426"/>
        <v>0.22402565674431901</v>
      </c>
      <c r="EQ206" s="29">
        <f t="shared" si="427"/>
        <v>84.315023496590555</v>
      </c>
      <c r="ER206" s="29">
        <f t="shared" si="428"/>
        <v>376.36324661161234</v>
      </c>
      <c r="ES206" s="34"/>
      <c r="ET206" s="4"/>
      <c r="EU206" s="5"/>
      <c r="EV206" s="6"/>
      <c r="EW206" s="32"/>
      <c r="EX206" s="3"/>
      <c r="EY206" s="4"/>
      <c r="EZ206" s="5"/>
      <c r="FA206" s="6"/>
      <c r="FB206" s="14"/>
      <c r="FC206" s="13"/>
      <c r="FD206" s="2"/>
      <c r="FE206" s="26">
        <f t="shared" si="384"/>
        <v>0</v>
      </c>
      <c r="FF206" s="26">
        <f t="shared" si="402"/>
        <v>0</v>
      </c>
      <c r="FG206" s="16">
        <f t="shared" si="429"/>
        <v>0.21643234639124934</v>
      </c>
      <c r="FH206" s="29">
        <f t="shared" si="430"/>
        <v>77.182642504163269</v>
      </c>
      <c r="FI206" s="29">
        <f t="shared" si="431"/>
        <v>356.61325024235782</v>
      </c>
      <c r="FJ206" s="34"/>
      <c r="FK206" s="4"/>
      <c r="FL206" s="5"/>
      <c r="FM206" s="6"/>
      <c r="FN206" s="32"/>
      <c r="FO206" s="3"/>
      <c r="FP206" s="4"/>
      <c r="FQ206" s="5"/>
      <c r="FR206" s="6"/>
      <c r="FS206" s="14"/>
      <c r="FT206" s="13"/>
      <c r="FU206" s="2"/>
      <c r="FV206" s="26">
        <f t="shared" si="385"/>
        <v>0</v>
      </c>
      <c r="FW206" s="26">
        <f t="shared" si="403"/>
        <v>0</v>
      </c>
      <c r="FX206" s="16">
        <f t="shared" si="432"/>
        <v>0.20374764463388986</v>
      </c>
      <c r="FY206" s="29">
        <f t="shared" si="433"/>
        <v>77.28433093147369</v>
      </c>
      <c r="FZ206" s="29">
        <f t="shared" si="434"/>
        <v>379.31398456332778</v>
      </c>
      <c r="GA206" s="34"/>
      <c r="GB206" s="4"/>
      <c r="GC206" s="5"/>
      <c r="GD206" s="6"/>
      <c r="GE206" s="32"/>
      <c r="GF206" s="3"/>
      <c r="GG206" s="4"/>
      <c r="GH206" s="5"/>
      <c r="GI206" s="6"/>
      <c r="GJ206" s="14"/>
      <c r="GK206" s="13"/>
      <c r="GL206" s="2"/>
      <c r="GM206" s="26">
        <f t="shared" si="386"/>
        <v>0</v>
      </c>
      <c r="GN206" s="26">
        <f t="shared" si="404"/>
        <v>0</v>
      </c>
      <c r="GO206" s="16">
        <f t="shared" si="435"/>
        <v>0.21053996957253698</v>
      </c>
      <c r="GP206" s="29">
        <f t="shared" si="436"/>
        <v>79.649908908456169</v>
      </c>
      <c r="GQ206" s="29">
        <f t="shared" si="437"/>
        <v>378.31253167828788</v>
      </c>
      <c r="GR206" s="34"/>
      <c r="GS206" s="4"/>
      <c r="GT206" s="5"/>
      <c r="GU206" s="6"/>
      <c r="GV206" s="32"/>
      <c r="GW206" s="3"/>
      <c r="GX206" s="4"/>
      <c r="GY206" s="5"/>
      <c r="GZ206" s="6"/>
      <c r="HA206" s="14"/>
      <c r="HB206" s="13"/>
      <c r="HC206" s="2"/>
      <c r="HD206" s="26">
        <f t="shared" si="387"/>
        <v>0</v>
      </c>
      <c r="HE206" s="26">
        <f t="shared" si="405"/>
        <v>0</v>
      </c>
      <c r="HF206" s="16">
        <f t="shared" si="438"/>
        <v>0.29658866136243861</v>
      </c>
      <c r="HG206" s="29">
        <f t="shared" si="439"/>
        <v>57.775092028970469</v>
      </c>
      <c r="HH206" s="29">
        <f t="shared" si="440"/>
        <v>194.79872144662971</v>
      </c>
      <c r="HI206" s="34"/>
      <c r="HJ206" s="4"/>
      <c r="HK206" s="5"/>
      <c r="HL206" s="6"/>
      <c r="HM206" s="32"/>
      <c r="HN206" s="3"/>
      <c r="HO206" s="4"/>
      <c r="HP206" s="5"/>
      <c r="HQ206" s="6"/>
      <c r="HR206" s="14"/>
      <c r="HS206" s="13"/>
      <c r="HT206" s="2"/>
      <c r="HU206" s="26">
        <f t="shared" si="388"/>
        <v>0</v>
      </c>
      <c r="HV206" s="26">
        <f t="shared" si="406"/>
        <v>0</v>
      </c>
      <c r="HW206" s="16">
        <f t="shared" si="441"/>
        <v>6.8472993758181328E-10</v>
      </c>
      <c r="HX206" s="29">
        <f t="shared" si="442"/>
        <v>2.0304300834954402E-11</v>
      </c>
      <c r="HY206" s="29">
        <f t="shared" si="443"/>
        <v>2.9653005835645084E-2</v>
      </c>
      <c r="HZ206" s="34"/>
      <c r="IA206" s="4"/>
      <c r="IB206" s="5"/>
      <c r="IC206" s="6"/>
      <c r="ID206" s="32"/>
      <c r="IE206" s="3"/>
      <c r="IF206" s="4"/>
      <c r="IG206" s="5"/>
      <c r="IH206" s="6"/>
      <c r="II206" s="14"/>
      <c r="IJ206" s="13"/>
      <c r="IK206" s="2"/>
      <c r="IL206" s="26">
        <f t="shared" si="389"/>
        <v>0</v>
      </c>
      <c r="IM206" s="26">
        <f t="shared" si="390"/>
        <v>1693.7641734504339</v>
      </c>
      <c r="IN206" s="16">
        <f t="shared" si="444"/>
        <v>6.7478064085607803E-2</v>
      </c>
      <c r="IO206" s="29">
        <f t="shared" si="445"/>
        <v>1.5017992030069589</v>
      </c>
      <c r="IP206" s="29">
        <f t="shared" si="446"/>
        <v>22.256109794460944</v>
      </c>
      <c r="IQ206" s="34"/>
      <c r="IR206" s="4"/>
      <c r="IS206" s="5"/>
      <c r="IT206" s="6"/>
      <c r="IU206" s="32"/>
      <c r="IV206" s="3"/>
      <c r="IW206" s="4"/>
      <c r="IX206" s="5"/>
      <c r="IY206" s="6"/>
      <c r="IZ206" s="14"/>
      <c r="JA206" s="13"/>
      <c r="JB206" s="2"/>
      <c r="JC206" s="26">
        <f t="shared" si="369"/>
        <v>0</v>
      </c>
      <c r="JD206" s="26">
        <f t="shared" si="391"/>
        <v>2025.7255543936044</v>
      </c>
      <c r="JE206" s="16">
        <f t="shared" si="447"/>
        <v>8.1485223652421029E-2</v>
      </c>
      <c r="JF206" s="29">
        <f t="shared" si="448"/>
        <v>1.9168268801424719</v>
      </c>
      <c r="JG206" s="29">
        <f t="shared" si="449"/>
        <v>23.52361316842898</v>
      </c>
      <c r="JH206" s="34"/>
      <c r="JI206" s="4"/>
      <c r="JJ206" s="5"/>
      <c r="JK206" s="6"/>
      <c r="JL206" s="32"/>
      <c r="JM206" s="3"/>
      <c r="JN206" s="4"/>
      <c r="JO206" s="5"/>
      <c r="JP206" s="6"/>
      <c r="JQ206" s="14"/>
      <c r="JR206" s="99"/>
      <c r="JS206" s="99"/>
      <c r="JT206" s="99"/>
      <c r="JU206" s="99"/>
      <c r="JV206" s="99"/>
      <c r="JW206" s="99"/>
      <c r="JX206" s="99"/>
      <c r="JY206" s="99"/>
      <c r="JZ206" s="99"/>
      <c r="KA206" s="99"/>
      <c r="KB206" s="99"/>
      <c r="KC206" s="99"/>
      <c r="KD206" s="99"/>
      <c r="KE206" s="99"/>
      <c r="KF206" s="99"/>
      <c r="KG206" s="99"/>
      <c r="KH206" s="99"/>
      <c r="KI206" s="99"/>
      <c r="KJ206" s="99"/>
      <c r="KK206" s="99"/>
      <c r="KL206" s="99"/>
      <c r="KM206" s="99"/>
      <c r="KN206" s="99"/>
      <c r="KO206" s="99"/>
      <c r="KP206" s="99"/>
      <c r="KQ206" s="99"/>
      <c r="KR206" s="99"/>
      <c r="KS206" s="99"/>
      <c r="KT206" s="99"/>
      <c r="KU206" s="99"/>
      <c r="KV206" s="99"/>
      <c r="KW206" s="99"/>
      <c r="KX206" s="99"/>
      <c r="KY206" s="99"/>
      <c r="KZ206" s="99"/>
      <c r="LA206" s="99"/>
      <c r="LB206" s="99"/>
      <c r="LC206" s="99"/>
      <c r="LD206" s="99"/>
      <c r="LE206" s="99"/>
      <c r="LF206" s="99"/>
      <c r="LG206" s="99"/>
      <c r="LH206" s="99"/>
      <c r="LI206" s="99"/>
      <c r="LJ206" s="99"/>
      <c r="LK206" s="99"/>
      <c r="LL206" s="99"/>
      <c r="LM206" s="99"/>
      <c r="LN206" s="99"/>
      <c r="LO206" s="99"/>
      <c r="LP206" s="99"/>
      <c r="LQ206" s="99"/>
      <c r="LR206" s="99"/>
      <c r="LS206" s="99"/>
      <c r="LT206" s="99"/>
      <c r="LU206" s="99"/>
      <c r="LV206" s="99"/>
      <c r="LW206" s="99"/>
      <c r="LX206" s="99"/>
      <c r="LY206" s="99"/>
      <c r="LZ206" s="99"/>
      <c r="MA206" s="99"/>
      <c r="MB206" s="99"/>
      <c r="MC206" s="99"/>
      <c r="MD206" s="99"/>
      <c r="ME206" s="99"/>
      <c r="MF206" s="99"/>
    </row>
    <row r="207" spans="1:344" ht="17.25" customHeight="1" x14ac:dyDescent="0.25">
      <c r="A207" s="155" t="s">
        <v>35</v>
      </c>
      <c r="B207" s="79" t="s">
        <v>1</v>
      </c>
      <c r="C207" s="80">
        <v>45341</v>
      </c>
      <c r="D207" s="50"/>
      <c r="G207" s="36">
        <f t="shared" si="373"/>
        <v>0</v>
      </c>
      <c r="H207" s="27">
        <f t="shared" si="374"/>
        <v>0</v>
      </c>
      <c r="I207" s="47"/>
      <c r="K207" s="105"/>
      <c r="L207" s="89">
        <f t="shared" si="375"/>
        <v>0</v>
      </c>
      <c r="M207" s="27">
        <f t="shared" si="392"/>
        <v>0</v>
      </c>
      <c r="N207" s="35">
        <f t="shared" si="393"/>
        <v>0</v>
      </c>
      <c r="O207" s="97" t="e">
        <f>SUM($Z207,$BH207,$AQ207,$BY207,$CP207,$DG207,$DX207,$EO207,$FF207,$FW207,$GN207)/I207</f>
        <v>#DIV/0!</v>
      </c>
      <c r="P207" s="149">
        <f t="shared" ref="P207:P270" si="450">SUM(N207:N213)</f>
        <v>0</v>
      </c>
      <c r="Q207" s="131">
        <f t="shared" si="355"/>
        <v>0</v>
      </c>
      <c r="R207" s="133">
        <f t="shared" si="356"/>
        <v>0</v>
      </c>
      <c r="S207" s="135">
        <f t="shared" si="357"/>
        <v>0</v>
      </c>
      <c r="T207" s="137">
        <f t="shared" si="358"/>
        <v>0</v>
      </c>
      <c r="U207" s="143">
        <f t="shared" si="359"/>
        <v>0</v>
      </c>
      <c r="W207" s="11">
        <v>0</v>
      </c>
      <c r="X207" s="1">
        <v>0</v>
      </c>
      <c r="Y207" s="27">
        <f t="shared" si="376"/>
        <v>0</v>
      </c>
      <c r="Z207" s="27">
        <f t="shared" si="394"/>
        <v>0</v>
      </c>
      <c r="AA207" s="15">
        <f t="shared" si="407"/>
        <v>4.8441860079141312E-4</v>
      </c>
      <c r="AB207" s="43">
        <f t="shared" si="298"/>
        <v>2.1061744293374686E-2</v>
      </c>
      <c r="AC207" s="43">
        <f t="shared" si="299"/>
        <v>43.478397111434845</v>
      </c>
      <c r="AD207" s="33"/>
      <c r="AH207" s="31"/>
      <c r="AP207" s="27">
        <f t="shared" si="377"/>
        <v>0</v>
      </c>
      <c r="AQ207" s="27">
        <f t="shared" si="395"/>
        <v>0</v>
      </c>
      <c r="AR207" s="15">
        <f t="shared" si="408"/>
        <v>0.14628962295964734</v>
      </c>
      <c r="AS207" s="28">
        <f t="shared" si="409"/>
        <v>43.912447830810535</v>
      </c>
      <c r="AT207" s="28">
        <f t="shared" si="410"/>
        <v>300.17472833957186</v>
      </c>
      <c r="AU207" s="33"/>
      <c r="AY207" s="31"/>
      <c r="BG207" s="27">
        <f t="shared" si="378"/>
        <v>0</v>
      </c>
      <c r="BH207" s="27">
        <f t="shared" si="396"/>
        <v>0</v>
      </c>
      <c r="BI207" s="15">
        <f t="shared" si="411"/>
        <v>0.2014760808581787</v>
      </c>
      <c r="BJ207" s="28">
        <f t="shared" si="412"/>
        <v>67.458447602217618</v>
      </c>
      <c r="BK207" s="28">
        <f t="shared" si="413"/>
        <v>334.8211227599885</v>
      </c>
      <c r="BL207" s="33"/>
      <c r="BP207" s="31"/>
      <c r="BX207" s="27">
        <f t="shared" si="379"/>
        <v>0</v>
      </c>
      <c r="BY207" s="27">
        <f t="shared" si="397"/>
        <v>0</v>
      </c>
      <c r="BZ207" s="15">
        <f t="shared" si="414"/>
        <v>0.15319576391729281</v>
      </c>
      <c r="CA207" s="28">
        <f t="shared" si="415"/>
        <v>41.92221115826856</v>
      </c>
      <c r="CB207" s="28">
        <f t="shared" si="416"/>
        <v>273.65124260812775</v>
      </c>
      <c r="CC207" s="33"/>
      <c r="CG207" s="31"/>
      <c r="CO207" s="27">
        <f t="shared" si="380"/>
        <v>0</v>
      </c>
      <c r="CP207" s="27">
        <f t="shared" si="398"/>
        <v>0</v>
      </c>
      <c r="CQ207" s="15">
        <f t="shared" si="417"/>
        <v>0.16784543886264103</v>
      </c>
      <c r="CR207" s="28">
        <f t="shared" si="418"/>
        <v>54.249681597577734</v>
      </c>
      <c r="CS207" s="28">
        <f t="shared" si="419"/>
        <v>323.2121287607572</v>
      </c>
      <c r="CT207" s="33"/>
      <c r="CX207" s="31"/>
      <c r="DF207" s="27">
        <f t="shared" si="381"/>
        <v>0</v>
      </c>
      <c r="DG207" s="27">
        <f t="shared" si="399"/>
        <v>0</v>
      </c>
      <c r="DH207" s="15">
        <f t="shared" si="420"/>
        <v>0.16325351137823316</v>
      </c>
      <c r="DI207" s="28">
        <f t="shared" si="421"/>
        <v>32.963319803332666</v>
      </c>
      <c r="DJ207" s="28">
        <f t="shared" si="422"/>
        <v>201.91492069632579</v>
      </c>
      <c r="DK207" s="33"/>
      <c r="DO207" s="31"/>
      <c r="DW207" s="27">
        <f t="shared" si="382"/>
        <v>0</v>
      </c>
      <c r="DX207" s="27">
        <f t="shared" si="400"/>
        <v>0</v>
      </c>
      <c r="DY207" s="15">
        <f t="shared" si="423"/>
        <v>0.16902474445612373</v>
      </c>
      <c r="DZ207" s="28">
        <f t="shared" si="424"/>
        <v>32.182141082456987</v>
      </c>
      <c r="EA207" s="28">
        <f t="shared" si="425"/>
        <v>190.3989926800983</v>
      </c>
      <c r="EB207" s="33"/>
      <c r="EF207" s="31"/>
      <c r="EN207" s="27">
        <f t="shared" si="383"/>
        <v>0</v>
      </c>
      <c r="EO207" s="27">
        <f t="shared" si="401"/>
        <v>0</v>
      </c>
      <c r="EP207" s="15">
        <f t="shared" si="426"/>
        <v>0.18046511237736812</v>
      </c>
      <c r="EQ207" s="28">
        <f t="shared" si="427"/>
        <v>63.236267622442917</v>
      </c>
      <c r="ER207" s="28">
        <f t="shared" si="428"/>
        <v>350.40716063839767</v>
      </c>
      <c r="ES207" s="33"/>
      <c r="EW207" s="31"/>
      <c r="FE207" s="27">
        <f t="shared" si="384"/>
        <v>0</v>
      </c>
      <c r="FF207" s="27">
        <f t="shared" si="402"/>
        <v>0</v>
      </c>
      <c r="FG207" s="15">
        <f t="shared" si="429"/>
        <v>0.1743482790373953</v>
      </c>
      <c r="FH207" s="28">
        <f t="shared" si="430"/>
        <v>57.886981878122455</v>
      </c>
      <c r="FI207" s="28">
        <f t="shared" si="431"/>
        <v>332.01923298426419</v>
      </c>
      <c r="FJ207" s="33"/>
      <c r="FN207" s="31"/>
      <c r="FV207" s="27">
        <f t="shared" si="385"/>
        <v>0</v>
      </c>
      <c r="FW207" s="27">
        <f t="shared" si="403"/>
        <v>0</v>
      </c>
      <c r="FX207" s="15">
        <f t="shared" si="432"/>
        <v>0.16413004706618906</v>
      </c>
      <c r="FY207" s="28">
        <f t="shared" si="433"/>
        <v>57.963248198605271</v>
      </c>
      <c r="FZ207" s="28">
        <f t="shared" si="434"/>
        <v>353.15439942102932</v>
      </c>
      <c r="GA207" s="33"/>
      <c r="GE207" s="31"/>
      <c r="GM207" s="27">
        <f t="shared" si="386"/>
        <v>0</v>
      </c>
      <c r="GN207" s="27">
        <f t="shared" si="404"/>
        <v>0</v>
      </c>
      <c r="GO207" s="15">
        <f t="shared" si="435"/>
        <v>0.16960164215565479</v>
      </c>
      <c r="GP207" s="28">
        <f t="shared" si="436"/>
        <v>59.73743168134213</v>
      </c>
      <c r="GQ207" s="28">
        <f t="shared" si="437"/>
        <v>352.22201225219908</v>
      </c>
      <c r="GR207" s="33"/>
      <c r="GV207" s="31"/>
      <c r="HD207" s="27">
        <f t="shared" si="387"/>
        <v>0</v>
      </c>
      <c r="HE207" s="27">
        <f t="shared" si="405"/>
        <v>0</v>
      </c>
      <c r="HF207" s="15">
        <f t="shared" si="438"/>
        <v>0.23891864387529776</v>
      </c>
      <c r="HG207" s="28">
        <f t="shared" si="439"/>
        <v>43.33131902172785</v>
      </c>
      <c r="HH207" s="28">
        <f t="shared" si="440"/>
        <v>181.36432686410353</v>
      </c>
      <c r="HI207" s="33"/>
      <c r="HM207" s="31"/>
      <c r="HU207" s="27">
        <f t="shared" si="388"/>
        <v>0</v>
      </c>
      <c r="HV207" s="27">
        <f t="shared" si="406"/>
        <v>0</v>
      </c>
      <c r="HW207" s="15">
        <f t="shared" si="441"/>
        <v>5.5158800527423846E-10</v>
      </c>
      <c r="HX207" s="28">
        <f t="shared" si="442"/>
        <v>1.5228225626215802E-11</v>
      </c>
      <c r="HY207" s="28">
        <f t="shared" si="443"/>
        <v>2.760797095042818E-2</v>
      </c>
      <c r="HZ207" s="33"/>
      <c r="ID207" s="31"/>
      <c r="II207" s="12"/>
      <c r="IL207" s="27">
        <f t="shared" si="389"/>
        <v>0</v>
      </c>
      <c r="IM207" s="27">
        <f t="shared" si="390"/>
        <v>1536.4046449654647</v>
      </c>
      <c r="IN207" s="15">
        <f t="shared" si="444"/>
        <v>5.4357329402295172E-2</v>
      </c>
      <c r="IO207" s="28">
        <f t="shared" si="445"/>
        <v>1.1263494022552192</v>
      </c>
      <c r="IP207" s="28">
        <f t="shared" si="446"/>
        <v>20.721205670705015</v>
      </c>
      <c r="IQ207" s="33"/>
      <c r="IU207" s="31"/>
      <c r="JC207" s="27">
        <f t="shared" si="369"/>
        <v>0</v>
      </c>
      <c r="JD207" s="27">
        <f t="shared" si="391"/>
        <v>1833.5629065106848</v>
      </c>
      <c r="JE207" s="15">
        <f t="shared" si="447"/>
        <v>6.5640874608894728E-2</v>
      </c>
      <c r="JF207" s="28">
        <f t="shared" si="448"/>
        <v>1.4376201601068539</v>
      </c>
      <c r="JG207" s="28">
        <f t="shared" si="449"/>
        <v>21.901295018882152</v>
      </c>
      <c r="JH207" s="33"/>
      <c r="JL207" s="31"/>
      <c r="JR207" s="99"/>
      <c r="JS207" s="99"/>
      <c r="JT207" s="99"/>
      <c r="JU207" s="99"/>
      <c r="JV207" s="99"/>
      <c r="JW207" s="99"/>
      <c r="JX207" s="99"/>
      <c r="JY207" s="99"/>
      <c r="JZ207" s="99"/>
      <c r="KA207" s="99"/>
      <c r="KB207" s="99"/>
      <c r="KC207" s="99"/>
      <c r="KD207" s="99"/>
      <c r="KE207" s="99"/>
      <c r="KF207" s="99"/>
      <c r="KG207" s="99"/>
      <c r="KH207" s="99"/>
      <c r="KI207" s="99"/>
      <c r="KJ207" s="99"/>
      <c r="KK207" s="99"/>
      <c r="KL207" s="99"/>
      <c r="KM207" s="99"/>
      <c r="KN207" s="99"/>
      <c r="KO207" s="99"/>
      <c r="KP207" s="99"/>
      <c r="KQ207" s="99"/>
      <c r="KR207" s="99"/>
      <c r="KS207" s="99"/>
      <c r="KT207" s="99"/>
      <c r="KU207" s="99"/>
      <c r="KV207" s="99"/>
      <c r="KW207" s="99"/>
      <c r="KX207" s="99"/>
      <c r="KY207" s="99"/>
      <c r="KZ207" s="99"/>
      <c r="LA207" s="99"/>
      <c r="LB207" s="99"/>
      <c r="LC207" s="99"/>
      <c r="LD207" s="99"/>
      <c r="LE207" s="99"/>
      <c r="LF207" s="99"/>
      <c r="LG207" s="99"/>
      <c r="LH207" s="99"/>
      <c r="LI207" s="99"/>
      <c r="LJ207" s="99"/>
      <c r="LK207" s="99"/>
      <c r="LL207" s="99"/>
      <c r="LM207" s="99"/>
      <c r="LN207" s="99"/>
      <c r="LO207" s="99"/>
      <c r="LP207" s="99"/>
      <c r="LQ207" s="99"/>
      <c r="LR207" s="99"/>
      <c r="LS207" s="99"/>
      <c r="LT207" s="99"/>
      <c r="LU207" s="99"/>
      <c r="LV207" s="99"/>
      <c r="LW207" s="99"/>
      <c r="LX207" s="99"/>
      <c r="LY207" s="99"/>
      <c r="LZ207" s="99"/>
      <c r="MA207" s="99"/>
      <c r="MB207" s="99"/>
      <c r="MC207" s="99"/>
      <c r="MD207" s="99"/>
      <c r="ME207" s="99"/>
      <c r="MF207" s="99"/>
    </row>
    <row r="208" spans="1:344" ht="17.25" customHeight="1" x14ac:dyDescent="0.25">
      <c r="A208" s="156"/>
      <c r="B208" s="81" t="s">
        <v>2</v>
      </c>
      <c r="C208" s="82">
        <v>45342</v>
      </c>
      <c r="D208" s="49"/>
      <c r="G208" s="89">
        <f t="shared" si="373"/>
        <v>0</v>
      </c>
      <c r="H208" s="35">
        <f t="shared" si="374"/>
        <v>0</v>
      </c>
      <c r="I208" s="39"/>
      <c r="L208" s="89">
        <f t="shared" si="375"/>
        <v>0</v>
      </c>
      <c r="M208" s="35">
        <f t="shared" si="392"/>
        <v>0</v>
      </c>
      <c r="N208" s="35">
        <f t="shared" si="393"/>
        <v>0</v>
      </c>
      <c r="O208" s="97" t="e">
        <f>SUM($Z208,$BH208,$AQ208,$BY208,$CP208,$DG208,$DX208,$EO208,$FF208,$FW208,$GN208)/I208</f>
        <v>#DIV/0!</v>
      </c>
      <c r="P208" s="150"/>
      <c r="Q208" s="132">
        <f t="shared" si="355"/>
        <v>0</v>
      </c>
      <c r="R208" s="134">
        <f t="shared" si="356"/>
        <v>0</v>
      </c>
      <c r="S208" s="136">
        <f t="shared" si="357"/>
        <v>0</v>
      </c>
      <c r="T208" s="138">
        <f t="shared" si="358"/>
        <v>0</v>
      </c>
      <c r="U208" s="144">
        <f t="shared" si="359"/>
        <v>0</v>
      </c>
      <c r="W208" s="11">
        <v>0</v>
      </c>
      <c r="X208" s="1">
        <v>0</v>
      </c>
      <c r="Y208" s="35">
        <f t="shared" si="376"/>
        <v>0</v>
      </c>
      <c r="Z208" s="35">
        <f t="shared" si="394"/>
        <v>0</v>
      </c>
      <c r="AA208" s="15">
        <f t="shared" si="407"/>
        <v>3.9022609508197173E-4</v>
      </c>
      <c r="AB208" s="43">
        <f t="shared" si="298"/>
        <v>1.5796308220031016E-2</v>
      </c>
      <c r="AC208" s="43">
        <f t="shared" si="299"/>
        <v>40.47988696581865</v>
      </c>
      <c r="AD208" s="33"/>
      <c r="AH208" s="31"/>
      <c r="AP208" s="35">
        <f t="shared" si="377"/>
        <v>0</v>
      </c>
      <c r="AQ208" s="35">
        <f t="shared" si="395"/>
        <v>0</v>
      </c>
      <c r="AR208" s="15">
        <f t="shared" si="408"/>
        <v>0.11784441849527146</v>
      </c>
      <c r="AS208" s="28">
        <f t="shared" si="409"/>
        <v>32.934335873107898</v>
      </c>
      <c r="AT208" s="28">
        <f t="shared" si="410"/>
        <v>279.47302293684277</v>
      </c>
      <c r="AU208" s="33"/>
      <c r="AY208" s="31"/>
      <c r="BG208" s="35">
        <f t="shared" si="378"/>
        <v>0</v>
      </c>
      <c r="BH208" s="35">
        <f t="shared" si="396"/>
        <v>0</v>
      </c>
      <c r="BI208" s="15">
        <f t="shared" si="411"/>
        <v>0.16230017624686616</v>
      </c>
      <c r="BJ208" s="28">
        <f t="shared" si="412"/>
        <v>50.59383570166321</v>
      </c>
      <c r="BK208" s="28">
        <f t="shared" si="413"/>
        <v>311.73001084550651</v>
      </c>
      <c r="BL208" s="33"/>
      <c r="BP208" s="31"/>
      <c r="BX208" s="35">
        <f t="shared" si="379"/>
        <v>0</v>
      </c>
      <c r="BY208" s="35">
        <f t="shared" si="397"/>
        <v>0</v>
      </c>
      <c r="BZ208" s="15">
        <f t="shared" si="414"/>
        <v>0.12340769871115255</v>
      </c>
      <c r="CA208" s="28">
        <f t="shared" si="415"/>
        <v>31.441658368701418</v>
      </c>
      <c r="CB208" s="28">
        <f t="shared" si="416"/>
        <v>254.77874311791203</v>
      </c>
      <c r="CC208" s="33"/>
      <c r="CG208" s="31"/>
      <c r="CO208" s="35">
        <f t="shared" si="380"/>
        <v>0</v>
      </c>
      <c r="CP208" s="35">
        <f t="shared" si="398"/>
        <v>0</v>
      </c>
      <c r="CQ208" s="15">
        <f t="shared" si="417"/>
        <v>0.13520882575046084</v>
      </c>
      <c r="CR208" s="28">
        <f t="shared" si="418"/>
        <v>40.6872611981833</v>
      </c>
      <c r="CS208" s="28">
        <f t="shared" si="419"/>
        <v>300.92163712208429</v>
      </c>
      <c r="CT208" s="33"/>
      <c r="CX208" s="31"/>
      <c r="DF208" s="35">
        <f t="shared" si="381"/>
        <v>0</v>
      </c>
      <c r="DG208" s="35">
        <f t="shared" si="399"/>
        <v>0</v>
      </c>
      <c r="DH208" s="15">
        <f t="shared" si="420"/>
        <v>0.13150977305468781</v>
      </c>
      <c r="DI208" s="28">
        <f t="shared" si="421"/>
        <v>24.7224898524995</v>
      </c>
      <c r="DJ208" s="28">
        <f t="shared" si="422"/>
        <v>187.98975375175161</v>
      </c>
      <c r="DK208" s="33"/>
      <c r="DO208" s="31"/>
      <c r="DW208" s="35">
        <f t="shared" si="382"/>
        <v>0</v>
      </c>
      <c r="DX208" s="35">
        <f t="shared" si="400"/>
        <v>0</v>
      </c>
      <c r="DY208" s="15">
        <f t="shared" si="423"/>
        <v>0.13615882192298856</v>
      </c>
      <c r="DZ208" s="28">
        <f t="shared" si="424"/>
        <v>24.136605811842742</v>
      </c>
      <c r="EA208" s="28">
        <f t="shared" si="425"/>
        <v>177.26802766767773</v>
      </c>
      <c r="EB208" s="33"/>
      <c r="EF208" s="31"/>
      <c r="EN208" s="35">
        <f t="shared" si="383"/>
        <v>0</v>
      </c>
      <c r="EO208" s="35">
        <f t="shared" si="401"/>
        <v>0</v>
      </c>
      <c r="EP208" s="15">
        <f t="shared" si="426"/>
        <v>0.14537467385954653</v>
      </c>
      <c r="EQ208" s="28">
        <f t="shared" si="427"/>
        <v>47.427200716832189</v>
      </c>
      <c r="ER208" s="28">
        <f t="shared" si="428"/>
        <v>326.2411495598875</v>
      </c>
      <c r="ES208" s="33"/>
      <c r="EW208" s="31"/>
      <c r="FE208" s="35">
        <f t="shared" si="384"/>
        <v>0</v>
      </c>
      <c r="FF208" s="35">
        <f t="shared" si="402"/>
        <v>0</v>
      </c>
      <c r="FG208" s="15">
        <f t="shared" si="429"/>
        <v>0.14044722478012397</v>
      </c>
      <c r="FH208" s="28">
        <f t="shared" si="430"/>
        <v>43.415236408591838</v>
      </c>
      <c r="FI208" s="28">
        <f t="shared" si="431"/>
        <v>309.12135484741839</v>
      </c>
      <c r="FJ208" s="33"/>
      <c r="FN208" s="31"/>
      <c r="FV208" s="35">
        <f t="shared" si="385"/>
        <v>0</v>
      </c>
      <c r="FW208" s="35">
        <f t="shared" si="403"/>
        <v>0</v>
      </c>
      <c r="FX208" s="15">
        <f t="shared" si="432"/>
        <v>0.13221587124776341</v>
      </c>
      <c r="FY208" s="28">
        <f t="shared" si="433"/>
        <v>43.472436148953953</v>
      </c>
      <c r="FZ208" s="28">
        <f t="shared" si="434"/>
        <v>328.79892359888936</v>
      </c>
      <c r="GA208" s="33"/>
      <c r="GE208" s="31"/>
      <c r="GM208" s="35">
        <f t="shared" si="386"/>
        <v>0</v>
      </c>
      <c r="GN208" s="35">
        <f t="shared" si="404"/>
        <v>0</v>
      </c>
      <c r="GO208" s="15">
        <f t="shared" si="435"/>
        <v>0.13662354506983304</v>
      </c>
      <c r="GP208" s="28">
        <f t="shared" si="436"/>
        <v>44.803073761006601</v>
      </c>
      <c r="GQ208" s="28">
        <f t="shared" si="437"/>
        <v>327.93083899342673</v>
      </c>
      <c r="GR208" s="33"/>
      <c r="GV208" s="31"/>
      <c r="HD208" s="35">
        <f t="shared" si="387"/>
        <v>0</v>
      </c>
      <c r="HE208" s="35">
        <f t="shared" si="405"/>
        <v>0</v>
      </c>
      <c r="HF208" s="15">
        <f t="shared" si="438"/>
        <v>0.19246224089954544</v>
      </c>
      <c r="HG208" s="28">
        <f t="shared" si="439"/>
        <v>32.498489266295891</v>
      </c>
      <c r="HH208" s="28">
        <f t="shared" si="440"/>
        <v>168.85644225278605</v>
      </c>
      <c r="HI208" s="33"/>
      <c r="HM208" s="31"/>
      <c r="HU208" s="35">
        <f t="shared" si="388"/>
        <v>0</v>
      </c>
      <c r="HV208" s="35">
        <f t="shared" si="406"/>
        <v>0</v>
      </c>
      <c r="HW208" s="15">
        <f t="shared" si="441"/>
        <v>4.4433478202646992E-10</v>
      </c>
      <c r="HX208" s="28">
        <f t="shared" si="442"/>
        <v>1.1421169219661851E-11</v>
      </c>
      <c r="HY208" s="28">
        <f t="shared" si="443"/>
        <v>2.5703972953846924E-2</v>
      </c>
      <c r="HZ208" s="33"/>
      <c r="ID208" s="31"/>
      <c r="II208" s="12"/>
      <c r="IL208" s="35">
        <f t="shared" si="389"/>
        <v>0</v>
      </c>
      <c r="IM208" s="35">
        <f t="shared" si="390"/>
        <v>1400.0305721604991</v>
      </c>
      <c r="IN208" s="15">
        <f t="shared" si="444"/>
        <v>4.3787848685182228E-2</v>
      </c>
      <c r="IO208" s="28">
        <f t="shared" si="445"/>
        <v>0.84476205169141438</v>
      </c>
      <c r="IP208" s="28">
        <f t="shared" si="446"/>
        <v>19.29215700375984</v>
      </c>
      <c r="IQ208" s="33"/>
      <c r="IU208" s="31"/>
      <c r="JC208" s="35">
        <f t="shared" si="369"/>
        <v>0</v>
      </c>
      <c r="JD208" s="35">
        <f t="shared" si="391"/>
        <v>1667.7628568804062</v>
      </c>
      <c r="JE208" s="15">
        <f t="shared" si="447"/>
        <v>5.2877371212720743E-2</v>
      </c>
      <c r="JF208" s="28">
        <f t="shared" si="448"/>
        <v>1.0782151200801404</v>
      </c>
      <c r="JG208" s="28">
        <f t="shared" si="449"/>
        <v>20.390860879648901</v>
      </c>
      <c r="JH208" s="33"/>
      <c r="JL208" s="31"/>
      <c r="JR208" s="99"/>
      <c r="JS208" s="99"/>
      <c r="JT208" s="99"/>
      <c r="JU208" s="99"/>
      <c r="JV208" s="99"/>
      <c r="JW208" s="99"/>
      <c r="JX208" s="99"/>
      <c r="JY208" s="99"/>
      <c r="JZ208" s="99"/>
      <c r="KA208" s="99"/>
      <c r="KB208" s="99"/>
      <c r="KC208" s="99"/>
      <c r="KD208" s="99"/>
      <c r="KE208" s="99"/>
      <c r="KF208" s="99"/>
      <c r="KG208" s="99"/>
      <c r="KH208" s="99"/>
      <c r="KI208" s="99"/>
      <c r="KJ208" s="99"/>
      <c r="KK208" s="99"/>
      <c r="KL208" s="99"/>
      <c r="KM208" s="99"/>
      <c r="KN208" s="99"/>
      <c r="KO208" s="99"/>
      <c r="KP208" s="99"/>
      <c r="KQ208" s="99"/>
      <c r="KR208" s="99"/>
      <c r="KS208" s="99"/>
      <c r="KT208" s="99"/>
      <c r="KU208" s="99"/>
      <c r="KV208" s="99"/>
      <c r="KW208" s="99"/>
      <c r="KX208" s="99"/>
      <c r="KY208" s="99"/>
      <c r="KZ208" s="99"/>
      <c r="LA208" s="99"/>
      <c r="LB208" s="99"/>
      <c r="LC208" s="99"/>
      <c r="LD208" s="99"/>
      <c r="LE208" s="99"/>
      <c r="LF208" s="99"/>
      <c r="LG208" s="99"/>
      <c r="LH208" s="99"/>
      <c r="LI208" s="99"/>
      <c r="LJ208" s="99"/>
      <c r="LK208" s="99"/>
      <c r="LL208" s="99"/>
      <c r="LM208" s="99"/>
      <c r="LN208" s="99"/>
      <c r="LO208" s="99"/>
      <c r="LP208" s="99"/>
      <c r="LQ208" s="99"/>
      <c r="LR208" s="99"/>
      <c r="LS208" s="99"/>
      <c r="LT208" s="99"/>
      <c r="LU208" s="99"/>
      <c r="LV208" s="99"/>
      <c r="LW208" s="99"/>
      <c r="LX208" s="99"/>
      <c r="LY208" s="99"/>
      <c r="LZ208" s="99"/>
      <c r="MA208" s="99"/>
      <c r="MB208" s="99"/>
      <c r="MC208" s="99"/>
      <c r="MD208" s="99"/>
      <c r="ME208" s="99"/>
      <c r="MF208" s="99"/>
    </row>
    <row r="209" spans="1:344" ht="17.25" customHeight="1" x14ac:dyDescent="0.25">
      <c r="A209" s="156"/>
      <c r="B209" s="81" t="s">
        <v>3</v>
      </c>
      <c r="C209" s="82">
        <v>45343</v>
      </c>
      <c r="D209" s="49"/>
      <c r="G209" s="89">
        <f t="shared" si="373"/>
        <v>0</v>
      </c>
      <c r="H209" s="35">
        <f t="shared" si="374"/>
        <v>0</v>
      </c>
      <c r="I209" s="39"/>
      <c r="L209" s="89">
        <f t="shared" si="375"/>
        <v>0</v>
      </c>
      <c r="M209" s="35">
        <f t="shared" si="392"/>
        <v>0</v>
      </c>
      <c r="N209" s="35">
        <f t="shared" si="393"/>
        <v>0</v>
      </c>
      <c r="O209" s="97" t="e">
        <f>SUM($Z209,$BH209,$AQ209,$BY209,$CP209,$DG209,$DX209,$EO209,$FF209,$FW209,$GN209)/D209</f>
        <v>#DIV/0!</v>
      </c>
      <c r="P209" s="150"/>
      <c r="Q209" s="132">
        <f t="shared" si="355"/>
        <v>0</v>
      </c>
      <c r="R209" s="134">
        <f t="shared" si="356"/>
        <v>0</v>
      </c>
      <c r="S209" s="136">
        <f t="shared" si="357"/>
        <v>0</v>
      </c>
      <c r="T209" s="138">
        <f t="shared" si="358"/>
        <v>0</v>
      </c>
      <c r="U209" s="144">
        <f t="shared" si="359"/>
        <v>0</v>
      </c>
      <c r="W209" s="11">
        <v>0</v>
      </c>
      <c r="X209" s="1">
        <v>0</v>
      </c>
      <c r="Y209" s="35">
        <f t="shared" si="376"/>
        <v>0</v>
      </c>
      <c r="Z209" s="35">
        <f t="shared" si="394"/>
        <v>0</v>
      </c>
      <c r="AA209" s="15">
        <f t="shared" si="407"/>
        <v>3.1434879881603279E-4</v>
      </c>
      <c r="AB209" s="43">
        <f t="shared" si="298"/>
        <v>1.1847231165023262E-2</v>
      </c>
      <c r="AC209" s="43">
        <f t="shared" si="299"/>
        <v>37.688170623348398</v>
      </c>
      <c r="AD209" s="33"/>
      <c r="AH209" s="31"/>
      <c r="AP209" s="35">
        <f t="shared" si="377"/>
        <v>0</v>
      </c>
      <c r="AQ209" s="35">
        <f t="shared" si="395"/>
        <v>0</v>
      </c>
      <c r="AR209" s="15">
        <f t="shared" si="408"/>
        <v>9.4930226010079791E-2</v>
      </c>
      <c r="AS209" s="28">
        <f t="shared" si="409"/>
        <v>24.700751904830923</v>
      </c>
      <c r="AT209" s="28">
        <f t="shared" si="410"/>
        <v>260.19902135499154</v>
      </c>
      <c r="AU209" s="33"/>
      <c r="AY209" s="31"/>
      <c r="BG209" s="35">
        <f t="shared" si="378"/>
        <v>0</v>
      </c>
      <c r="BH209" s="35">
        <f t="shared" si="396"/>
        <v>0</v>
      </c>
      <c r="BI209" s="15">
        <f t="shared" si="411"/>
        <v>0.13074180864330887</v>
      </c>
      <c r="BJ209" s="28">
        <f t="shared" si="412"/>
        <v>37.945376776247407</v>
      </c>
      <c r="BK209" s="28">
        <f t="shared" si="413"/>
        <v>290.23138940788539</v>
      </c>
      <c r="BL209" s="33"/>
      <c r="BP209" s="31"/>
      <c r="BX209" s="35">
        <f t="shared" si="379"/>
        <v>0</v>
      </c>
      <c r="BY209" s="35">
        <f t="shared" si="397"/>
        <v>0</v>
      </c>
      <c r="BZ209" s="15">
        <f t="shared" si="414"/>
        <v>9.9411757295095118E-2</v>
      </c>
      <c r="CA209" s="28">
        <f t="shared" si="415"/>
        <v>23.581243776526065</v>
      </c>
      <c r="CB209" s="28">
        <f t="shared" si="416"/>
        <v>237.20779531667671</v>
      </c>
      <c r="CC209" s="33"/>
      <c r="CG209" s="31"/>
      <c r="CO209" s="35">
        <f t="shared" si="380"/>
        <v>0</v>
      </c>
      <c r="CP209" s="35">
        <f t="shared" si="398"/>
        <v>0</v>
      </c>
      <c r="CQ209" s="15">
        <f t="shared" si="417"/>
        <v>0.10891822074342677</v>
      </c>
      <c r="CR209" s="28">
        <f t="shared" si="418"/>
        <v>30.515445898637473</v>
      </c>
      <c r="CS209" s="28">
        <f t="shared" si="419"/>
        <v>280.16842076883711</v>
      </c>
      <c r="CT209" s="33"/>
      <c r="CX209" s="31"/>
      <c r="DF209" s="35">
        <f t="shared" si="381"/>
        <v>0</v>
      </c>
      <c r="DG209" s="35">
        <f t="shared" si="399"/>
        <v>0</v>
      </c>
      <c r="DH209" s="15">
        <f t="shared" si="420"/>
        <v>0.10593842829405406</v>
      </c>
      <c r="DI209" s="28">
        <f t="shared" si="421"/>
        <v>18.541867389374623</v>
      </c>
      <c r="DJ209" s="28">
        <f t="shared" si="422"/>
        <v>175.02494314818253</v>
      </c>
      <c r="DK209" s="33"/>
      <c r="DO209" s="31"/>
      <c r="DW209" s="35">
        <f t="shared" si="382"/>
        <v>0</v>
      </c>
      <c r="DX209" s="35">
        <f t="shared" si="400"/>
        <v>0</v>
      </c>
      <c r="DY209" s="15">
        <f t="shared" si="423"/>
        <v>0.10968349543796302</v>
      </c>
      <c r="DZ209" s="28">
        <f t="shared" si="424"/>
        <v>18.102454358882056</v>
      </c>
      <c r="EA209" s="28">
        <f t="shared" si="425"/>
        <v>165.04264644921719</v>
      </c>
      <c r="EB209" s="33"/>
      <c r="EF209" s="31"/>
      <c r="EN209" s="35">
        <f t="shared" si="383"/>
        <v>0</v>
      </c>
      <c r="EO209" s="35">
        <f t="shared" si="401"/>
        <v>0</v>
      </c>
      <c r="EP209" s="15">
        <f t="shared" si="426"/>
        <v>0.11710737616463471</v>
      </c>
      <c r="EQ209" s="28">
        <f t="shared" si="427"/>
        <v>35.570400537624138</v>
      </c>
      <c r="ER209" s="28">
        <f t="shared" si="428"/>
        <v>303.74175993506765</v>
      </c>
      <c r="ES209" s="33"/>
      <c r="EW209" s="31"/>
      <c r="FE209" s="35">
        <f t="shared" si="384"/>
        <v>0</v>
      </c>
      <c r="FF209" s="35">
        <f t="shared" si="402"/>
        <v>0</v>
      </c>
      <c r="FG209" s="15">
        <f t="shared" si="429"/>
        <v>0.11313804218398875</v>
      </c>
      <c r="FH209" s="28">
        <f t="shared" si="430"/>
        <v>32.561427306443875</v>
      </c>
      <c r="FI209" s="28">
        <f t="shared" si="431"/>
        <v>287.80264072001023</v>
      </c>
      <c r="FJ209" s="33"/>
      <c r="FN209" s="31"/>
      <c r="FV209" s="35">
        <f t="shared" si="385"/>
        <v>0</v>
      </c>
      <c r="FW209" s="35">
        <f t="shared" si="403"/>
        <v>0</v>
      </c>
      <c r="FX209" s="15">
        <f t="shared" si="432"/>
        <v>0.10650722961625385</v>
      </c>
      <c r="FY209" s="28">
        <f t="shared" si="433"/>
        <v>32.604327111715463</v>
      </c>
      <c r="FZ209" s="28">
        <f t="shared" si="434"/>
        <v>306.12313576448321</v>
      </c>
      <c r="GA209" s="33"/>
      <c r="GE209" s="31"/>
      <c r="GM209" s="35">
        <f t="shared" si="386"/>
        <v>0</v>
      </c>
      <c r="GN209" s="35">
        <f t="shared" si="404"/>
        <v>0</v>
      </c>
      <c r="GO209" s="15">
        <f t="shared" si="435"/>
        <v>0.11005785575069886</v>
      </c>
      <c r="GP209" s="28">
        <f t="shared" si="436"/>
        <v>33.602305320754951</v>
      </c>
      <c r="GQ209" s="28">
        <f t="shared" si="437"/>
        <v>305.31491906284555</v>
      </c>
      <c r="GR209" s="33"/>
      <c r="GV209" s="31"/>
      <c r="HD209" s="35">
        <f t="shared" si="387"/>
        <v>0</v>
      </c>
      <c r="HE209" s="35">
        <f t="shared" si="405"/>
        <v>0</v>
      </c>
      <c r="HF209" s="15">
        <f t="shared" si="438"/>
        <v>0.15503902739130052</v>
      </c>
      <c r="HG209" s="28">
        <f t="shared" si="439"/>
        <v>24.373866949721918</v>
      </c>
      <c r="HH209" s="28">
        <f t="shared" si="440"/>
        <v>157.21117037328355</v>
      </c>
      <c r="HI209" s="33"/>
      <c r="HM209" s="31"/>
      <c r="HU209" s="35">
        <f t="shared" si="388"/>
        <v>0</v>
      </c>
      <c r="HV209" s="35">
        <f t="shared" si="406"/>
        <v>0</v>
      </c>
      <c r="HW209" s="15">
        <f t="shared" si="441"/>
        <v>3.5793635218798969E-10</v>
      </c>
      <c r="HX209" s="28">
        <f t="shared" si="442"/>
        <v>8.5658769147463884E-12</v>
      </c>
      <c r="HY209" s="28">
        <f t="shared" si="443"/>
        <v>2.3931285163926445E-2</v>
      </c>
      <c r="HZ209" s="33"/>
      <c r="ID209" s="31"/>
      <c r="II209" s="12"/>
      <c r="IL209" s="35">
        <f t="shared" si="389"/>
        <v>0</v>
      </c>
      <c r="IM209" s="35">
        <f t="shared" si="390"/>
        <v>1280.6621869613732</v>
      </c>
      <c r="IN209" s="15">
        <f t="shared" si="444"/>
        <v>3.5273544774174569E-2</v>
      </c>
      <c r="IO209" s="28">
        <f t="shared" si="445"/>
        <v>0.63357153876856076</v>
      </c>
      <c r="IP209" s="28">
        <f t="shared" si="446"/>
        <v>17.961663417293643</v>
      </c>
      <c r="IQ209" s="33"/>
      <c r="IU209" s="31"/>
      <c r="JC209" s="35">
        <f t="shared" si="369"/>
        <v>0</v>
      </c>
      <c r="JD209" s="35">
        <f t="shared" si="391"/>
        <v>1523.2306421009657</v>
      </c>
      <c r="JE209" s="15">
        <f t="shared" si="447"/>
        <v>4.2595660143580599E-2</v>
      </c>
      <c r="JF209" s="28">
        <f t="shared" si="448"/>
        <v>0.80866134006010526</v>
      </c>
      <c r="JG209" s="28">
        <f t="shared" si="449"/>
        <v>18.984594612086909</v>
      </c>
      <c r="JH209" s="33"/>
      <c r="JL209" s="31"/>
      <c r="JR209" s="99"/>
      <c r="JS209" s="99"/>
      <c r="JT209" s="99"/>
      <c r="JU209" s="99"/>
      <c r="JV209" s="99"/>
      <c r="JW209" s="99"/>
      <c r="JX209" s="99"/>
      <c r="JY209" s="99"/>
      <c r="JZ209" s="99"/>
      <c r="KA209" s="99"/>
      <c r="KB209" s="99"/>
      <c r="KC209" s="99"/>
      <c r="KD209" s="99"/>
      <c r="KE209" s="99"/>
      <c r="KF209" s="99"/>
      <c r="KG209" s="99"/>
      <c r="KH209" s="99"/>
      <c r="KI209" s="99"/>
      <c r="KJ209" s="99"/>
      <c r="KK209" s="99"/>
      <c r="KL209" s="99"/>
      <c r="KM209" s="99"/>
      <c r="KN209" s="99"/>
      <c r="KO209" s="99"/>
      <c r="KP209" s="99"/>
      <c r="KQ209" s="99"/>
      <c r="KR209" s="99"/>
      <c r="KS209" s="99"/>
      <c r="KT209" s="99"/>
      <c r="KU209" s="99"/>
      <c r="KV209" s="99"/>
      <c r="KW209" s="99"/>
      <c r="KX209" s="99"/>
      <c r="KY209" s="99"/>
      <c r="KZ209" s="99"/>
      <c r="LA209" s="99"/>
      <c r="LB209" s="99"/>
      <c r="LC209" s="99"/>
      <c r="LD209" s="99"/>
      <c r="LE209" s="99"/>
      <c r="LF209" s="99"/>
      <c r="LG209" s="99"/>
      <c r="LH209" s="99"/>
      <c r="LI209" s="99"/>
      <c r="LJ209" s="99"/>
      <c r="LK209" s="99"/>
      <c r="LL209" s="99"/>
      <c r="LM209" s="99"/>
      <c r="LN209" s="99"/>
      <c r="LO209" s="99"/>
      <c r="LP209" s="99"/>
      <c r="LQ209" s="99"/>
      <c r="LR209" s="99"/>
      <c r="LS209" s="99"/>
      <c r="LT209" s="99"/>
      <c r="LU209" s="99"/>
      <c r="LV209" s="99"/>
      <c r="LW209" s="99"/>
      <c r="LX209" s="99"/>
      <c r="LY209" s="99"/>
      <c r="LZ209" s="99"/>
      <c r="MA209" s="99"/>
      <c r="MB209" s="99"/>
      <c r="MC209" s="99"/>
      <c r="MD209" s="99"/>
      <c r="ME209" s="99"/>
      <c r="MF209" s="99"/>
    </row>
    <row r="210" spans="1:344" ht="17.25" customHeight="1" x14ac:dyDescent="0.25">
      <c r="A210" s="156"/>
      <c r="B210" s="81" t="s">
        <v>4</v>
      </c>
      <c r="C210" s="82">
        <v>45344</v>
      </c>
      <c r="D210" s="49"/>
      <c r="G210" s="89">
        <f t="shared" si="373"/>
        <v>0</v>
      </c>
      <c r="H210" s="35">
        <f t="shared" si="374"/>
        <v>0</v>
      </c>
      <c r="I210" s="39"/>
      <c r="L210" s="89">
        <f t="shared" si="375"/>
        <v>0</v>
      </c>
      <c r="M210" s="35">
        <f t="shared" si="392"/>
        <v>0</v>
      </c>
      <c r="N210" s="35">
        <f t="shared" si="393"/>
        <v>0</v>
      </c>
      <c r="O210" s="97" t="e">
        <f>SUM($Z210,$BH210,$AQ210,$BY210,$CP210,$DG210,$DX210,$EO210,$FF210,$FW210,$GN210)/D210</f>
        <v>#DIV/0!</v>
      </c>
      <c r="P210" s="150"/>
      <c r="Q210" s="132">
        <f t="shared" si="355"/>
        <v>0</v>
      </c>
      <c r="R210" s="134">
        <f t="shared" si="356"/>
        <v>0</v>
      </c>
      <c r="S210" s="136">
        <f t="shared" si="357"/>
        <v>0</v>
      </c>
      <c r="T210" s="138">
        <f t="shared" si="358"/>
        <v>0</v>
      </c>
      <c r="U210" s="144">
        <f t="shared" si="359"/>
        <v>0</v>
      </c>
      <c r="W210" s="11">
        <v>0</v>
      </c>
      <c r="X210" s="1">
        <v>0</v>
      </c>
      <c r="Y210" s="35">
        <f t="shared" si="376"/>
        <v>0</v>
      </c>
      <c r="Z210" s="35">
        <f t="shared" si="394"/>
        <v>0</v>
      </c>
      <c r="AA210" s="15">
        <f t="shared" si="407"/>
        <v>2.5322542126847089E-4</v>
      </c>
      <c r="AB210" s="43">
        <f t="shared" si="298"/>
        <v>8.8854233737674475E-3</v>
      </c>
      <c r="AC210" s="43">
        <f t="shared" si="299"/>
        <v>35.088986442427817</v>
      </c>
      <c r="AD210" s="33"/>
      <c r="AH210" s="31"/>
      <c r="AP210" s="35">
        <f t="shared" si="377"/>
        <v>0</v>
      </c>
      <c r="AQ210" s="35">
        <f t="shared" si="395"/>
        <v>0</v>
      </c>
      <c r="AR210" s="15">
        <f t="shared" si="408"/>
        <v>7.647157095256428E-2</v>
      </c>
      <c r="AS210" s="28">
        <f t="shared" si="409"/>
        <v>18.525563928623193</v>
      </c>
      <c r="AT210" s="28">
        <f t="shared" si="410"/>
        <v>242.25426126154383</v>
      </c>
      <c r="AU210" s="33"/>
      <c r="AY210" s="31"/>
      <c r="BG210" s="35">
        <f t="shared" si="378"/>
        <v>0</v>
      </c>
      <c r="BH210" s="35">
        <f t="shared" si="396"/>
        <v>0</v>
      </c>
      <c r="BI210" s="15">
        <f t="shared" si="411"/>
        <v>0.10531979029599881</v>
      </c>
      <c r="BJ210" s="28">
        <f t="shared" si="412"/>
        <v>28.459032582185557</v>
      </c>
      <c r="BK210" s="28">
        <f t="shared" si="413"/>
        <v>270.2154315176864</v>
      </c>
      <c r="BL210" s="33"/>
      <c r="BP210" s="31"/>
      <c r="BX210" s="35">
        <f t="shared" si="379"/>
        <v>0</v>
      </c>
      <c r="BY210" s="35">
        <f t="shared" si="397"/>
        <v>0</v>
      </c>
      <c r="BZ210" s="15">
        <f t="shared" si="414"/>
        <v>8.0081693376604396E-2</v>
      </c>
      <c r="CA210" s="28">
        <f t="shared" si="415"/>
        <v>17.685932832394549</v>
      </c>
      <c r="CB210" s="28">
        <f t="shared" si="416"/>
        <v>220.84863701897487</v>
      </c>
      <c r="CC210" s="33"/>
      <c r="CG210" s="31"/>
      <c r="CO210" s="35">
        <f t="shared" si="380"/>
        <v>0</v>
      </c>
      <c r="CP210" s="35">
        <f t="shared" si="398"/>
        <v>0</v>
      </c>
      <c r="CQ210" s="15">
        <f t="shared" si="417"/>
        <v>8.7739677821093792E-2</v>
      </c>
      <c r="CR210" s="28">
        <f t="shared" si="418"/>
        <v>22.886584423978107</v>
      </c>
      <c r="CS210" s="28">
        <f t="shared" si="419"/>
        <v>260.84646071581386</v>
      </c>
      <c r="CT210" s="33"/>
      <c r="CX210" s="31"/>
      <c r="DF210" s="35">
        <f t="shared" si="381"/>
        <v>0</v>
      </c>
      <c r="DG210" s="35">
        <f t="shared" si="399"/>
        <v>0</v>
      </c>
      <c r="DH210" s="15">
        <f t="shared" si="420"/>
        <v>8.5339289459099105E-2</v>
      </c>
      <c r="DI210" s="28">
        <f t="shared" si="421"/>
        <v>13.906400542030967</v>
      </c>
      <c r="DJ210" s="28">
        <f t="shared" si="422"/>
        <v>162.9542574138251</v>
      </c>
      <c r="DK210" s="33"/>
      <c r="DO210" s="31"/>
      <c r="DW210" s="35">
        <f t="shared" si="382"/>
        <v>0</v>
      </c>
      <c r="DX210" s="35">
        <f t="shared" si="400"/>
        <v>0</v>
      </c>
      <c r="DY210" s="15">
        <f t="shared" si="423"/>
        <v>8.8356149102803538E-2</v>
      </c>
      <c r="DZ210" s="28">
        <f t="shared" si="424"/>
        <v>13.576840769161542</v>
      </c>
      <c r="EA210" s="28">
        <f t="shared" si="425"/>
        <v>153.66039496996083</v>
      </c>
      <c r="EB210" s="33"/>
      <c r="EF210" s="31"/>
      <c r="EN210" s="35">
        <f t="shared" si="383"/>
        <v>0</v>
      </c>
      <c r="EO210" s="35">
        <f t="shared" si="401"/>
        <v>0</v>
      </c>
      <c r="EP210" s="15">
        <f t="shared" si="426"/>
        <v>9.4336497465955738E-2</v>
      </c>
      <c r="EQ210" s="28">
        <f t="shared" si="427"/>
        <v>26.677800403218104</v>
      </c>
      <c r="ER210" s="28">
        <f t="shared" si="428"/>
        <v>282.79405235333883</v>
      </c>
      <c r="ES210" s="33"/>
      <c r="EW210" s="31"/>
      <c r="FE210" s="35">
        <f t="shared" si="384"/>
        <v>0</v>
      </c>
      <c r="FF210" s="35">
        <f t="shared" si="402"/>
        <v>0</v>
      </c>
      <c r="FG210" s="15">
        <f t="shared" si="429"/>
        <v>9.1138978425990932E-2</v>
      </c>
      <c r="FH210" s="28">
        <f t="shared" si="430"/>
        <v>24.421070479832906</v>
      </c>
      <c r="FI210" s="28">
        <f t="shared" si="431"/>
        <v>267.95418273931989</v>
      </c>
      <c r="FJ210" s="33"/>
      <c r="FN210" s="31"/>
      <c r="FV210" s="35">
        <f t="shared" si="385"/>
        <v>0</v>
      </c>
      <c r="FW210" s="35">
        <f t="shared" si="403"/>
        <v>0</v>
      </c>
      <c r="FX210" s="15">
        <f t="shared" si="432"/>
        <v>8.5797490524204503E-2</v>
      </c>
      <c r="FY210" s="28">
        <f t="shared" si="433"/>
        <v>24.453245333786597</v>
      </c>
      <c r="FZ210" s="28">
        <f t="shared" si="434"/>
        <v>285.01119536693261</v>
      </c>
      <c r="GA210" s="33"/>
      <c r="GE210" s="31"/>
      <c r="GM210" s="35">
        <f t="shared" si="386"/>
        <v>0</v>
      </c>
      <c r="GN210" s="35">
        <f t="shared" si="404"/>
        <v>0</v>
      </c>
      <c r="GO210" s="15">
        <f t="shared" si="435"/>
        <v>8.8657717132507419E-2</v>
      </c>
      <c r="GP210" s="28">
        <f t="shared" si="436"/>
        <v>25.201728990566213</v>
      </c>
      <c r="GQ210" s="28">
        <f t="shared" si="437"/>
        <v>284.25871774816653</v>
      </c>
      <c r="GR210" s="33"/>
      <c r="GV210" s="31"/>
      <c r="HD210" s="35">
        <f t="shared" si="387"/>
        <v>0</v>
      </c>
      <c r="HE210" s="35">
        <f t="shared" si="405"/>
        <v>0</v>
      </c>
      <c r="HF210" s="15">
        <f t="shared" si="438"/>
        <v>0.12489254984299208</v>
      </c>
      <c r="HG210" s="28">
        <f t="shared" si="439"/>
        <v>18.28040021229144</v>
      </c>
      <c r="HH210" s="28">
        <f t="shared" si="440"/>
        <v>146.36902069236743</v>
      </c>
      <c r="HI210" s="33"/>
      <c r="HM210" s="31"/>
      <c r="HU210" s="35">
        <f t="shared" si="388"/>
        <v>0</v>
      </c>
      <c r="HV210" s="35">
        <f t="shared" si="406"/>
        <v>0</v>
      </c>
      <c r="HW210" s="15">
        <f t="shared" si="441"/>
        <v>2.8833761704032503E-10</v>
      </c>
      <c r="HX210" s="28">
        <f t="shared" si="442"/>
        <v>6.4244076860597913E-12</v>
      </c>
      <c r="HY210" s="28">
        <f t="shared" si="443"/>
        <v>2.2280851704345312E-2</v>
      </c>
      <c r="HZ210" s="33"/>
      <c r="ID210" s="31"/>
      <c r="II210" s="12"/>
      <c r="IL210" s="35">
        <f t="shared" si="389"/>
        <v>0</v>
      </c>
      <c r="IM210" s="35">
        <f t="shared" si="390"/>
        <v>1175.2271615045825</v>
      </c>
      <c r="IN210" s="15">
        <f t="shared" si="444"/>
        <v>2.8414799956973959E-2</v>
      </c>
      <c r="IO210" s="28">
        <f t="shared" si="445"/>
        <v>0.47517865407642057</v>
      </c>
      <c r="IP210" s="28">
        <f t="shared" si="446"/>
        <v>16.722928009204427</v>
      </c>
      <c r="IQ210" s="33"/>
      <c r="IU210" s="31"/>
      <c r="JC210" s="35">
        <f t="shared" si="369"/>
        <v>0</v>
      </c>
      <c r="JD210" s="35">
        <f t="shared" si="391"/>
        <v>1396.0418603084452</v>
      </c>
      <c r="JE210" s="15">
        <f t="shared" si="447"/>
        <v>3.4313170671217703E-2</v>
      </c>
      <c r="JF210" s="28">
        <f t="shared" si="448"/>
        <v>0.60649600504507895</v>
      </c>
      <c r="JG210" s="28">
        <f t="shared" si="449"/>
        <v>17.675312225046433</v>
      </c>
      <c r="JH210" s="33"/>
      <c r="JL210" s="31"/>
      <c r="JR210" s="99"/>
      <c r="JS210" s="99"/>
      <c r="JT210" s="99"/>
      <c r="JU210" s="99"/>
      <c r="JV210" s="99"/>
      <c r="JW210" s="99"/>
      <c r="JX210" s="99"/>
      <c r="JY210" s="99"/>
      <c r="JZ210" s="99"/>
      <c r="KA210" s="99"/>
      <c r="KB210" s="99"/>
      <c r="KC210" s="99"/>
      <c r="KD210" s="99"/>
      <c r="KE210" s="99"/>
      <c r="KF210" s="99"/>
      <c r="KG210" s="99"/>
      <c r="KH210" s="99"/>
      <c r="KI210" s="99"/>
      <c r="KJ210" s="99"/>
      <c r="KK210" s="99"/>
      <c r="KL210" s="99"/>
      <c r="KM210" s="99"/>
      <c r="KN210" s="99"/>
      <c r="KO210" s="99"/>
      <c r="KP210" s="99"/>
      <c r="KQ210" s="99"/>
      <c r="KR210" s="99"/>
      <c r="KS210" s="99"/>
      <c r="KT210" s="99"/>
      <c r="KU210" s="99"/>
      <c r="KV210" s="99"/>
      <c r="KW210" s="99"/>
      <c r="KX210" s="99"/>
      <c r="KY210" s="99"/>
      <c r="KZ210" s="99"/>
      <c r="LA210" s="99"/>
      <c r="LB210" s="99"/>
      <c r="LC210" s="99"/>
      <c r="LD210" s="99"/>
      <c r="LE210" s="99"/>
      <c r="LF210" s="99"/>
      <c r="LG210" s="99"/>
      <c r="LH210" s="99"/>
      <c r="LI210" s="99"/>
      <c r="LJ210" s="99"/>
      <c r="LK210" s="99"/>
      <c r="LL210" s="99"/>
      <c r="LM210" s="99"/>
      <c r="LN210" s="99"/>
      <c r="LO210" s="99"/>
      <c r="LP210" s="99"/>
      <c r="LQ210" s="99"/>
      <c r="LR210" s="99"/>
      <c r="LS210" s="99"/>
      <c r="LT210" s="99"/>
      <c r="LU210" s="99"/>
      <c r="LV210" s="99"/>
      <c r="LW210" s="99"/>
      <c r="LX210" s="99"/>
      <c r="LY210" s="99"/>
      <c r="LZ210" s="99"/>
      <c r="MA210" s="99"/>
      <c r="MB210" s="99"/>
      <c r="MC210" s="99"/>
      <c r="MD210" s="99"/>
      <c r="ME210" s="99"/>
      <c r="MF210" s="99"/>
    </row>
    <row r="211" spans="1:344" ht="17.25" customHeight="1" x14ac:dyDescent="0.25">
      <c r="A211" s="156"/>
      <c r="B211" s="81" t="s">
        <v>5</v>
      </c>
      <c r="C211" s="82">
        <v>45345</v>
      </c>
      <c r="D211" s="49"/>
      <c r="G211" s="89">
        <f t="shared" si="373"/>
        <v>0</v>
      </c>
      <c r="H211" s="35">
        <f t="shared" si="374"/>
        <v>0</v>
      </c>
      <c r="I211" s="39"/>
      <c r="L211" s="89">
        <f t="shared" si="375"/>
        <v>0</v>
      </c>
      <c r="M211" s="35">
        <f t="shared" si="392"/>
        <v>0</v>
      </c>
      <c r="N211" s="35">
        <f t="shared" si="393"/>
        <v>0</v>
      </c>
      <c r="O211" s="97" t="e">
        <f>SUM($Z211,$BH211,$AQ211,$BY211,$CP211,$DG211,$DX211,$EO211,$FF211,$FW211,$GN211)/D211</f>
        <v>#DIV/0!</v>
      </c>
      <c r="P211" s="150"/>
      <c r="Q211" s="132">
        <f t="shared" si="355"/>
        <v>0</v>
      </c>
      <c r="R211" s="134">
        <f t="shared" si="356"/>
        <v>0</v>
      </c>
      <c r="S211" s="136">
        <f t="shared" si="357"/>
        <v>0</v>
      </c>
      <c r="T211" s="138">
        <f t="shared" si="358"/>
        <v>0</v>
      </c>
      <c r="U211" s="144">
        <f t="shared" si="359"/>
        <v>0</v>
      </c>
      <c r="W211" s="11">
        <v>0</v>
      </c>
      <c r="X211" s="1">
        <v>0</v>
      </c>
      <c r="Y211" s="35">
        <f t="shared" si="376"/>
        <v>0</v>
      </c>
      <c r="Z211" s="35">
        <f t="shared" si="394"/>
        <v>0</v>
      </c>
      <c r="AA211" s="15">
        <f t="shared" si="407"/>
        <v>2.0398714491071267E-4</v>
      </c>
      <c r="AB211" s="43">
        <f t="shared" si="298"/>
        <v>6.6640675303255856E-3</v>
      </c>
      <c r="AC211" s="43">
        <f t="shared" si="299"/>
        <v>32.669056342950036</v>
      </c>
      <c r="AD211" s="33"/>
      <c r="AH211" s="31"/>
      <c r="AP211" s="35">
        <f t="shared" si="377"/>
        <v>0</v>
      </c>
      <c r="AQ211" s="35">
        <f t="shared" si="395"/>
        <v>0</v>
      </c>
      <c r="AR211" s="15">
        <f t="shared" si="408"/>
        <v>6.1602098822899E-2</v>
      </c>
      <c r="AS211" s="28">
        <f t="shared" si="409"/>
        <v>13.894172946467394</v>
      </c>
      <c r="AT211" s="28">
        <f t="shared" si="410"/>
        <v>225.54707082971322</v>
      </c>
      <c r="AU211" s="33"/>
      <c r="AY211" s="31"/>
      <c r="BG211" s="35">
        <f t="shared" si="378"/>
        <v>0</v>
      </c>
      <c r="BH211" s="35">
        <f t="shared" si="396"/>
        <v>0</v>
      </c>
      <c r="BI211" s="15">
        <f t="shared" si="411"/>
        <v>8.484094218288793E-2</v>
      </c>
      <c r="BJ211" s="28">
        <f t="shared" si="412"/>
        <v>21.344274436639168</v>
      </c>
      <c r="BK211" s="28">
        <f t="shared" si="413"/>
        <v>251.57988451646665</v>
      </c>
      <c r="BL211" s="33"/>
      <c r="BP211" s="31"/>
      <c r="BX211" s="35">
        <f t="shared" si="379"/>
        <v>0</v>
      </c>
      <c r="BY211" s="35">
        <f t="shared" si="397"/>
        <v>0</v>
      </c>
      <c r="BZ211" s="15">
        <f t="shared" si="414"/>
        <v>6.4510252997820219E-2</v>
      </c>
      <c r="CA211" s="28">
        <f t="shared" si="415"/>
        <v>13.264449624295912</v>
      </c>
      <c r="CB211" s="28">
        <f t="shared" si="416"/>
        <v>205.61769653490762</v>
      </c>
      <c r="CC211" s="33"/>
      <c r="CG211" s="31"/>
      <c r="CO211" s="35">
        <f t="shared" si="380"/>
        <v>0</v>
      </c>
      <c r="CP211" s="35">
        <f t="shared" si="398"/>
        <v>0</v>
      </c>
      <c r="CQ211" s="15">
        <f t="shared" si="417"/>
        <v>7.0679184911436668E-2</v>
      </c>
      <c r="CR211" s="28">
        <f t="shared" si="418"/>
        <v>17.16493831798358</v>
      </c>
      <c r="CS211" s="28">
        <f t="shared" si="419"/>
        <v>242.85704963196463</v>
      </c>
      <c r="CT211" s="33"/>
      <c r="CX211" s="31"/>
      <c r="DF211" s="35">
        <f t="shared" si="381"/>
        <v>0</v>
      </c>
      <c r="DG211" s="35">
        <f t="shared" si="399"/>
        <v>0</v>
      </c>
      <c r="DH211" s="15">
        <f t="shared" si="420"/>
        <v>6.8745538730940955E-2</v>
      </c>
      <c r="DI211" s="28">
        <f t="shared" si="421"/>
        <v>10.429800406523226</v>
      </c>
      <c r="DJ211" s="28">
        <f t="shared" si="422"/>
        <v>151.71603276459578</v>
      </c>
      <c r="DK211" s="33"/>
      <c r="DO211" s="31"/>
      <c r="DW211" s="35">
        <f t="shared" si="382"/>
        <v>0</v>
      </c>
      <c r="DX211" s="35">
        <f t="shared" si="400"/>
        <v>0</v>
      </c>
      <c r="DY211" s="15">
        <f t="shared" si="423"/>
        <v>7.1175786777258401E-2</v>
      </c>
      <c r="DZ211" s="28">
        <f t="shared" si="424"/>
        <v>10.182630576871157</v>
      </c>
      <c r="EA211" s="28">
        <f t="shared" si="425"/>
        <v>143.06312635134285</v>
      </c>
      <c r="EB211" s="33"/>
      <c r="EF211" s="31"/>
      <c r="EN211" s="35">
        <f t="shared" si="383"/>
        <v>0</v>
      </c>
      <c r="EO211" s="35">
        <f t="shared" si="401"/>
        <v>0</v>
      </c>
      <c r="EP211" s="15">
        <f t="shared" si="426"/>
        <v>7.5993289625353247E-2</v>
      </c>
      <c r="EQ211" s="28">
        <f t="shared" si="427"/>
        <v>20.008350302413579</v>
      </c>
      <c r="ER211" s="28">
        <f t="shared" si="428"/>
        <v>263.29101426000511</v>
      </c>
      <c r="ES211" s="33"/>
      <c r="EW211" s="31"/>
      <c r="FE211" s="35">
        <f t="shared" si="384"/>
        <v>0</v>
      </c>
      <c r="FF211" s="35">
        <f t="shared" si="402"/>
        <v>0</v>
      </c>
      <c r="FG211" s="15">
        <f t="shared" si="429"/>
        <v>7.3417510398714914E-2</v>
      </c>
      <c r="FH211" s="28">
        <f t="shared" si="430"/>
        <v>18.31580285987468</v>
      </c>
      <c r="FI211" s="28">
        <f t="shared" si="431"/>
        <v>249.47458392971163</v>
      </c>
      <c r="FJ211" s="33"/>
      <c r="FN211" s="31"/>
      <c r="FV211" s="35">
        <f t="shared" si="385"/>
        <v>0</v>
      </c>
      <c r="FW211" s="35">
        <f t="shared" si="403"/>
        <v>0</v>
      </c>
      <c r="FX211" s="15">
        <f t="shared" si="432"/>
        <v>6.9114645144498082E-2</v>
      </c>
      <c r="FY211" s="28">
        <f t="shared" si="433"/>
        <v>18.339934000339948</v>
      </c>
      <c r="FZ211" s="28">
        <f t="shared" si="434"/>
        <v>265.35525085886826</v>
      </c>
      <c r="GA211" s="33"/>
      <c r="GE211" s="31"/>
      <c r="GM211" s="35">
        <f t="shared" si="386"/>
        <v>0</v>
      </c>
      <c r="GN211" s="35">
        <f t="shared" si="404"/>
        <v>0</v>
      </c>
      <c r="GO211" s="15">
        <f t="shared" si="435"/>
        <v>7.1418716578964314E-2</v>
      </c>
      <c r="GP211" s="28">
        <f t="shared" si="436"/>
        <v>18.901296742924661</v>
      </c>
      <c r="GQ211" s="28">
        <f t="shared" si="437"/>
        <v>264.65466824829298</v>
      </c>
      <c r="GR211" s="33"/>
      <c r="GV211" s="31"/>
      <c r="HD211" s="35">
        <f t="shared" si="387"/>
        <v>0</v>
      </c>
      <c r="HE211" s="35">
        <f t="shared" si="405"/>
        <v>0</v>
      </c>
      <c r="HF211" s="15">
        <f t="shared" si="438"/>
        <v>0.10060788737352142</v>
      </c>
      <c r="HG211" s="28">
        <f t="shared" si="439"/>
        <v>13.71030015921858</v>
      </c>
      <c r="HH211" s="28">
        <f t="shared" si="440"/>
        <v>136.27460547220414</v>
      </c>
      <c r="HI211" s="33"/>
      <c r="HM211" s="31"/>
      <c r="HU211" s="35">
        <f t="shared" si="388"/>
        <v>0</v>
      </c>
      <c r="HV211" s="35">
        <f t="shared" si="406"/>
        <v>0</v>
      </c>
      <c r="HW211" s="15">
        <f t="shared" si="441"/>
        <v>2.3227196928248407E-10</v>
      </c>
      <c r="HX211" s="28">
        <f t="shared" si="442"/>
        <v>4.8183057645448437E-12</v>
      </c>
      <c r="HY211" s="28">
        <f t="shared" si="443"/>
        <v>2.0744241241976668E-2</v>
      </c>
      <c r="HZ211" s="33"/>
      <c r="ID211" s="31"/>
      <c r="II211" s="12"/>
      <c r="IL211" s="35">
        <f t="shared" si="389"/>
        <v>0</v>
      </c>
      <c r="IM211" s="35">
        <f t="shared" si="390"/>
        <v>1081.3398119307153</v>
      </c>
      <c r="IN211" s="15">
        <f t="shared" si="444"/>
        <v>2.288969996534013E-2</v>
      </c>
      <c r="IO211" s="28">
        <f t="shared" si="445"/>
        <v>0.3563839905573154</v>
      </c>
      <c r="IP211" s="28">
        <f t="shared" si="446"/>
        <v>15.569622629259294</v>
      </c>
      <c r="IQ211" s="33"/>
      <c r="IU211" s="31"/>
      <c r="JC211" s="35">
        <f t="shared" si="369"/>
        <v>0</v>
      </c>
      <c r="JD211" s="35">
        <f t="shared" si="391"/>
        <v>1283.1570389864917</v>
      </c>
      <c r="JE211" s="15">
        <f t="shared" si="447"/>
        <v>2.7641165262925371E-2</v>
      </c>
      <c r="JF211" s="28">
        <f t="shared" si="448"/>
        <v>0.45487200378380921</v>
      </c>
      <c r="JG211" s="28">
        <f t="shared" si="449"/>
        <v>16.456325175043229</v>
      </c>
      <c r="JH211" s="33"/>
      <c r="JL211" s="31"/>
      <c r="JR211" s="99"/>
      <c r="JS211" s="99"/>
      <c r="JT211" s="99"/>
      <c r="JU211" s="99"/>
      <c r="JV211" s="99"/>
      <c r="JW211" s="99"/>
      <c r="JX211" s="99"/>
      <c r="JY211" s="99"/>
      <c r="JZ211" s="99"/>
      <c r="KA211" s="99"/>
      <c r="KB211" s="99"/>
      <c r="KC211" s="99"/>
      <c r="KD211" s="99"/>
      <c r="KE211" s="99"/>
      <c r="KF211" s="99"/>
      <c r="KG211" s="99"/>
      <c r="KH211" s="99"/>
      <c r="KI211" s="99"/>
      <c r="KJ211" s="99"/>
      <c r="KK211" s="99"/>
      <c r="KL211" s="99"/>
      <c r="KM211" s="99"/>
      <c r="KN211" s="99"/>
      <c r="KO211" s="99"/>
      <c r="KP211" s="99"/>
      <c r="KQ211" s="99"/>
      <c r="KR211" s="99"/>
      <c r="KS211" s="99"/>
      <c r="KT211" s="99"/>
      <c r="KU211" s="99"/>
      <c r="KV211" s="99"/>
      <c r="KW211" s="99"/>
      <c r="KX211" s="99"/>
      <c r="KY211" s="99"/>
      <c r="KZ211" s="99"/>
      <c r="LA211" s="99"/>
      <c r="LB211" s="99"/>
      <c r="LC211" s="99"/>
      <c r="LD211" s="99"/>
      <c r="LE211" s="99"/>
      <c r="LF211" s="99"/>
      <c r="LG211" s="99"/>
      <c r="LH211" s="99"/>
      <c r="LI211" s="99"/>
      <c r="LJ211" s="99"/>
      <c r="LK211" s="99"/>
      <c r="LL211" s="99"/>
      <c r="LM211" s="99"/>
      <c r="LN211" s="99"/>
      <c r="LO211" s="99"/>
      <c r="LP211" s="99"/>
      <c r="LQ211" s="99"/>
      <c r="LR211" s="99"/>
      <c r="LS211" s="99"/>
      <c r="LT211" s="99"/>
      <c r="LU211" s="99"/>
      <c r="LV211" s="99"/>
      <c r="LW211" s="99"/>
      <c r="LX211" s="99"/>
      <c r="LY211" s="99"/>
      <c r="LZ211" s="99"/>
      <c r="MA211" s="99"/>
      <c r="MB211" s="99"/>
      <c r="MC211" s="99"/>
      <c r="MD211" s="99"/>
      <c r="ME211" s="99"/>
      <c r="MF211" s="99"/>
    </row>
    <row r="212" spans="1:344" ht="17.25" customHeight="1" x14ac:dyDescent="0.25">
      <c r="A212" s="156"/>
      <c r="B212" s="81" t="s">
        <v>6</v>
      </c>
      <c r="C212" s="82">
        <v>45346</v>
      </c>
      <c r="D212" s="49"/>
      <c r="G212" s="89">
        <f t="shared" si="373"/>
        <v>0</v>
      </c>
      <c r="H212" s="35">
        <f t="shared" si="374"/>
        <v>0</v>
      </c>
      <c r="I212" s="39"/>
      <c r="L212" s="89">
        <f t="shared" si="375"/>
        <v>0</v>
      </c>
      <c r="M212" s="35">
        <f t="shared" si="392"/>
        <v>0</v>
      </c>
      <c r="N212" s="35">
        <f t="shared" si="393"/>
        <v>0</v>
      </c>
      <c r="O212" s="97" t="e">
        <f>SUM($Z212,$BH212,$AQ212,$BY212,$CP212,$DG212,$DX212,$EO212,$FF212,$FW212,$GN212)/D212</f>
        <v>#DIV/0!</v>
      </c>
      <c r="P212" s="150"/>
      <c r="Q212" s="132">
        <f t="shared" si="355"/>
        <v>0</v>
      </c>
      <c r="R212" s="134">
        <f t="shared" si="356"/>
        <v>0</v>
      </c>
      <c r="S212" s="136">
        <f t="shared" si="357"/>
        <v>0</v>
      </c>
      <c r="T212" s="138">
        <f t="shared" si="358"/>
        <v>0</v>
      </c>
      <c r="U212" s="144">
        <f t="shared" si="359"/>
        <v>0</v>
      </c>
      <c r="W212" s="11">
        <v>0</v>
      </c>
      <c r="X212" s="1">
        <v>0</v>
      </c>
      <c r="Y212" s="35">
        <f t="shared" si="376"/>
        <v>0</v>
      </c>
      <c r="Z212" s="35">
        <f t="shared" si="394"/>
        <v>0</v>
      </c>
      <c r="AA212" s="15">
        <f t="shared" si="407"/>
        <v>1.6432297784474076E-4</v>
      </c>
      <c r="AB212" s="43">
        <f t="shared" si="298"/>
        <v>4.9980506477441894E-3</v>
      </c>
      <c r="AC212" s="43">
        <f t="shared" si="299"/>
        <v>30.416017974470723</v>
      </c>
      <c r="AD212" s="33"/>
      <c r="AH212" s="31"/>
      <c r="AP212" s="35">
        <f t="shared" si="377"/>
        <v>0</v>
      </c>
      <c r="AQ212" s="35">
        <f t="shared" si="395"/>
        <v>0</v>
      </c>
      <c r="AR212" s="15">
        <f t="shared" si="408"/>
        <v>4.9623912940668646E-2</v>
      </c>
      <c r="AS212" s="28">
        <f t="shared" si="409"/>
        <v>10.420629709850546</v>
      </c>
      <c r="AT212" s="28">
        <f t="shared" si="410"/>
        <v>209.99210042766401</v>
      </c>
      <c r="AU212" s="33"/>
      <c r="AY212" s="31"/>
      <c r="BG212" s="35">
        <f t="shared" si="378"/>
        <v>0</v>
      </c>
      <c r="BH212" s="35">
        <f t="shared" si="396"/>
        <v>0</v>
      </c>
      <c r="BI212" s="15">
        <f t="shared" si="411"/>
        <v>6.8344092313993049E-2</v>
      </c>
      <c r="BJ212" s="28">
        <f t="shared" si="412"/>
        <v>16.008205827479376</v>
      </c>
      <c r="BK212" s="28">
        <f t="shared" si="413"/>
        <v>234.22954765326205</v>
      </c>
      <c r="BL212" s="33"/>
      <c r="BP212" s="31"/>
      <c r="BX212" s="35">
        <f t="shared" si="379"/>
        <v>0</v>
      </c>
      <c r="BY212" s="35">
        <f t="shared" si="397"/>
        <v>0</v>
      </c>
      <c r="BZ212" s="15">
        <f t="shared" si="414"/>
        <v>5.196659269268851E-2</v>
      </c>
      <c r="CA212" s="28">
        <f t="shared" si="415"/>
        <v>9.9483372182219334</v>
      </c>
      <c r="CB212" s="28">
        <f t="shared" si="416"/>
        <v>191.43716573939673</v>
      </c>
      <c r="CC212" s="33"/>
      <c r="CG212" s="31"/>
      <c r="CO212" s="35">
        <f t="shared" si="380"/>
        <v>0</v>
      </c>
      <c r="CP212" s="35">
        <f t="shared" si="398"/>
        <v>0</v>
      </c>
      <c r="CQ212" s="15">
        <f t="shared" si="417"/>
        <v>5.6936010067546207E-2</v>
      </c>
      <c r="CR212" s="28">
        <f t="shared" si="418"/>
        <v>12.873703738487684</v>
      </c>
      <c r="CS212" s="28">
        <f t="shared" si="419"/>
        <v>226.10828758838085</v>
      </c>
      <c r="CT212" s="33"/>
      <c r="CX212" s="31"/>
      <c r="DF212" s="35">
        <f t="shared" si="381"/>
        <v>0</v>
      </c>
      <c r="DG212" s="35">
        <f t="shared" si="399"/>
        <v>0</v>
      </c>
      <c r="DH212" s="15">
        <f t="shared" si="420"/>
        <v>5.5378350644369106E-2</v>
      </c>
      <c r="DI212" s="28">
        <f t="shared" si="421"/>
        <v>7.822350304892419</v>
      </c>
      <c r="DJ212" s="28">
        <f t="shared" si="422"/>
        <v>141.25285809117537</v>
      </c>
      <c r="DK212" s="33"/>
      <c r="DO212" s="31"/>
      <c r="DW212" s="35">
        <f t="shared" si="382"/>
        <v>0</v>
      </c>
      <c r="DX212" s="35">
        <f t="shared" si="400"/>
        <v>0</v>
      </c>
      <c r="DY212" s="15">
        <f t="shared" si="423"/>
        <v>5.7336050459458159E-2</v>
      </c>
      <c r="DZ212" s="28">
        <f t="shared" si="424"/>
        <v>7.636972932653368</v>
      </c>
      <c r="EA212" s="28">
        <f t="shared" si="425"/>
        <v>133.19670384435369</v>
      </c>
      <c r="EB212" s="33"/>
      <c r="EF212" s="31"/>
      <c r="EN212" s="35">
        <f t="shared" si="383"/>
        <v>0</v>
      </c>
      <c r="EO212" s="35">
        <f t="shared" si="401"/>
        <v>0</v>
      </c>
      <c r="EP212" s="15">
        <f t="shared" si="426"/>
        <v>6.1216816642645673E-2</v>
      </c>
      <c r="EQ212" s="28">
        <f t="shared" si="427"/>
        <v>15.006262726810185</v>
      </c>
      <c r="ER212" s="28">
        <f t="shared" si="428"/>
        <v>245.13301327655648</v>
      </c>
      <c r="ES212" s="33"/>
      <c r="EW212" s="31"/>
      <c r="FE212" s="35">
        <f t="shared" si="384"/>
        <v>0</v>
      </c>
      <c r="FF212" s="35">
        <f t="shared" si="402"/>
        <v>0</v>
      </c>
      <c r="FG212" s="15">
        <f t="shared" si="429"/>
        <v>5.9141883376742574E-2</v>
      </c>
      <c r="FH212" s="28">
        <f t="shared" si="430"/>
        <v>13.73685214490601</v>
      </c>
      <c r="FI212" s="28">
        <f t="shared" si="431"/>
        <v>232.26944021042115</v>
      </c>
      <c r="FJ212" s="33"/>
      <c r="FN212" s="31"/>
      <c r="FV212" s="35">
        <f t="shared" si="385"/>
        <v>0</v>
      </c>
      <c r="FW212" s="35">
        <f t="shared" si="403"/>
        <v>0</v>
      </c>
      <c r="FX212" s="15">
        <f t="shared" si="432"/>
        <v>5.5675686366401224E-2</v>
      </c>
      <c r="FY212" s="28">
        <f t="shared" si="433"/>
        <v>13.75495050025496</v>
      </c>
      <c r="FZ212" s="28">
        <f t="shared" si="434"/>
        <v>247.05488873067046</v>
      </c>
      <c r="GA212" s="33"/>
      <c r="GE212" s="31"/>
      <c r="GM212" s="35">
        <f t="shared" si="386"/>
        <v>0</v>
      </c>
      <c r="GN212" s="35">
        <f t="shared" si="404"/>
        <v>0</v>
      </c>
      <c r="GO212" s="15">
        <f t="shared" si="435"/>
        <v>5.7531743910832364E-2</v>
      </c>
      <c r="GP212" s="28">
        <f t="shared" si="436"/>
        <v>14.175972557193496</v>
      </c>
      <c r="GQ212" s="28">
        <f t="shared" si="437"/>
        <v>246.40262216220381</v>
      </c>
      <c r="GR212" s="33"/>
      <c r="GV212" s="31"/>
      <c r="HD212" s="35">
        <f t="shared" si="387"/>
        <v>0</v>
      </c>
      <c r="HE212" s="35">
        <f t="shared" si="405"/>
        <v>0</v>
      </c>
      <c r="HF212" s="15">
        <f t="shared" si="438"/>
        <v>8.1045242606447812E-2</v>
      </c>
      <c r="HG212" s="28">
        <f t="shared" si="439"/>
        <v>10.282725119413936</v>
      </c>
      <c r="HH212" s="28">
        <f t="shared" si="440"/>
        <v>126.87635681894868</v>
      </c>
      <c r="HI212" s="33"/>
      <c r="HM212" s="31"/>
      <c r="HU212" s="35">
        <f t="shared" si="388"/>
        <v>0</v>
      </c>
      <c r="HV212" s="35">
        <f t="shared" si="406"/>
        <v>0</v>
      </c>
      <c r="HW212" s="15">
        <f t="shared" si="441"/>
        <v>1.8710797525533438E-10</v>
      </c>
      <c r="HX212" s="28">
        <f t="shared" si="442"/>
        <v>3.6137293234086327E-12</v>
      </c>
      <c r="HY212" s="28">
        <f t="shared" si="443"/>
        <v>1.9313603914943793E-2</v>
      </c>
      <c r="HZ212" s="33"/>
      <c r="ID212" s="31"/>
      <c r="II212" s="12"/>
      <c r="IL212" s="35">
        <f t="shared" si="389"/>
        <v>0</v>
      </c>
      <c r="IM212" s="35">
        <f t="shared" si="390"/>
        <v>997.1350773479495</v>
      </c>
      <c r="IN212" s="15">
        <f t="shared" si="444"/>
        <v>1.8438924972079551E-2</v>
      </c>
      <c r="IO212" s="28">
        <f t="shared" si="445"/>
        <v>0.26728799291798655</v>
      </c>
      <c r="IP212" s="28">
        <f t="shared" si="446"/>
        <v>14.495855551379343</v>
      </c>
      <c r="IQ212" s="33"/>
      <c r="IU212" s="31"/>
      <c r="JC212" s="35">
        <f t="shared" si="369"/>
        <v>0</v>
      </c>
      <c r="JD212" s="35">
        <f t="shared" si="391"/>
        <v>1182.2070609260575</v>
      </c>
      <c r="JE212" s="15">
        <f t="shared" si="447"/>
        <v>2.2266494239578775E-2</v>
      </c>
      <c r="JF212" s="28">
        <f t="shared" si="448"/>
        <v>0.34115400283785691</v>
      </c>
      <c r="JG212" s="28">
        <f t="shared" si="449"/>
        <v>15.32140619745404</v>
      </c>
      <c r="JH212" s="33"/>
      <c r="JL212" s="31"/>
      <c r="JR212" s="99"/>
      <c r="JS212" s="99"/>
      <c r="JT212" s="99"/>
      <c r="JU212" s="99"/>
      <c r="JV212" s="99"/>
      <c r="JW212" s="99"/>
      <c r="JX212" s="99"/>
      <c r="JY212" s="99"/>
      <c r="JZ212" s="99"/>
      <c r="KA212" s="99"/>
      <c r="KB212" s="99"/>
      <c r="KC212" s="99"/>
      <c r="KD212" s="99"/>
      <c r="KE212" s="99"/>
      <c r="KF212" s="99"/>
      <c r="KG212" s="99"/>
      <c r="KH212" s="99"/>
      <c r="KI212" s="99"/>
      <c r="KJ212" s="99"/>
      <c r="KK212" s="99"/>
      <c r="KL212" s="99"/>
      <c r="KM212" s="99"/>
      <c r="KN212" s="99"/>
      <c r="KO212" s="99"/>
      <c r="KP212" s="99"/>
      <c r="KQ212" s="99"/>
      <c r="KR212" s="99"/>
      <c r="KS212" s="99"/>
      <c r="KT212" s="99"/>
      <c r="KU212" s="99"/>
      <c r="KV212" s="99"/>
      <c r="KW212" s="99"/>
      <c r="KX212" s="99"/>
      <c r="KY212" s="99"/>
      <c r="KZ212" s="99"/>
      <c r="LA212" s="99"/>
      <c r="LB212" s="99"/>
      <c r="LC212" s="99"/>
      <c r="LD212" s="99"/>
      <c r="LE212" s="99"/>
      <c r="LF212" s="99"/>
      <c r="LG212" s="99"/>
      <c r="LH212" s="99"/>
      <c r="LI212" s="99"/>
      <c r="LJ212" s="99"/>
      <c r="LK212" s="99"/>
      <c r="LL212" s="99"/>
      <c r="LM212" s="99"/>
      <c r="LN212" s="99"/>
      <c r="LO212" s="99"/>
      <c r="LP212" s="99"/>
      <c r="LQ212" s="99"/>
      <c r="LR212" s="99"/>
      <c r="LS212" s="99"/>
      <c r="LT212" s="99"/>
      <c r="LU212" s="99"/>
      <c r="LV212" s="99"/>
      <c r="LW212" s="99"/>
      <c r="LX212" s="99"/>
      <c r="LY212" s="99"/>
      <c r="LZ212" s="99"/>
      <c r="MA212" s="99"/>
      <c r="MB212" s="99"/>
      <c r="MC212" s="99"/>
      <c r="MD212" s="99"/>
      <c r="ME212" s="99"/>
      <c r="MF212" s="99"/>
    </row>
    <row r="213" spans="1:344" ht="17.25" customHeight="1" x14ac:dyDescent="0.25">
      <c r="A213" s="157"/>
      <c r="B213" s="83" t="s">
        <v>7</v>
      </c>
      <c r="C213" s="84">
        <v>45347</v>
      </c>
      <c r="D213" s="51"/>
      <c r="E213" s="48"/>
      <c r="F213" s="104"/>
      <c r="G213" s="37">
        <f t="shared" si="373"/>
        <v>0</v>
      </c>
      <c r="H213" s="26">
        <f t="shared" si="374"/>
        <v>0</v>
      </c>
      <c r="I213" s="48"/>
      <c r="J213" s="48"/>
      <c r="K213" s="104"/>
      <c r="L213" s="37">
        <f t="shared" si="375"/>
        <v>0</v>
      </c>
      <c r="M213" s="26">
        <f t="shared" si="392"/>
        <v>0</v>
      </c>
      <c r="N213" s="26">
        <f t="shared" si="393"/>
        <v>0</v>
      </c>
      <c r="O213" s="98" t="e">
        <f>SUM($Z213,$BH213,$AQ213,$BY213,$CP213,$DG213,$DX213,$EO213,$FF213,$FW213,$GN213)/D213</f>
        <v>#DIV/0!</v>
      </c>
      <c r="P213" s="151"/>
      <c r="Q213" s="139">
        <f t="shared" si="355"/>
        <v>0</v>
      </c>
      <c r="R213" s="140">
        <f t="shared" si="356"/>
        <v>0</v>
      </c>
      <c r="S213" s="141">
        <f t="shared" si="357"/>
        <v>0</v>
      </c>
      <c r="T213" s="142">
        <f t="shared" si="358"/>
        <v>0</v>
      </c>
      <c r="U213" s="145">
        <f t="shared" si="359"/>
        <v>0</v>
      </c>
      <c r="V213" s="23"/>
      <c r="W213" s="13">
        <v>0</v>
      </c>
      <c r="X213" s="2">
        <v>0</v>
      </c>
      <c r="Y213" s="26">
        <f t="shared" si="376"/>
        <v>0</v>
      </c>
      <c r="Z213" s="26">
        <f t="shared" si="394"/>
        <v>0</v>
      </c>
      <c r="AA213" s="16">
        <f t="shared" si="407"/>
        <v>1.3237128770826341E-4</v>
      </c>
      <c r="AB213" s="44">
        <f t="shared" si="298"/>
        <v>3.7485379858081423E-3</v>
      </c>
      <c r="AC213" s="44">
        <f t="shared" si="299"/>
        <v>28.318361562438259</v>
      </c>
      <c r="AD213" s="34"/>
      <c r="AE213" s="4"/>
      <c r="AF213" s="5"/>
      <c r="AG213" s="6"/>
      <c r="AH213" s="32"/>
      <c r="AI213" s="3"/>
      <c r="AJ213" s="4"/>
      <c r="AK213" s="5"/>
      <c r="AL213" s="6"/>
      <c r="AM213" s="14"/>
      <c r="AN213" s="13"/>
      <c r="AO213" s="2"/>
      <c r="AP213" s="26">
        <f t="shared" si="377"/>
        <v>0</v>
      </c>
      <c r="AQ213" s="26">
        <f t="shared" si="395"/>
        <v>0</v>
      </c>
      <c r="AR213" s="16">
        <f t="shared" si="408"/>
        <v>3.9974818757760856E-2</v>
      </c>
      <c r="AS213" s="29">
        <f t="shared" si="409"/>
        <v>7.8154722823879101</v>
      </c>
      <c r="AT213" s="29">
        <f t="shared" si="410"/>
        <v>195.5098866050665</v>
      </c>
      <c r="AU213" s="34"/>
      <c r="AV213" s="4"/>
      <c r="AW213" s="5"/>
      <c r="AX213" s="6"/>
      <c r="AY213" s="32"/>
      <c r="AZ213" s="3"/>
      <c r="BA213" s="4"/>
      <c r="BB213" s="5"/>
      <c r="BC213" s="6"/>
      <c r="BD213" s="14"/>
      <c r="BE213" s="13"/>
      <c r="BF213" s="2"/>
      <c r="BG213" s="26">
        <f t="shared" si="378"/>
        <v>0</v>
      </c>
      <c r="BH213" s="26">
        <f t="shared" si="396"/>
        <v>0</v>
      </c>
      <c r="BI213" s="16">
        <f t="shared" si="411"/>
        <v>5.5054963252938849E-2</v>
      </c>
      <c r="BJ213" s="29">
        <f t="shared" si="412"/>
        <v>12.006154370609533</v>
      </c>
      <c r="BK213" s="29">
        <f t="shared" si="413"/>
        <v>218.07578574614053</v>
      </c>
      <c r="BL213" s="34"/>
      <c r="BM213" s="4"/>
      <c r="BN213" s="5"/>
      <c r="BO213" s="6"/>
      <c r="BP213" s="32"/>
      <c r="BQ213" s="3"/>
      <c r="BR213" s="4"/>
      <c r="BS213" s="5"/>
      <c r="BT213" s="6"/>
      <c r="BU213" s="14"/>
      <c r="BV213" s="13"/>
      <c r="BW213" s="2"/>
      <c r="BX213" s="26">
        <f t="shared" si="379"/>
        <v>0</v>
      </c>
      <c r="BY213" s="26">
        <f t="shared" si="397"/>
        <v>0</v>
      </c>
      <c r="BZ213" s="16">
        <f t="shared" si="414"/>
        <v>4.1861977446887966E-2</v>
      </c>
      <c r="CA213" s="29">
        <f t="shared" si="415"/>
        <v>7.46125291366645</v>
      </c>
      <c r="CB213" s="29">
        <f t="shared" si="416"/>
        <v>178.23460258495558</v>
      </c>
      <c r="CC213" s="34"/>
      <c r="CD213" s="4"/>
      <c r="CE213" s="5"/>
      <c r="CF213" s="6"/>
      <c r="CG213" s="32"/>
      <c r="CH213" s="3"/>
      <c r="CI213" s="4"/>
      <c r="CJ213" s="5"/>
      <c r="CK213" s="6"/>
      <c r="CL213" s="14"/>
      <c r="CM213" s="13"/>
      <c r="CN213" s="2"/>
      <c r="CO213" s="26">
        <f t="shared" si="380"/>
        <v>0</v>
      </c>
      <c r="CP213" s="26">
        <f t="shared" si="398"/>
        <v>0</v>
      </c>
      <c r="CQ213" s="16">
        <f t="shared" si="417"/>
        <v>4.5865119221078887E-2</v>
      </c>
      <c r="CR213" s="29">
        <f t="shared" si="418"/>
        <v>9.6552778038657632</v>
      </c>
      <c r="CS213" s="29">
        <f t="shared" si="419"/>
        <v>210.51461258228562</v>
      </c>
      <c r="CT213" s="34"/>
      <c r="CU213" s="4"/>
      <c r="CV213" s="5"/>
      <c r="CW213" s="6"/>
      <c r="CX213" s="32"/>
      <c r="CY213" s="3"/>
      <c r="CZ213" s="4"/>
      <c r="DA213" s="5"/>
      <c r="DB213" s="6"/>
      <c r="DC213" s="14"/>
      <c r="DD213" s="13"/>
      <c r="DE213" s="2"/>
      <c r="DF213" s="26">
        <f t="shared" si="381"/>
        <v>0</v>
      </c>
      <c r="DG213" s="26">
        <f t="shared" si="399"/>
        <v>0</v>
      </c>
      <c r="DH213" s="16">
        <f t="shared" si="420"/>
        <v>4.4610338019075116E-2</v>
      </c>
      <c r="DI213" s="29">
        <f t="shared" si="421"/>
        <v>5.8667627286693147</v>
      </c>
      <c r="DJ213" s="29">
        <f t="shared" si="422"/>
        <v>131.51128167109431</v>
      </c>
      <c r="DK213" s="34"/>
      <c r="DL213" s="4"/>
      <c r="DM213" s="5"/>
      <c r="DN213" s="6"/>
      <c r="DO213" s="32"/>
      <c r="DP213" s="3"/>
      <c r="DQ213" s="4"/>
      <c r="DR213" s="5"/>
      <c r="DS213" s="6"/>
      <c r="DT213" s="14"/>
      <c r="DU213" s="13"/>
      <c r="DV213" s="2"/>
      <c r="DW213" s="26">
        <f t="shared" si="382"/>
        <v>0</v>
      </c>
      <c r="DX213" s="26">
        <f t="shared" si="400"/>
        <v>0</v>
      </c>
      <c r="DY213" s="16">
        <f t="shared" si="423"/>
        <v>4.6187373981230184E-2</v>
      </c>
      <c r="DZ213" s="29">
        <f t="shared" si="424"/>
        <v>5.727729699490026</v>
      </c>
      <c r="EA213" s="29">
        <f t="shared" si="425"/>
        <v>124.01072426888102</v>
      </c>
      <c r="EB213" s="34"/>
      <c r="EC213" s="4"/>
      <c r="ED213" s="5"/>
      <c r="EE213" s="6"/>
      <c r="EF213" s="32"/>
      <c r="EG213" s="3"/>
      <c r="EH213" s="4"/>
      <c r="EI213" s="5"/>
      <c r="EJ213" s="6"/>
      <c r="EK213" s="14"/>
      <c r="EL213" s="13"/>
      <c r="EM213" s="2"/>
      <c r="EN213" s="26">
        <f t="shared" si="383"/>
        <v>0</v>
      </c>
      <c r="EO213" s="26">
        <f t="shared" si="401"/>
        <v>0</v>
      </c>
      <c r="EP213" s="16">
        <f t="shared" si="426"/>
        <v>4.9313546739909009E-2</v>
      </c>
      <c r="EQ213" s="29">
        <f t="shared" si="427"/>
        <v>11.254697045107639</v>
      </c>
      <c r="ER213" s="29">
        <f t="shared" si="428"/>
        <v>228.22728822300087</v>
      </c>
      <c r="ES213" s="34"/>
      <c r="ET213" s="4"/>
      <c r="EU213" s="5"/>
      <c r="EV213" s="6"/>
      <c r="EW213" s="32"/>
      <c r="EX213" s="3"/>
      <c r="EY213" s="4"/>
      <c r="EZ213" s="5"/>
      <c r="FA213" s="6"/>
      <c r="FB213" s="14"/>
      <c r="FC213" s="13"/>
      <c r="FD213" s="2"/>
      <c r="FE213" s="26">
        <f t="shared" si="384"/>
        <v>0</v>
      </c>
      <c r="FF213" s="26">
        <f t="shared" si="402"/>
        <v>0</v>
      </c>
      <c r="FG213" s="16">
        <f t="shared" si="429"/>
        <v>4.7642072720153743E-2</v>
      </c>
      <c r="FH213" s="29">
        <f t="shared" si="430"/>
        <v>10.302639108679507</v>
      </c>
      <c r="FI213" s="29">
        <f t="shared" si="431"/>
        <v>216.25085812694383</v>
      </c>
      <c r="FJ213" s="34"/>
      <c r="FK213" s="4"/>
      <c r="FL213" s="5"/>
      <c r="FM213" s="6"/>
      <c r="FN213" s="32"/>
      <c r="FO213" s="3"/>
      <c r="FP213" s="4"/>
      <c r="FQ213" s="5"/>
      <c r="FR213" s="6"/>
      <c r="FS213" s="14"/>
      <c r="FT213" s="13"/>
      <c r="FU213" s="2"/>
      <c r="FV213" s="26">
        <f t="shared" si="385"/>
        <v>0</v>
      </c>
      <c r="FW213" s="26">
        <f t="shared" si="403"/>
        <v>0</v>
      </c>
      <c r="FX213" s="16">
        <f t="shared" si="432"/>
        <v>4.4849858461823204E-2</v>
      </c>
      <c r="FY213" s="29">
        <f t="shared" si="433"/>
        <v>10.316212875191219</v>
      </c>
      <c r="FZ213" s="29">
        <f t="shared" si="434"/>
        <v>230.01662054234833</v>
      </c>
      <c r="GA213" s="34"/>
      <c r="GB213" s="4"/>
      <c r="GC213" s="5"/>
      <c r="GD213" s="6"/>
      <c r="GE213" s="32"/>
      <c r="GF213" s="3"/>
      <c r="GG213" s="4"/>
      <c r="GH213" s="5"/>
      <c r="GI213" s="6"/>
      <c r="GJ213" s="14"/>
      <c r="GK213" s="13"/>
      <c r="GL213" s="2"/>
      <c r="GM213" s="26">
        <f t="shared" si="386"/>
        <v>0</v>
      </c>
      <c r="GN213" s="26">
        <f t="shared" si="404"/>
        <v>0</v>
      </c>
      <c r="GO213" s="16">
        <f t="shared" si="435"/>
        <v>4.6345015928170516E-2</v>
      </c>
      <c r="GP213" s="29">
        <f t="shared" si="436"/>
        <v>10.631979417895122</v>
      </c>
      <c r="GQ213" s="29">
        <f t="shared" si="437"/>
        <v>229.40933787515527</v>
      </c>
      <c r="GR213" s="34"/>
      <c r="GS213" s="4"/>
      <c r="GT213" s="5"/>
      <c r="GU213" s="6"/>
      <c r="GV213" s="32"/>
      <c r="GW213" s="3"/>
      <c r="GX213" s="4"/>
      <c r="GY213" s="5"/>
      <c r="GZ213" s="6"/>
      <c r="HA213" s="14"/>
      <c r="HB213" s="13"/>
      <c r="HC213" s="2"/>
      <c r="HD213" s="26">
        <f t="shared" si="387"/>
        <v>0</v>
      </c>
      <c r="HE213" s="26">
        <f t="shared" si="405"/>
        <v>0</v>
      </c>
      <c r="HF213" s="16">
        <f t="shared" si="438"/>
        <v>6.5286445432971851E-2</v>
      </c>
      <c r="HG213" s="29">
        <f t="shared" si="439"/>
        <v>7.7120438395604518</v>
      </c>
      <c r="HH213" s="29">
        <f t="shared" si="440"/>
        <v>118.12626324522807</v>
      </c>
      <c r="HI213" s="34"/>
      <c r="HJ213" s="4"/>
      <c r="HK213" s="5"/>
      <c r="HL213" s="6"/>
      <c r="HM213" s="32"/>
      <c r="HN213" s="3"/>
      <c r="HO213" s="4"/>
      <c r="HP213" s="5"/>
      <c r="HQ213" s="6"/>
      <c r="HR213" s="14"/>
      <c r="HS213" s="13"/>
      <c r="HT213" s="2"/>
      <c r="HU213" s="26">
        <f t="shared" si="388"/>
        <v>0</v>
      </c>
      <c r="HV213" s="26">
        <f t="shared" si="406"/>
        <v>0</v>
      </c>
      <c r="HW213" s="16">
        <f t="shared" si="441"/>
        <v>1.5072586895568604E-10</v>
      </c>
      <c r="HX213" s="29">
        <f t="shared" si="442"/>
        <v>2.7102969925564745E-12</v>
      </c>
      <c r="HY213" s="29">
        <f t="shared" si="443"/>
        <v>1.7981631231154566E-2</v>
      </c>
      <c r="HZ213" s="34"/>
      <c r="IA213" s="4"/>
      <c r="IB213" s="5"/>
      <c r="IC213" s="6"/>
      <c r="ID213" s="32"/>
      <c r="IE213" s="3"/>
      <c r="IF213" s="4"/>
      <c r="IG213" s="5"/>
      <c r="IH213" s="6"/>
      <c r="II213" s="14"/>
      <c r="IJ213" s="13"/>
      <c r="IK213" s="2"/>
      <c r="IL213" s="26">
        <f t="shared" si="389"/>
        <v>0</v>
      </c>
      <c r="IM213" s="26">
        <f t="shared" si="390"/>
        <v>921.14361051178435</v>
      </c>
      <c r="IN213" s="16">
        <f t="shared" si="444"/>
        <v>1.485357844973075E-2</v>
      </c>
      <c r="IO213" s="29">
        <f t="shared" si="445"/>
        <v>0.20046599468848991</v>
      </c>
      <c r="IP213" s="29">
        <f t="shared" si="446"/>
        <v>13.496141375422146</v>
      </c>
      <c r="IQ213" s="34"/>
      <c r="IR213" s="4"/>
      <c r="IS213" s="5"/>
      <c r="IT213" s="6"/>
      <c r="IU213" s="32"/>
      <c r="IV213" s="3"/>
      <c r="IW213" s="4"/>
      <c r="IX213" s="5"/>
      <c r="IY213" s="6"/>
      <c r="IZ213" s="14"/>
      <c r="JA213" s="13"/>
      <c r="JB213" s="2"/>
      <c r="JC213" s="26">
        <f t="shared" si="369"/>
        <v>0</v>
      </c>
      <c r="JD213" s="26">
        <f t="shared" si="391"/>
        <v>1091.3317694845546</v>
      </c>
      <c r="JE213" s="16">
        <f t="shared" si="447"/>
        <v>1.7936898137438456E-2</v>
      </c>
      <c r="JF213" s="29">
        <f t="shared" si="448"/>
        <v>0.25586550212839265</v>
      </c>
      <c r="JG213" s="29">
        <f t="shared" si="449"/>
        <v>14.264757494181348</v>
      </c>
      <c r="JH213" s="34"/>
      <c r="JI213" s="4"/>
      <c r="JJ213" s="5"/>
      <c r="JK213" s="6"/>
      <c r="JL213" s="32"/>
      <c r="JM213" s="3"/>
      <c r="JN213" s="4"/>
      <c r="JO213" s="5"/>
      <c r="JP213" s="6"/>
      <c r="JQ213" s="14"/>
      <c r="JR213" s="99"/>
      <c r="JS213" s="99"/>
      <c r="JT213" s="99"/>
      <c r="JU213" s="99"/>
      <c r="JV213" s="99"/>
      <c r="JW213" s="99"/>
      <c r="JX213" s="99"/>
      <c r="JY213" s="99"/>
      <c r="JZ213" s="99"/>
      <c r="KA213" s="99"/>
      <c r="KB213" s="99"/>
      <c r="KC213" s="99"/>
      <c r="KD213" s="99"/>
      <c r="KE213" s="99"/>
      <c r="KF213" s="99"/>
      <c r="KG213" s="99"/>
      <c r="KH213" s="99"/>
      <c r="KI213" s="99"/>
      <c r="KJ213" s="99"/>
      <c r="KK213" s="99"/>
      <c r="KL213" s="99"/>
      <c r="KM213" s="99"/>
      <c r="KN213" s="99"/>
      <c r="KO213" s="99"/>
      <c r="KP213" s="99"/>
      <c r="KQ213" s="99"/>
      <c r="KR213" s="99"/>
      <c r="KS213" s="99"/>
      <c r="KT213" s="99"/>
      <c r="KU213" s="99"/>
      <c r="KV213" s="99"/>
      <c r="KW213" s="99"/>
      <c r="KX213" s="99"/>
      <c r="KY213" s="99"/>
      <c r="KZ213" s="99"/>
      <c r="LA213" s="99"/>
      <c r="LB213" s="99"/>
      <c r="LC213" s="99"/>
      <c r="LD213" s="99"/>
      <c r="LE213" s="99"/>
      <c r="LF213" s="99"/>
      <c r="LG213" s="99"/>
      <c r="LH213" s="99"/>
      <c r="LI213" s="99"/>
      <c r="LJ213" s="99"/>
      <c r="LK213" s="99"/>
      <c r="LL213" s="99"/>
      <c r="LM213" s="99"/>
      <c r="LN213" s="99"/>
      <c r="LO213" s="99"/>
      <c r="LP213" s="99"/>
      <c r="LQ213" s="99"/>
      <c r="LR213" s="99"/>
      <c r="LS213" s="99"/>
      <c r="LT213" s="99"/>
      <c r="LU213" s="99"/>
      <c r="LV213" s="99"/>
      <c r="LW213" s="99"/>
      <c r="LX213" s="99"/>
      <c r="LY213" s="99"/>
      <c r="LZ213" s="99"/>
      <c r="MA213" s="99"/>
      <c r="MB213" s="99"/>
      <c r="MC213" s="99"/>
      <c r="MD213" s="99"/>
      <c r="ME213" s="99"/>
      <c r="MF213" s="99"/>
    </row>
    <row r="214" spans="1:344" ht="17.25" customHeight="1" x14ac:dyDescent="0.25">
      <c r="A214" s="155" t="s">
        <v>36</v>
      </c>
      <c r="B214" s="79" t="s">
        <v>1</v>
      </c>
      <c r="C214" s="80">
        <v>45348</v>
      </c>
      <c r="D214" s="50"/>
      <c r="G214" s="36">
        <f t="shared" si="373"/>
        <v>0</v>
      </c>
      <c r="H214" s="27">
        <f t="shared" si="374"/>
        <v>0</v>
      </c>
      <c r="I214" s="47"/>
      <c r="K214" s="105"/>
      <c r="L214" s="89">
        <f t="shared" si="375"/>
        <v>0</v>
      </c>
      <c r="M214" s="27">
        <f t="shared" si="392"/>
        <v>0</v>
      </c>
      <c r="N214" s="35">
        <f t="shared" si="393"/>
        <v>0</v>
      </c>
      <c r="O214" s="97" t="e">
        <f>SUM($Z214,$BH214,$AQ214,$BY214,$CP214,$DG214,$DX214,$EO214,$FF214,$FW214,$GN214)/I214</f>
        <v>#DIV/0!</v>
      </c>
      <c r="P214" s="149">
        <f t="shared" si="450"/>
        <v>0</v>
      </c>
      <c r="Q214" s="131">
        <f t="shared" si="355"/>
        <v>0</v>
      </c>
      <c r="R214" s="133">
        <f t="shared" si="356"/>
        <v>0</v>
      </c>
      <c r="S214" s="135">
        <f t="shared" si="357"/>
        <v>0</v>
      </c>
      <c r="T214" s="137">
        <f t="shared" si="358"/>
        <v>0</v>
      </c>
      <c r="U214" s="143">
        <f t="shared" si="359"/>
        <v>0</v>
      </c>
      <c r="W214" s="11">
        <v>0</v>
      </c>
      <c r="X214" s="1">
        <v>0</v>
      </c>
      <c r="Y214" s="27">
        <f t="shared" si="376"/>
        <v>0</v>
      </c>
      <c r="Z214" s="27">
        <f t="shared" si="394"/>
        <v>0</v>
      </c>
      <c r="AA214" s="15">
        <f t="shared" si="407"/>
        <v>1.0663242620943441E-4</v>
      </c>
      <c r="AB214" s="43">
        <f t="shared" si="298"/>
        <v>2.8114034893561065E-3</v>
      </c>
      <c r="AC214" s="43">
        <f t="shared" si="299"/>
        <v>26.365371109856309</v>
      </c>
      <c r="AD214" s="33"/>
      <c r="AH214" s="31"/>
      <c r="AP214" s="27">
        <f t="shared" si="377"/>
        <v>0</v>
      </c>
      <c r="AQ214" s="27">
        <f t="shared" si="395"/>
        <v>0</v>
      </c>
      <c r="AR214" s="15">
        <f t="shared" si="408"/>
        <v>3.2201937332640693E-2</v>
      </c>
      <c r="AS214" s="28">
        <f t="shared" si="409"/>
        <v>5.861604211790933</v>
      </c>
      <c r="AT214" s="28">
        <f t="shared" si="410"/>
        <v>182.02644614954465</v>
      </c>
      <c r="AU214" s="33"/>
      <c r="AY214" s="31"/>
      <c r="BG214" s="27">
        <f t="shared" si="378"/>
        <v>0</v>
      </c>
      <c r="BH214" s="27">
        <f t="shared" si="396"/>
        <v>0</v>
      </c>
      <c r="BI214" s="15">
        <f t="shared" si="411"/>
        <v>4.4349831509311849E-2</v>
      </c>
      <c r="BJ214" s="28">
        <f t="shared" si="412"/>
        <v>9.0046157779571487</v>
      </c>
      <c r="BK214" s="28">
        <f t="shared" si="413"/>
        <v>203.03607638433772</v>
      </c>
      <c r="BL214" s="33"/>
      <c r="BP214" s="31"/>
      <c r="BX214" s="27">
        <f t="shared" si="379"/>
        <v>0</v>
      </c>
      <c r="BY214" s="27">
        <f t="shared" si="397"/>
        <v>0</v>
      </c>
      <c r="BZ214" s="15">
        <f t="shared" si="414"/>
        <v>3.3722148498881978E-2</v>
      </c>
      <c r="CA214" s="28">
        <f t="shared" si="415"/>
        <v>5.5959396852498378</v>
      </c>
      <c r="CB214" s="28">
        <f t="shared" si="416"/>
        <v>165.94256102737242</v>
      </c>
      <c r="CC214" s="33"/>
      <c r="CG214" s="31"/>
      <c r="CO214" s="27">
        <f t="shared" si="380"/>
        <v>0</v>
      </c>
      <c r="CP214" s="27">
        <f t="shared" si="398"/>
        <v>0</v>
      </c>
      <c r="CQ214" s="15">
        <f t="shared" si="417"/>
        <v>3.694690159475799E-2</v>
      </c>
      <c r="CR214" s="28">
        <f t="shared" si="418"/>
        <v>7.2414583528993219</v>
      </c>
      <c r="CS214" s="28">
        <f t="shared" si="419"/>
        <v>195.99636343867971</v>
      </c>
      <c r="CT214" s="33"/>
      <c r="CX214" s="31"/>
      <c r="DF214" s="27">
        <f t="shared" si="381"/>
        <v>0</v>
      </c>
      <c r="DG214" s="27">
        <f t="shared" si="399"/>
        <v>0</v>
      </c>
      <c r="DH214" s="15">
        <f t="shared" si="420"/>
        <v>3.5936105626477172E-2</v>
      </c>
      <c r="DI214" s="28">
        <f t="shared" si="421"/>
        <v>4.400072046501986</v>
      </c>
      <c r="DJ214" s="28">
        <f t="shared" si="422"/>
        <v>122.44153810757057</v>
      </c>
      <c r="DK214" s="33"/>
      <c r="DO214" s="31"/>
      <c r="DW214" s="27">
        <f t="shared" si="382"/>
        <v>0</v>
      </c>
      <c r="DX214" s="27">
        <f t="shared" si="400"/>
        <v>0</v>
      </c>
      <c r="DY214" s="15">
        <f t="shared" si="423"/>
        <v>3.7206495707102091E-2</v>
      </c>
      <c r="DZ214" s="28">
        <f t="shared" si="424"/>
        <v>4.2957972746175193</v>
      </c>
      <c r="EA214" s="28">
        <f t="shared" si="425"/>
        <v>115.45826052619957</v>
      </c>
      <c r="EB214" s="33"/>
      <c r="EF214" s="31"/>
      <c r="EN214" s="27">
        <f t="shared" si="383"/>
        <v>0</v>
      </c>
      <c r="EO214" s="27">
        <f t="shared" si="401"/>
        <v>0</v>
      </c>
      <c r="EP214" s="15">
        <f t="shared" si="426"/>
        <v>3.972480154048226E-2</v>
      </c>
      <c r="EQ214" s="28">
        <f t="shared" si="427"/>
        <v>8.4410227838307286</v>
      </c>
      <c r="ER214" s="28">
        <f t="shared" si="428"/>
        <v>212.48747524210424</v>
      </c>
      <c r="ES214" s="33"/>
      <c r="EW214" s="31"/>
      <c r="FE214" s="27">
        <f t="shared" si="384"/>
        <v>0</v>
      </c>
      <c r="FF214" s="27">
        <f t="shared" si="402"/>
        <v>0</v>
      </c>
      <c r="FG214" s="15">
        <f t="shared" si="429"/>
        <v>3.8378336357901624E-2</v>
      </c>
      <c r="FH214" s="28">
        <f t="shared" si="430"/>
        <v>7.7269793315096305</v>
      </c>
      <c r="FI214" s="28">
        <f t="shared" si="431"/>
        <v>201.33700584232702</v>
      </c>
      <c r="FJ214" s="33"/>
      <c r="FN214" s="31"/>
      <c r="FV214" s="27">
        <f t="shared" si="385"/>
        <v>0</v>
      </c>
      <c r="FW214" s="27">
        <f t="shared" si="403"/>
        <v>0</v>
      </c>
      <c r="FX214" s="15">
        <f t="shared" si="432"/>
        <v>3.6129052649802026E-2</v>
      </c>
      <c r="FY214" s="28">
        <f t="shared" si="433"/>
        <v>7.7371596563934144</v>
      </c>
      <c r="FZ214" s="28">
        <f t="shared" si="434"/>
        <v>214.15340533253121</v>
      </c>
      <c r="GA214" s="33"/>
      <c r="GE214" s="31"/>
      <c r="GM214" s="27">
        <f t="shared" si="386"/>
        <v>0</v>
      </c>
      <c r="GN214" s="27">
        <f t="shared" si="404"/>
        <v>0</v>
      </c>
      <c r="GO214" s="15">
        <f t="shared" si="435"/>
        <v>3.7333485053248468E-2</v>
      </c>
      <c r="GP214" s="28">
        <f t="shared" si="436"/>
        <v>7.9739845634213413</v>
      </c>
      <c r="GQ214" s="28">
        <f t="shared" si="437"/>
        <v>213.58800422859284</v>
      </c>
      <c r="GR214" s="33"/>
      <c r="GV214" s="31"/>
      <c r="HD214" s="27">
        <f t="shared" si="387"/>
        <v>0</v>
      </c>
      <c r="HE214" s="27">
        <f t="shared" si="405"/>
        <v>0</v>
      </c>
      <c r="HF214" s="15">
        <f t="shared" si="438"/>
        <v>5.2591858821005116E-2</v>
      </c>
      <c r="HG214" s="28">
        <f t="shared" si="439"/>
        <v>5.7840328796703391</v>
      </c>
      <c r="HH214" s="28">
        <f t="shared" si="440"/>
        <v>109.97962440072958</v>
      </c>
      <c r="HI214" s="33"/>
      <c r="HM214" s="31"/>
      <c r="HU214" s="27">
        <f t="shared" si="388"/>
        <v>0</v>
      </c>
      <c r="HV214" s="27">
        <f t="shared" si="406"/>
        <v>0</v>
      </c>
      <c r="HW214" s="15">
        <f t="shared" si="441"/>
        <v>1.2141806110319152E-10</v>
      </c>
      <c r="HX214" s="28">
        <f t="shared" si="442"/>
        <v>2.0327227444173558E-12</v>
      </c>
      <c r="HY214" s="28">
        <f t="shared" si="443"/>
        <v>1.674151873245425E-2</v>
      </c>
      <c r="HZ214" s="33"/>
      <c r="ID214" s="31"/>
      <c r="II214" s="12"/>
      <c r="IL214" s="27">
        <f t="shared" si="389"/>
        <v>0</v>
      </c>
      <c r="IM214" s="27">
        <f t="shared" si="390"/>
        <v>852.19773032335809</v>
      </c>
      <c r="IN214" s="15">
        <f t="shared" si="444"/>
        <v>1.1965382640060883E-2</v>
      </c>
      <c r="IO214" s="28">
        <f t="shared" si="445"/>
        <v>0.15034949601636743</v>
      </c>
      <c r="IP214" s="28">
        <f t="shared" si="446"/>
        <v>12.565373004703376</v>
      </c>
      <c r="IQ214" s="33"/>
      <c r="IU214" s="31"/>
      <c r="JC214" s="27">
        <f t="shared" si="369"/>
        <v>0</v>
      </c>
      <c r="JD214" s="27">
        <f t="shared" si="391"/>
        <v>1009.0584913097802</v>
      </c>
      <c r="JE214" s="15">
        <f t="shared" si="447"/>
        <v>1.4449167944047644E-2</v>
      </c>
      <c r="JF214" s="28">
        <f t="shared" si="448"/>
        <v>0.19189912659629449</v>
      </c>
      <c r="JG214" s="28">
        <f t="shared" si="449"/>
        <v>13.280981115272288</v>
      </c>
      <c r="JH214" s="33"/>
      <c r="JL214" s="31"/>
      <c r="JR214" s="99"/>
      <c r="JS214" s="99"/>
      <c r="JT214" s="99"/>
      <c r="JU214" s="99"/>
      <c r="JV214" s="99"/>
      <c r="JW214" s="99"/>
      <c r="JX214" s="99"/>
      <c r="JY214" s="99"/>
      <c r="JZ214" s="99"/>
      <c r="KA214" s="99"/>
      <c r="KB214" s="99"/>
      <c r="KC214" s="99"/>
      <c r="KD214" s="99"/>
      <c r="KE214" s="99"/>
      <c r="KF214" s="99"/>
      <c r="KG214" s="99"/>
      <c r="KH214" s="99"/>
      <c r="KI214" s="99"/>
      <c r="KJ214" s="99"/>
      <c r="KK214" s="99"/>
      <c r="KL214" s="99"/>
      <c r="KM214" s="99"/>
      <c r="KN214" s="99"/>
      <c r="KO214" s="99"/>
      <c r="KP214" s="99"/>
      <c r="KQ214" s="99"/>
      <c r="KR214" s="99"/>
      <c r="KS214" s="99"/>
      <c r="KT214" s="99"/>
      <c r="KU214" s="99"/>
      <c r="KV214" s="99"/>
      <c r="KW214" s="99"/>
      <c r="KX214" s="99"/>
      <c r="KY214" s="99"/>
      <c r="KZ214" s="99"/>
      <c r="LA214" s="99"/>
      <c r="LB214" s="99"/>
      <c r="LC214" s="99"/>
      <c r="LD214" s="99"/>
      <c r="LE214" s="99"/>
      <c r="LF214" s="99"/>
      <c r="LG214" s="99"/>
      <c r="LH214" s="99"/>
      <c r="LI214" s="99"/>
      <c r="LJ214" s="99"/>
      <c r="LK214" s="99"/>
      <c r="LL214" s="99"/>
      <c r="LM214" s="99"/>
      <c r="LN214" s="99"/>
      <c r="LO214" s="99"/>
      <c r="LP214" s="99"/>
      <c r="LQ214" s="99"/>
      <c r="LR214" s="99"/>
      <c r="LS214" s="99"/>
      <c r="LT214" s="99"/>
      <c r="LU214" s="99"/>
      <c r="LV214" s="99"/>
      <c r="LW214" s="99"/>
      <c r="LX214" s="99"/>
      <c r="LY214" s="99"/>
      <c r="LZ214" s="99"/>
      <c r="MA214" s="99"/>
      <c r="MB214" s="99"/>
      <c r="MC214" s="99"/>
      <c r="MD214" s="99"/>
      <c r="ME214" s="99"/>
      <c r="MF214" s="99"/>
    </row>
    <row r="215" spans="1:344" ht="17.25" customHeight="1" x14ac:dyDescent="0.25">
      <c r="A215" s="156"/>
      <c r="B215" s="81" t="s">
        <v>2</v>
      </c>
      <c r="C215" s="82">
        <v>45349</v>
      </c>
      <c r="D215" s="49"/>
      <c r="G215" s="89">
        <f t="shared" si="373"/>
        <v>0</v>
      </c>
      <c r="H215" s="35">
        <f t="shared" si="374"/>
        <v>0</v>
      </c>
      <c r="I215" s="39"/>
      <c r="L215" s="89">
        <f t="shared" si="375"/>
        <v>0</v>
      </c>
      <c r="M215" s="35">
        <f t="shared" si="392"/>
        <v>0</v>
      </c>
      <c r="N215" s="35">
        <f t="shared" si="393"/>
        <v>0</v>
      </c>
      <c r="O215" s="97" t="e">
        <f>SUM($Z215,$BH215,$AQ215,$BY215,$CP215,$DG215,$DX215,$EO215,$FF215,$FW215,$GN215)/I215</f>
        <v>#DIV/0!</v>
      </c>
      <c r="P215" s="150"/>
      <c r="Q215" s="132">
        <f t="shared" si="355"/>
        <v>0</v>
      </c>
      <c r="R215" s="134">
        <f t="shared" si="356"/>
        <v>0</v>
      </c>
      <c r="S215" s="136">
        <f t="shared" si="357"/>
        <v>0</v>
      </c>
      <c r="T215" s="138">
        <f t="shared" si="358"/>
        <v>0</v>
      </c>
      <c r="U215" s="144">
        <f t="shared" si="359"/>
        <v>0</v>
      </c>
      <c r="W215" s="11">
        <v>0</v>
      </c>
      <c r="X215" s="1">
        <v>0</v>
      </c>
      <c r="Y215" s="35">
        <f t="shared" si="376"/>
        <v>0</v>
      </c>
      <c r="Z215" s="35">
        <f t="shared" si="394"/>
        <v>0</v>
      </c>
      <c r="AA215" s="15">
        <f t="shared" si="407"/>
        <v>8.5898343335377716E-5</v>
      </c>
      <c r="AB215" s="43">
        <f t="shared" si="298"/>
        <v>2.1085526170170799E-3</v>
      </c>
      <c r="AC215" s="43">
        <f t="shared" si="299"/>
        <v>24.547069654004147</v>
      </c>
      <c r="AD215" s="33"/>
      <c r="AH215" s="31"/>
      <c r="AP215" s="35">
        <f t="shared" si="377"/>
        <v>0</v>
      </c>
      <c r="AQ215" s="35">
        <f t="shared" si="395"/>
        <v>0</v>
      </c>
      <c r="AR215" s="15">
        <f t="shared" si="408"/>
        <v>2.5940449517960561E-2</v>
      </c>
      <c r="AS215" s="28">
        <f t="shared" si="409"/>
        <v>4.3962031588431998</v>
      </c>
      <c r="AT215" s="28">
        <f t="shared" si="410"/>
        <v>169.47289813923123</v>
      </c>
      <c r="AU215" s="33"/>
      <c r="AY215" s="31"/>
      <c r="BG215" s="35">
        <f t="shared" si="378"/>
        <v>0</v>
      </c>
      <c r="BH215" s="35">
        <f t="shared" si="396"/>
        <v>0</v>
      </c>
      <c r="BI215" s="15">
        <f t="shared" si="411"/>
        <v>3.5726253160278991E-2</v>
      </c>
      <c r="BJ215" s="28">
        <f t="shared" si="412"/>
        <v>6.7534618334678616</v>
      </c>
      <c r="BK215" s="28">
        <f t="shared" si="413"/>
        <v>189.03358835783166</v>
      </c>
      <c r="BL215" s="33"/>
      <c r="BP215" s="31"/>
      <c r="BX215" s="35">
        <f t="shared" si="379"/>
        <v>0</v>
      </c>
      <c r="BY215" s="35">
        <f t="shared" si="397"/>
        <v>0</v>
      </c>
      <c r="BZ215" s="15">
        <f t="shared" si="414"/>
        <v>2.7165064068543812E-2</v>
      </c>
      <c r="CA215" s="28">
        <f t="shared" si="415"/>
        <v>4.1969547639373781</v>
      </c>
      <c r="CB215" s="28">
        <f t="shared" si="416"/>
        <v>154.49824647376053</v>
      </c>
      <c r="CC215" s="33"/>
      <c r="CG215" s="31"/>
      <c r="CO215" s="35">
        <f t="shared" si="380"/>
        <v>0</v>
      </c>
      <c r="CP215" s="35">
        <f t="shared" si="398"/>
        <v>0</v>
      </c>
      <c r="CQ215" s="15">
        <f t="shared" si="417"/>
        <v>2.9762781840221717E-2</v>
      </c>
      <c r="CR215" s="28">
        <f t="shared" si="418"/>
        <v>5.4310937646744915</v>
      </c>
      <c r="CS215" s="28">
        <f t="shared" si="419"/>
        <v>182.47937285670179</v>
      </c>
      <c r="CT215" s="33"/>
      <c r="CX215" s="31"/>
      <c r="DF215" s="35">
        <f t="shared" si="381"/>
        <v>0</v>
      </c>
      <c r="DG215" s="35">
        <f t="shared" si="399"/>
        <v>0</v>
      </c>
      <c r="DH215" s="15">
        <f t="shared" si="420"/>
        <v>2.8948529532439947E-2</v>
      </c>
      <c r="DI215" s="28">
        <f t="shared" si="421"/>
        <v>3.3000540348764895</v>
      </c>
      <c r="DJ215" s="28">
        <f t="shared" si="422"/>
        <v>113.9972941001519</v>
      </c>
      <c r="DK215" s="33"/>
      <c r="DO215" s="31"/>
      <c r="DW215" s="35">
        <f t="shared" si="382"/>
        <v>0</v>
      </c>
      <c r="DX215" s="35">
        <f t="shared" si="400"/>
        <v>0</v>
      </c>
      <c r="DY215" s="15">
        <f t="shared" si="423"/>
        <v>2.9971899319610019E-2</v>
      </c>
      <c r="DZ215" s="28">
        <f t="shared" si="424"/>
        <v>3.2218479559631392</v>
      </c>
      <c r="EA215" s="28">
        <f t="shared" si="425"/>
        <v>107.49562186922029</v>
      </c>
      <c r="EB215" s="33"/>
      <c r="EF215" s="31"/>
      <c r="EN215" s="35">
        <f t="shared" si="383"/>
        <v>0</v>
      </c>
      <c r="EO215" s="35">
        <f t="shared" si="401"/>
        <v>0</v>
      </c>
      <c r="EP215" s="15">
        <f t="shared" si="426"/>
        <v>3.2000534574277373E-2</v>
      </c>
      <c r="EQ215" s="28">
        <f t="shared" si="427"/>
        <v>6.3307670878730464</v>
      </c>
      <c r="ER215" s="28">
        <f t="shared" si="428"/>
        <v>197.83316660471775</v>
      </c>
      <c r="ES215" s="33"/>
      <c r="EW215" s="31"/>
      <c r="FE215" s="35">
        <f t="shared" si="384"/>
        <v>0</v>
      </c>
      <c r="FF215" s="35">
        <f t="shared" si="402"/>
        <v>0</v>
      </c>
      <c r="FG215" s="15">
        <f t="shared" si="429"/>
        <v>3.0915882066087419E-2</v>
      </c>
      <c r="FH215" s="28">
        <f t="shared" si="430"/>
        <v>5.7952344986322224</v>
      </c>
      <c r="FI215" s="28">
        <f t="shared" si="431"/>
        <v>187.45169509458032</v>
      </c>
      <c r="FJ215" s="33"/>
      <c r="FN215" s="31"/>
      <c r="FV215" s="35">
        <f t="shared" si="385"/>
        <v>0</v>
      </c>
      <c r="FW215" s="35">
        <f t="shared" si="403"/>
        <v>0</v>
      </c>
      <c r="FX215" s="15">
        <f t="shared" si="432"/>
        <v>2.9103959079007188E-2</v>
      </c>
      <c r="FY215" s="28">
        <f t="shared" si="433"/>
        <v>5.8028697422950604</v>
      </c>
      <c r="FZ215" s="28">
        <f t="shared" si="434"/>
        <v>199.38420496477042</v>
      </c>
      <c r="GA215" s="33"/>
      <c r="GE215" s="31"/>
      <c r="GM215" s="35">
        <f t="shared" si="386"/>
        <v>0</v>
      </c>
      <c r="GN215" s="35">
        <f t="shared" si="404"/>
        <v>0</v>
      </c>
      <c r="GO215" s="15">
        <f t="shared" si="435"/>
        <v>3.0074196292894602E-2</v>
      </c>
      <c r="GP215" s="28">
        <f t="shared" si="436"/>
        <v>5.9804884225660064</v>
      </c>
      <c r="GQ215" s="28">
        <f t="shared" si="437"/>
        <v>198.85779704041403</v>
      </c>
      <c r="GR215" s="33"/>
      <c r="GV215" s="31"/>
      <c r="HD215" s="35">
        <f t="shared" si="387"/>
        <v>0</v>
      </c>
      <c r="HE215" s="35">
        <f t="shared" si="405"/>
        <v>0</v>
      </c>
      <c r="HF215" s="15">
        <f t="shared" si="438"/>
        <v>4.2365664050254125E-2</v>
      </c>
      <c r="HG215" s="28">
        <f t="shared" si="439"/>
        <v>4.3380246597527545</v>
      </c>
      <c r="HH215" s="28">
        <f t="shared" si="440"/>
        <v>102.39482271792063</v>
      </c>
      <c r="HI215" s="33"/>
      <c r="HM215" s="31"/>
      <c r="HU215" s="35">
        <f t="shared" si="388"/>
        <v>0</v>
      </c>
      <c r="HV215" s="35">
        <f t="shared" si="406"/>
        <v>0</v>
      </c>
      <c r="HW215" s="15">
        <f t="shared" si="441"/>
        <v>9.7808993666459849E-11</v>
      </c>
      <c r="HX215" s="28">
        <f t="shared" si="442"/>
        <v>1.5245420583130168E-12</v>
      </c>
      <c r="HY215" s="28">
        <f t="shared" si="443"/>
        <v>1.5586931233664301E-2</v>
      </c>
      <c r="HZ215" s="33"/>
      <c r="ID215" s="31"/>
      <c r="II215" s="12"/>
      <c r="IL215" s="35">
        <f t="shared" si="389"/>
        <v>0</v>
      </c>
      <c r="IM215" s="35">
        <f t="shared" si="390"/>
        <v>789.3605466167578</v>
      </c>
      <c r="IN215" s="15">
        <f t="shared" si="444"/>
        <v>9.6387804600490453E-3</v>
      </c>
      <c r="IO215" s="28">
        <f t="shared" si="445"/>
        <v>0.11276212201227558</v>
      </c>
      <c r="IP215" s="28">
        <f t="shared" si="446"/>
        <v>11.698795556103143</v>
      </c>
      <c r="IQ215" s="33"/>
      <c r="IU215" s="31"/>
      <c r="JC215" s="35">
        <f t="shared" si="369"/>
        <v>0</v>
      </c>
      <c r="JD215" s="35">
        <f t="shared" si="391"/>
        <v>934.21052768772756</v>
      </c>
      <c r="JE215" s="15">
        <f t="shared" si="447"/>
        <v>1.1639607510482824E-2</v>
      </c>
      <c r="JF215" s="28">
        <f t="shared" si="448"/>
        <v>0.14392434494722087</v>
      </c>
      <c r="JG215" s="28">
        <f t="shared" si="449"/>
        <v>12.365051383184545</v>
      </c>
      <c r="JH215" s="33"/>
      <c r="JL215" s="31"/>
      <c r="JR215" s="99"/>
      <c r="JS215" s="99"/>
      <c r="JT215" s="99"/>
      <c r="JU215" s="99"/>
      <c r="JV215" s="99"/>
      <c r="JW215" s="99"/>
      <c r="JX215" s="99"/>
      <c r="JY215" s="99"/>
      <c r="JZ215" s="99"/>
      <c r="KA215" s="99"/>
      <c r="KB215" s="99"/>
      <c r="KC215" s="99"/>
      <c r="KD215" s="99"/>
      <c r="KE215" s="99"/>
      <c r="KF215" s="99"/>
      <c r="KG215" s="99"/>
      <c r="KH215" s="99"/>
      <c r="KI215" s="99"/>
      <c r="KJ215" s="99"/>
      <c r="KK215" s="99"/>
      <c r="KL215" s="99"/>
      <c r="KM215" s="99"/>
      <c r="KN215" s="99"/>
      <c r="KO215" s="99"/>
      <c r="KP215" s="99"/>
      <c r="KQ215" s="99"/>
      <c r="KR215" s="99"/>
      <c r="KS215" s="99"/>
      <c r="KT215" s="99"/>
      <c r="KU215" s="99"/>
      <c r="KV215" s="99"/>
      <c r="KW215" s="99"/>
      <c r="KX215" s="99"/>
      <c r="KY215" s="99"/>
      <c r="KZ215" s="99"/>
      <c r="LA215" s="99"/>
      <c r="LB215" s="99"/>
      <c r="LC215" s="99"/>
      <c r="LD215" s="99"/>
      <c r="LE215" s="99"/>
      <c r="LF215" s="99"/>
      <c r="LG215" s="99"/>
      <c r="LH215" s="99"/>
      <c r="LI215" s="99"/>
      <c r="LJ215" s="99"/>
      <c r="LK215" s="99"/>
      <c r="LL215" s="99"/>
      <c r="LM215" s="99"/>
      <c r="LN215" s="99"/>
      <c r="LO215" s="99"/>
      <c r="LP215" s="99"/>
      <c r="LQ215" s="99"/>
      <c r="LR215" s="99"/>
      <c r="LS215" s="99"/>
      <c r="LT215" s="99"/>
      <c r="LU215" s="99"/>
      <c r="LV215" s="99"/>
      <c r="LW215" s="99"/>
      <c r="LX215" s="99"/>
      <c r="LY215" s="99"/>
      <c r="LZ215" s="99"/>
      <c r="MA215" s="99"/>
      <c r="MB215" s="99"/>
      <c r="MC215" s="99"/>
      <c r="MD215" s="99"/>
      <c r="ME215" s="99"/>
      <c r="MF215" s="99"/>
    </row>
    <row r="216" spans="1:344" ht="17.25" customHeight="1" x14ac:dyDescent="0.25">
      <c r="A216" s="156"/>
      <c r="B216" s="81" t="s">
        <v>3</v>
      </c>
      <c r="C216" s="82">
        <v>45350</v>
      </c>
      <c r="D216" s="49"/>
      <c r="G216" s="89">
        <f t="shared" si="373"/>
        <v>0</v>
      </c>
      <c r="H216" s="35">
        <f t="shared" si="374"/>
        <v>0</v>
      </c>
      <c r="I216" s="39"/>
      <c r="L216" s="89">
        <f t="shared" si="375"/>
        <v>0</v>
      </c>
      <c r="M216" s="35">
        <f t="shared" si="392"/>
        <v>0</v>
      </c>
      <c r="N216" s="35">
        <f t="shared" si="393"/>
        <v>0</v>
      </c>
      <c r="O216" s="97" t="e">
        <f>SUM($Z216,$BH216,$AQ216,$BY216,$CP216,$DG216,$DX216,$EO216,$FF216,$FW216,$GN216)/D216</f>
        <v>#DIV/0!</v>
      </c>
      <c r="P216" s="150"/>
      <c r="Q216" s="132">
        <f t="shared" si="355"/>
        <v>0</v>
      </c>
      <c r="R216" s="134">
        <f t="shared" si="356"/>
        <v>0</v>
      </c>
      <c r="S216" s="136">
        <f t="shared" si="357"/>
        <v>0</v>
      </c>
      <c r="T216" s="138">
        <f t="shared" si="358"/>
        <v>0</v>
      </c>
      <c r="U216" s="144">
        <f t="shared" si="359"/>
        <v>0</v>
      </c>
      <c r="W216" s="11">
        <v>0</v>
      </c>
      <c r="X216" s="1">
        <v>0</v>
      </c>
      <c r="Y216" s="35">
        <f t="shared" si="376"/>
        <v>0</v>
      </c>
      <c r="Z216" s="35">
        <f t="shared" si="394"/>
        <v>0</v>
      </c>
      <c r="AA216" s="15">
        <f t="shared" si="407"/>
        <v>6.9195887686832058E-5</v>
      </c>
      <c r="AB216" s="43">
        <f t="shared" si="298"/>
        <v>1.58141446276281E-3</v>
      </c>
      <c r="AC216" s="43">
        <f t="shared" si="299"/>
        <v>22.854168298555585</v>
      </c>
      <c r="AD216" s="33"/>
      <c r="AH216" s="31"/>
      <c r="AP216" s="35">
        <f t="shared" si="377"/>
        <v>0</v>
      </c>
      <c r="AQ216" s="35">
        <f t="shared" si="395"/>
        <v>0</v>
      </c>
      <c r="AR216" s="15">
        <f t="shared" si="408"/>
        <v>2.0896473222801564E-2</v>
      </c>
      <c r="AS216" s="28">
        <f t="shared" si="409"/>
        <v>3.2971523691323998</v>
      </c>
      <c r="AT216" s="28">
        <f t="shared" si="410"/>
        <v>157.78511206066355</v>
      </c>
      <c r="AU216" s="33"/>
      <c r="AY216" s="31"/>
      <c r="BG216" s="35">
        <f t="shared" si="378"/>
        <v>0</v>
      </c>
      <c r="BH216" s="35">
        <f t="shared" si="396"/>
        <v>0</v>
      </c>
      <c r="BI216" s="15">
        <f t="shared" si="411"/>
        <v>2.8779481712446972E-2</v>
      </c>
      <c r="BJ216" s="28">
        <f t="shared" si="412"/>
        <v>5.0650963751008966</v>
      </c>
      <c r="BK216" s="28">
        <f t="shared" si="413"/>
        <v>175.99678916073981</v>
      </c>
      <c r="BL216" s="33"/>
      <c r="BP216" s="31"/>
      <c r="BX216" s="35">
        <f t="shared" si="379"/>
        <v>0</v>
      </c>
      <c r="BY216" s="35">
        <f t="shared" si="397"/>
        <v>0</v>
      </c>
      <c r="BZ216" s="15">
        <f t="shared" si="414"/>
        <v>2.1882968277438072E-2</v>
      </c>
      <c r="CA216" s="28">
        <f t="shared" si="415"/>
        <v>3.1477160729530338</v>
      </c>
      <c r="CB216" s="28">
        <f t="shared" si="416"/>
        <v>143.84319499281153</v>
      </c>
      <c r="CC216" s="33"/>
      <c r="CG216" s="31"/>
      <c r="CO216" s="35">
        <f t="shared" si="380"/>
        <v>0</v>
      </c>
      <c r="CP216" s="35">
        <f t="shared" si="398"/>
        <v>0</v>
      </c>
      <c r="CQ216" s="15">
        <f t="shared" si="417"/>
        <v>2.39755742601786E-2</v>
      </c>
      <c r="CR216" s="28">
        <f t="shared" si="418"/>
        <v>4.0733203235058681</v>
      </c>
      <c r="CS216" s="28">
        <f t="shared" si="419"/>
        <v>169.89458852175684</v>
      </c>
      <c r="CT216" s="33"/>
      <c r="CX216" s="31"/>
      <c r="DF216" s="35">
        <f t="shared" si="381"/>
        <v>0</v>
      </c>
      <c r="DG216" s="35">
        <f t="shared" si="399"/>
        <v>0</v>
      </c>
      <c r="DH216" s="15">
        <f t="shared" si="420"/>
        <v>2.3319648790021071E-2</v>
      </c>
      <c r="DI216" s="28">
        <f t="shared" si="421"/>
        <v>2.4750405261573674</v>
      </c>
      <c r="DJ216" s="28">
        <f t="shared" si="422"/>
        <v>106.13541174841728</v>
      </c>
      <c r="DK216" s="33"/>
      <c r="DO216" s="31"/>
      <c r="DW216" s="35">
        <f t="shared" si="382"/>
        <v>0</v>
      </c>
      <c r="DX216" s="35">
        <f t="shared" si="400"/>
        <v>0</v>
      </c>
      <c r="DY216" s="15">
        <f t="shared" si="423"/>
        <v>2.4144030007463631E-2</v>
      </c>
      <c r="DZ216" s="28">
        <f t="shared" si="424"/>
        <v>2.4163859669723546</v>
      </c>
      <c r="EA216" s="28">
        <f t="shared" si="425"/>
        <v>100.08213070582578</v>
      </c>
      <c r="EB216" s="33"/>
      <c r="EF216" s="31"/>
      <c r="EN216" s="35">
        <f t="shared" si="383"/>
        <v>0</v>
      </c>
      <c r="EO216" s="35">
        <f t="shared" si="401"/>
        <v>0</v>
      </c>
      <c r="EP216" s="15">
        <f t="shared" si="426"/>
        <v>2.5778208407056778E-2</v>
      </c>
      <c r="EQ216" s="28">
        <f t="shared" si="427"/>
        <v>4.748075315904785</v>
      </c>
      <c r="ER216" s="28">
        <f t="shared" si="428"/>
        <v>184.18949994232341</v>
      </c>
      <c r="ES216" s="33"/>
      <c r="EW216" s="31"/>
      <c r="FE216" s="35">
        <f t="shared" si="384"/>
        <v>0</v>
      </c>
      <c r="FF216" s="35">
        <f t="shared" si="402"/>
        <v>0</v>
      </c>
      <c r="FG216" s="15">
        <f t="shared" si="429"/>
        <v>2.4904460553237084E-2</v>
      </c>
      <c r="FH216" s="28">
        <f t="shared" si="430"/>
        <v>4.3464258739741668</v>
      </c>
      <c r="FI216" s="28">
        <f t="shared" si="431"/>
        <v>174.52399198460927</v>
      </c>
      <c r="FJ216" s="33"/>
      <c r="FN216" s="31"/>
      <c r="FV216" s="35">
        <f t="shared" si="385"/>
        <v>0</v>
      </c>
      <c r="FW216" s="35">
        <f t="shared" si="403"/>
        <v>0</v>
      </c>
      <c r="FX216" s="15">
        <f t="shared" si="432"/>
        <v>2.3444855924755797E-2</v>
      </c>
      <c r="FY216" s="28">
        <f t="shared" si="433"/>
        <v>4.3521523067212957</v>
      </c>
      <c r="FZ216" s="28">
        <f t="shared" si="434"/>
        <v>185.63357013961382</v>
      </c>
      <c r="GA216" s="33"/>
      <c r="GE216" s="31"/>
      <c r="GM216" s="35">
        <f t="shared" si="386"/>
        <v>0</v>
      </c>
      <c r="GN216" s="35">
        <f t="shared" si="404"/>
        <v>0</v>
      </c>
      <c r="GO216" s="15">
        <f t="shared" si="435"/>
        <v>2.4226435902609544E-2</v>
      </c>
      <c r="GP216" s="28">
        <f t="shared" si="436"/>
        <v>4.4853663169245053</v>
      </c>
      <c r="GQ216" s="28">
        <f t="shared" si="437"/>
        <v>185.14346621004063</v>
      </c>
      <c r="GR216" s="33"/>
      <c r="GV216" s="31"/>
      <c r="HD216" s="35">
        <f t="shared" si="387"/>
        <v>0</v>
      </c>
      <c r="HE216" s="35">
        <f t="shared" si="405"/>
        <v>0</v>
      </c>
      <c r="HF216" s="15">
        <f t="shared" si="438"/>
        <v>3.412789604048249E-2</v>
      </c>
      <c r="HG216" s="28">
        <f t="shared" si="439"/>
        <v>3.2535184948145659</v>
      </c>
      <c r="HH216" s="28">
        <f t="shared" si="440"/>
        <v>95.333110806339903</v>
      </c>
      <c r="HI216" s="33"/>
      <c r="HM216" s="31"/>
      <c r="HU216" s="35">
        <f t="shared" si="388"/>
        <v>0</v>
      </c>
      <c r="HV216" s="35">
        <f t="shared" si="406"/>
        <v>0</v>
      </c>
      <c r="HW216" s="15">
        <f t="shared" si="441"/>
        <v>7.8790578231314884E-11</v>
      </c>
      <c r="HX216" s="28">
        <f t="shared" si="442"/>
        <v>1.1434065437347627E-12</v>
      </c>
      <c r="HY216" s="28">
        <f t="shared" si="443"/>
        <v>1.4511970458928831E-2</v>
      </c>
      <c r="HZ216" s="33"/>
      <c r="ID216" s="31"/>
      <c r="II216" s="12"/>
      <c r="IL216" s="35">
        <f t="shared" si="389"/>
        <v>0</v>
      </c>
      <c r="IM216" s="35">
        <f t="shared" si="390"/>
        <v>731.87248816070212</v>
      </c>
      <c r="IN216" s="15">
        <f t="shared" si="444"/>
        <v>7.7645731483728421E-3</v>
      </c>
      <c r="IO216" s="28">
        <f t="shared" si="445"/>
        <v>8.4571591509206678E-2</v>
      </c>
      <c r="IP216" s="28">
        <f t="shared" si="446"/>
        <v>10.89198206947534</v>
      </c>
      <c r="IQ216" s="33"/>
      <c r="IU216" s="31"/>
      <c r="JC216" s="35">
        <f t="shared" si="369"/>
        <v>0</v>
      </c>
      <c r="JD216" s="35">
        <f t="shared" si="391"/>
        <v>865.83815062558824</v>
      </c>
      <c r="JE216" s="15">
        <f t="shared" si="447"/>
        <v>9.3763504945556103E-3</v>
      </c>
      <c r="JF216" s="28">
        <f t="shared" si="448"/>
        <v>0.10794325871041566</v>
      </c>
      <c r="JG216" s="28">
        <f t="shared" si="449"/>
        <v>11.512289218826989</v>
      </c>
      <c r="JH216" s="33"/>
      <c r="JL216" s="31"/>
      <c r="JR216" s="99"/>
      <c r="JS216" s="99"/>
      <c r="JT216" s="99"/>
      <c r="JU216" s="99"/>
      <c r="JV216" s="99"/>
      <c r="JW216" s="99"/>
      <c r="JX216" s="99"/>
      <c r="JY216" s="99"/>
      <c r="JZ216" s="99"/>
      <c r="KA216" s="99"/>
      <c r="KB216" s="99"/>
      <c r="KC216" s="99"/>
      <c r="KD216" s="99"/>
      <c r="KE216" s="99"/>
      <c r="KF216" s="99"/>
      <c r="KG216" s="99"/>
      <c r="KH216" s="99"/>
      <c r="KI216" s="99"/>
      <c r="KJ216" s="99"/>
      <c r="KK216" s="99"/>
      <c r="KL216" s="99"/>
      <c r="KM216" s="99"/>
      <c r="KN216" s="99"/>
      <c r="KO216" s="99"/>
      <c r="KP216" s="99"/>
      <c r="KQ216" s="99"/>
      <c r="KR216" s="99"/>
      <c r="KS216" s="99"/>
      <c r="KT216" s="99"/>
      <c r="KU216" s="99"/>
      <c r="KV216" s="99"/>
      <c r="KW216" s="99"/>
      <c r="KX216" s="99"/>
      <c r="KY216" s="99"/>
      <c r="KZ216" s="99"/>
      <c r="LA216" s="99"/>
      <c r="LB216" s="99"/>
      <c r="LC216" s="99"/>
      <c r="LD216" s="99"/>
      <c r="LE216" s="99"/>
      <c r="LF216" s="99"/>
      <c r="LG216" s="99"/>
      <c r="LH216" s="99"/>
      <c r="LI216" s="99"/>
      <c r="LJ216" s="99"/>
      <c r="LK216" s="99"/>
      <c r="LL216" s="99"/>
      <c r="LM216" s="99"/>
      <c r="LN216" s="99"/>
      <c r="LO216" s="99"/>
      <c r="LP216" s="99"/>
      <c r="LQ216" s="99"/>
      <c r="LR216" s="99"/>
      <c r="LS216" s="99"/>
      <c r="LT216" s="99"/>
      <c r="LU216" s="99"/>
      <c r="LV216" s="99"/>
      <c r="LW216" s="99"/>
      <c r="LX216" s="99"/>
      <c r="LY216" s="99"/>
      <c r="LZ216" s="99"/>
      <c r="MA216" s="99"/>
      <c r="MB216" s="99"/>
      <c r="MC216" s="99"/>
      <c r="MD216" s="99"/>
      <c r="ME216" s="99"/>
      <c r="MF216" s="99"/>
    </row>
    <row r="217" spans="1:344" ht="17.25" customHeight="1" x14ac:dyDescent="0.25">
      <c r="A217" s="156"/>
      <c r="B217" s="81" t="s">
        <v>4</v>
      </c>
      <c r="C217" s="82">
        <v>45351</v>
      </c>
      <c r="D217" s="49"/>
      <c r="G217" s="89">
        <f t="shared" si="373"/>
        <v>0</v>
      </c>
      <c r="H217" s="35">
        <f t="shared" si="374"/>
        <v>0</v>
      </c>
      <c r="I217" s="39"/>
      <c r="L217" s="89">
        <f t="shared" si="375"/>
        <v>0</v>
      </c>
      <c r="M217" s="35">
        <f t="shared" si="392"/>
        <v>0</v>
      </c>
      <c r="N217" s="35">
        <f t="shared" si="393"/>
        <v>0</v>
      </c>
      <c r="O217" s="97" t="e">
        <f>SUM($Z217,$BH217,$AQ217,$BY217,$CP217,$DG217,$DX217,$EO217,$FF217,$FW217,$GN217)/D217</f>
        <v>#DIV/0!</v>
      </c>
      <c r="P217" s="150"/>
      <c r="Q217" s="132">
        <f t="shared" si="355"/>
        <v>0</v>
      </c>
      <c r="R217" s="134">
        <f t="shared" si="356"/>
        <v>0</v>
      </c>
      <c r="S217" s="136">
        <f t="shared" si="357"/>
        <v>0</v>
      </c>
      <c r="T217" s="138">
        <f t="shared" si="358"/>
        <v>0</v>
      </c>
      <c r="U217" s="144">
        <f t="shared" si="359"/>
        <v>0</v>
      </c>
      <c r="W217" s="11">
        <v>0</v>
      </c>
      <c r="X217" s="1">
        <v>0</v>
      </c>
      <c r="Y217" s="35">
        <f t="shared" si="376"/>
        <v>0</v>
      </c>
      <c r="Z217" s="35">
        <f t="shared" si="394"/>
        <v>0</v>
      </c>
      <c r="AA217" s="15">
        <f t="shared" si="407"/>
        <v>5.5741131747725821E-5</v>
      </c>
      <c r="AB217" s="43">
        <f t="shared" si="298"/>
        <v>1.1860608470721074E-3</v>
      </c>
      <c r="AC217" s="43">
        <f t="shared" si="299"/>
        <v>21.278018760724166</v>
      </c>
      <c r="AD217" s="33"/>
      <c r="AH217" s="31"/>
      <c r="AP217" s="35">
        <f t="shared" si="377"/>
        <v>0</v>
      </c>
      <c r="AQ217" s="35">
        <f t="shared" si="395"/>
        <v>0</v>
      </c>
      <c r="AR217" s="15">
        <f t="shared" si="408"/>
        <v>1.6833270096145703E-2</v>
      </c>
      <c r="AS217" s="28">
        <f t="shared" si="409"/>
        <v>2.4728642768492999</v>
      </c>
      <c r="AT217" s="28">
        <f t="shared" si="410"/>
        <v>146.90338019441089</v>
      </c>
      <c r="AU217" s="33"/>
      <c r="AY217" s="31"/>
      <c r="BG217" s="35">
        <f t="shared" si="378"/>
        <v>0</v>
      </c>
      <c r="BH217" s="35">
        <f t="shared" si="396"/>
        <v>0</v>
      </c>
      <c r="BI217" s="15">
        <f t="shared" si="411"/>
        <v>2.318347137947117E-2</v>
      </c>
      <c r="BJ217" s="28">
        <f t="shared" si="412"/>
        <v>3.7988222813256725</v>
      </c>
      <c r="BK217" s="28">
        <f t="shared" si="413"/>
        <v>163.85907956344741</v>
      </c>
      <c r="BL217" s="33"/>
      <c r="BP217" s="31"/>
      <c r="BX217" s="35">
        <f t="shared" si="379"/>
        <v>0</v>
      </c>
      <c r="BY217" s="35">
        <f t="shared" si="397"/>
        <v>0</v>
      </c>
      <c r="BZ217" s="15">
        <f t="shared" si="414"/>
        <v>1.7627946667936222E-2</v>
      </c>
      <c r="CA217" s="28">
        <f t="shared" si="415"/>
        <v>2.3607870547147751</v>
      </c>
      <c r="CB217" s="28">
        <f t="shared" si="416"/>
        <v>133.92297464847971</v>
      </c>
      <c r="CC217" s="33"/>
      <c r="CG217" s="31"/>
      <c r="CO217" s="35">
        <f t="shared" si="380"/>
        <v>0</v>
      </c>
      <c r="CP217" s="35">
        <f t="shared" si="398"/>
        <v>0</v>
      </c>
      <c r="CQ217" s="15">
        <f t="shared" si="417"/>
        <v>1.931365704292165E-2</v>
      </c>
      <c r="CR217" s="28">
        <f t="shared" si="418"/>
        <v>3.0549902426294011</v>
      </c>
      <c r="CS217" s="28">
        <f t="shared" si="419"/>
        <v>158.17772034784258</v>
      </c>
      <c r="CT217" s="33"/>
      <c r="CX217" s="31"/>
      <c r="DF217" s="35">
        <f t="shared" si="381"/>
        <v>0</v>
      </c>
      <c r="DG217" s="35">
        <f t="shared" si="399"/>
        <v>0</v>
      </c>
      <c r="DH217" s="15">
        <f t="shared" si="420"/>
        <v>1.8785272636405864E-2</v>
      </c>
      <c r="DI217" s="28">
        <f t="shared" si="421"/>
        <v>1.8562803946180255</v>
      </c>
      <c r="DJ217" s="28">
        <f t="shared" si="422"/>
        <v>98.815728179560921</v>
      </c>
      <c r="DK217" s="33"/>
      <c r="DO217" s="31"/>
      <c r="DW217" s="35">
        <f t="shared" si="382"/>
        <v>0</v>
      </c>
      <c r="DX217" s="35">
        <f t="shared" si="400"/>
        <v>0</v>
      </c>
      <c r="DY217" s="15">
        <f t="shared" si="423"/>
        <v>1.9449357506012368E-2</v>
      </c>
      <c r="DZ217" s="28">
        <f t="shared" si="424"/>
        <v>1.812289475229266</v>
      </c>
      <c r="EA217" s="28">
        <f t="shared" si="425"/>
        <v>93.179914795079171</v>
      </c>
      <c r="EB217" s="33"/>
      <c r="EF217" s="31"/>
      <c r="EN217" s="35">
        <f t="shared" si="383"/>
        <v>0</v>
      </c>
      <c r="EO217" s="35">
        <f t="shared" si="401"/>
        <v>0</v>
      </c>
      <c r="EP217" s="15">
        <f t="shared" si="426"/>
        <v>2.0765778994573516E-2</v>
      </c>
      <c r="EQ217" s="28">
        <f t="shared" si="427"/>
        <v>3.5610564869285888</v>
      </c>
      <c r="ER217" s="28">
        <f t="shared" si="428"/>
        <v>171.48677580837006</v>
      </c>
      <c r="ES217" s="33"/>
      <c r="EW217" s="31"/>
      <c r="FE217" s="35">
        <f t="shared" si="384"/>
        <v>0</v>
      </c>
      <c r="FF217" s="35">
        <f t="shared" si="402"/>
        <v>0</v>
      </c>
      <c r="FG217" s="15">
        <f t="shared" si="429"/>
        <v>2.0061926556774322E-2</v>
      </c>
      <c r="FH217" s="28">
        <f t="shared" si="430"/>
        <v>3.2598194054806253</v>
      </c>
      <c r="FI217" s="28">
        <f t="shared" si="431"/>
        <v>162.48785460636034</v>
      </c>
      <c r="FJ217" s="33"/>
      <c r="FN217" s="31"/>
      <c r="FV217" s="35">
        <f t="shared" si="385"/>
        <v>0</v>
      </c>
      <c r="FW217" s="35">
        <f t="shared" si="403"/>
        <v>0</v>
      </c>
      <c r="FX217" s="15">
        <f t="shared" si="432"/>
        <v>1.8886133939386616E-2</v>
      </c>
      <c r="FY217" s="28">
        <f t="shared" si="433"/>
        <v>3.2641142300409718</v>
      </c>
      <c r="FZ217" s="28">
        <f t="shared" si="434"/>
        <v>172.83125495757147</v>
      </c>
      <c r="GA217" s="33"/>
      <c r="GE217" s="31"/>
      <c r="GM217" s="35">
        <f t="shared" si="386"/>
        <v>0</v>
      </c>
      <c r="GN217" s="35">
        <f t="shared" si="404"/>
        <v>0</v>
      </c>
      <c r="GO217" s="15">
        <f t="shared" si="435"/>
        <v>1.9515740032657689E-2</v>
      </c>
      <c r="GP217" s="28">
        <f t="shared" si="436"/>
        <v>3.364024737693379</v>
      </c>
      <c r="GQ217" s="28">
        <f t="shared" si="437"/>
        <v>172.37495129900333</v>
      </c>
      <c r="GR217" s="33"/>
      <c r="GV217" s="31"/>
      <c r="HD217" s="35">
        <f t="shared" si="387"/>
        <v>0</v>
      </c>
      <c r="HE217" s="35">
        <f t="shared" si="405"/>
        <v>0</v>
      </c>
      <c r="HF217" s="15">
        <f t="shared" si="438"/>
        <v>2.7491916254833115E-2</v>
      </c>
      <c r="HG217" s="28">
        <f t="shared" si="439"/>
        <v>2.4401388711109244</v>
      </c>
      <c r="HH217" s="28">
        <f t="shared" si="440"/>
        <v>88.758413509350945</v>
      </c>
      <c r="HI217" s="33"/>
      <c r="HM217" s="31"/>
      <c r="HU217" s="35">
        <f t="shared" si="388"/>
        <v>0</v>
      </c>
      <c r="HV217" s="35">
        <f t="shared" si="406"/>
        <v>0</v>
      </c>
      <c r="HW217" s="15">
        <f t="shared" si="441"/>
        <v>6.3470188019670323E-11</v>
      </c>
      <c r="HX217" s="28">
        <f t="shared" si="442"/>
        <v>8.5755490780107202E-13</v>
      </c>
      <c r="HY217" s="28">
        <f t="shared" si="443"/>
        <v>1.3511144910037187E-2</v>
      </c>
      <c r="HZ217" s="33"/>
      <c r="ID217" s="31"/>
      <c r="II217" s="12"/>
      <c r="IL217" s="35">
        <f t="shared" si="389"/>
        <v>0</v>
      </c>
      <c r="IM217" s="35">
        <f t="shared" si="390"/>
        <v>679.11090530126148</v>
      </c>
      <c r="IN217" s="15">
        <f t="shared" si="444"/>
        <v>6.2547950361892335E-3</v>
      </c>
      <c r="IO217" s="28">
        <f t="shared" si="445"/>
        <v>6.3428693631905009E-2</v>
      </c>
      <c r="IP217" s="28">
        <f t="shared" si="446"/>
        <v>10.140810892270144</v>
      </c>
      <c r="IQ217" s="33"/>
      <c r="IU217" s="31"/>
      <c r="JC217" s="35">
        <f t="shared" si="369"/>
        <v>0</v>
      </c>
      <c r="JD217" s="35">
        <f t="shared" si="391"/>
        <v>803.16650368085925</v>
      </c>
      <c r="JE217" s="15">
        <f t="shared" si="447"/>
        <v>7.5531712317253525E-3</v>
      </c>
      <c r="JF217" s="28">
        <f t="shared" si="448"/>
        <v>8.0957444032811743E-2</v>
      </c>
      <c r="JG217" s="28">
        <f t="shared" si="449"/>
        <v>10.718338238218232</v>
      </c>
      <c r="JH217" s="33"/>
      <c r="JL217" s="31"/>
      <c r="JR217" s="99"/>
      <c r="JS217" s="99"/>
      <c r="JT217" s="99"/>
      <c r="JU217" s="99"/>
      <c r="JV217" s="99"/>
      <c r="JW217" s="99"/>
      <c r="JX217" s="99"/>
      <c r="JY217" s="99"/>
      <c r="JZ217" s="99"/>
      <c r="KA217" s="99"/>
      <c r="KB217" s="99"/>
      <c r="KC217" s="99"/>
      <c r="KD217" s="99"/>
      <c r="KE217" s="99"/>
      <c r="KF217" s="99"/>
      <c r="KG217" s="99"/>
      <c r="KH217" s="99"/>
      <c r="KI217" s="99"/>
      <c r="KJ217" s="99"/>
      <c r="KK217" s="99"/>
      <c r="KL217" s="99"/>
      <c r="KM217" s="99"/>
      <c r="KN217" s="99"/>
      <c r="KO217" s="99"/>
      <c r="KP217" s="99"/>
      <c r="KQ217" s="99"/>
      <c r="KR217" s="99"/>
      <c r="KS217" s="99"/>
      <c r="KT217" s="99"/>
      <c r="KU217" s="99"/>
      <c r="KV217" s="99"/>
      <c r="KW217" s="99"/>
      <c r="KX217" s="99"/>
      <c r="KY217" s="99"/>
      <c r="KZ217" s="99"/>
      <c r="LA217" s="99"/>
      <c r="LB217" s="99"/>
      <c r="LC217" s="99"/>
      <c r="LD217" s="99"/>
      <c r="LE217" s="99"/>
      <c r="LF217" s="99"/>
      <c r="LG217" s="99"/>
      <c r="LH217" s="99"/>
      <c r="LI217" s="99"/>
      <c r="LJ217" s="99"/>
      <c r="LK217" s="99"/>
      <c r="LL217" s="99"/>
      <c r="LM217" s="99"/>
      <c r="LN217" s="99"/>
      <c r="LO217" s="99"/>
      <c r="LP217" s="99"/>
      <c r="LQ217" s="99"/>
      <c r="LR217" s="99"/>
      <c r="LS217" s="99"/>
      <c r="LT217" s="99"/>
      <c r="LU217" s="99"/>
      <c r="LV217" s="99"/>
      <c r="LW217" s="99"/>
      <c r="LX217" s="99"/>
      <c r="LY217" s="99"/>
      <c r="LZ217" s="99"/>
      <c r="MA217" s="99"/>
      <c r="MB217" s="99"/>
      <c r="MC217" s="99"/>
      <c r="MD217" s="99"/>
      <c r="ME217" s="99"/>
      <c r="MF217" s="99"/>
    </row>
    <row r="218" spans="1:344" ht="17.25" customHeight="1" x14ac:dyDescent="0.25">
      <c r="A218" s="156"/>
      <c r="B218" s="81" t="s">
        <v>5</v>
      </c>
      <c r="C218" s="82">
        <v>45352</v>
      </c>
      <c r="D218" s="49"/>
      <c r="G218" s="89">
        <f t="shared" si="373"/>
        <v>0</v>
      </c>
      <c r="H218" s="35">
        <f t="shared" si="374"/>
        <v>0</v>
      </c>
      <c r="I218" s="39"/>
      <c r="L218" s="89">
        <f t="shared" si="375"/>
        <v>0</v>
      </c>
      <c r="M218" s="35">
        <f t="shared" si="392"/>
        <v>0</v>
      </c>
      <c r="N218" s="35">
        <f t="shared" si="393"/>
        <v>0</v>
      </c>
      <c r="O218" s="97" t="e">
        <f>SUM($Z218,$BH218,$AQ218,$BY218,$CP218,$DG218,$DX218,$EO218,$FF218,$FW218,$GN218)/D218</f>
        <v>#DIV/0!</v>
      </c>
      <c r="P218" s="150"/>
      <c r="Q218" s="132">
        <f t="shared" si="355"/>
        <v>0</v>
      </c>
      <c r="R218" s="134">
        <f t="shared" si="356"/>
        <v>0</v>
      </c>
      <c r="S218" s="136">
        <f t="shared" si="357"/>
        <v>0</v>
      </c>
      <c r="T218" s="138">
        <f t="shared" si="358"/>
        <v>0</v>
      </c>
      <c r="U218" s="144">
        <f t="shared" si="359"/>
        <v>0</v>
      </c>
      <c r="W218" s="11">
        <v>0</v>
      </c>
      <c r="X218" s="1">
        <v>0</v>
      </c>
      <c r="Y218" s="35">
        <f t="shared" si="376"/>
        <v>0</v>
      </c>
      <c r="Z218" s="35">
        <f t="shared" si="394"/>
        <v>0</v>
      </c>
      <c r="AA218" s="15">
        <f t="shared" si="407"/>
        <v>4.490257835233469E-5</v>
      </c>
      <c r="AB218" s="43">
        <f t="shared" ref="AB218:AB281" si="451">Y218*(2/(7+1))+((1-(2/(7+1)))*AB217)</f>
        <v>8.8954563530408055E-4</v>
      </c>
      <c r="AC218" s="43">
        <f t="shared" ref="AC218:AC281" si="452">Y218*(2/(28+1))+((1-(2/(28+1)))*AC217)</f>
        <v>19.810569191019049</v>
      </c>
      <c r="AD218" s="33"/>
      <c r="AH218" s="31"/>
      <c r="AP218" s="35">
        <f t="shared" si="377"/>
        <v>0</v>
      </c>
      <c r="AQ218" s="35">
        <f t="shared" si="395"/>
        <v>0</v>
      </c>
      <c r="AR218" s="15">
        <f t="shared" si="408"/>
        <v>1.3560134244117372E-2</v>
      </c>
      <c r="AS218" s="28">
        <f t="shared" si="409"/>
        <v>1.8546482076369748</v>
      </c>
      <c r="AT218" s="28">
        <f t="shared" si="410"/>
        <v>136.77211259479634</v>
      </c>
      <c r="AU218" s="33"/>
      <c r="AY218" s="31"/>
      <c r="BG218" s="35">
        <f t="shared" si="378"/>
        <v>0</v>
      </c>
      <c r="BH218" s="35">
        <f t="shared" si="396"/>
        <v>0</v>
      </c>
      <c r="BI218" s="15">
        <f t="shared" si="411"/>
        <v>1.867557416679622E-2</v>
      </c>
      <c r="BJ218" s="28">
        <f t="shared" si="412"/>
        <v>2.8491167109942541</v>
      </c>
      <c r="BK218" s="28">
        <f t="shared" si="413"/>
        <v>152.55845338665793</v>
      </c>
      <c r="BL218" s="33"/>
      <c r="BP218" s="31"/>
      <c r="BX218" s="35">
        <f t="shared" si="379"/>
        <v>0</v>
      </c>
      <c r="BY218" s="35">
        <f t="shared" si="397"/>
        <v>0</v>
      </c>
      <c r="BZ218" s="15">
        <f t="shared" si="414"/>
        <v>1.4200290371393068E-2</v>
      </c>
      <c r="CA218" s="28">
        <f t="shared" si="415"/>
        <v>1.7705902910360813</v>
      </c>
      <c r="CB218" s="28">
        <f t="shared" si="416"/>
        <v>124.68690743134317</v>
      </c>
      <c r="CC218" s="33"/>
      <c r="CG218" s="31"/>
      <c r="CO218" s="35">
        <f t="shared" si="380"/>
        <v>0</v>
      </c>
      <c r="CP218" s="35">
        <f t="shared" si="398"/>
        <v>0</v>
      </c>
      <c r="CQ218" s="15">
        <f t="shared" si="417"/>
        <v>1.5558223729020219E-2</v>
      </c>
      <c r="CR218" s="28">
        <f t="shared" si="418"/>
        <v>2.2912426819720508</v>
      </c>
      <c r="CS218" s="28">
        <f t="shared" si="419"/>
        <v>147.26891204799136</v>
      </c>
      <c r="CT218" s="33"/>
      <c r="CX218" s="31"/>
      <c r="DF218" s="35">
        <f t="shared" si="381"/>
        <v>0</v>
      </c>
      <c r="DG218" s="35">
        <f t="shared" si="399"/>
        <v>0</v>
      </c>
      <c r="DH218" s="15">
        <f t="shared" si="420"/>
        <v>1.5132580734882502E-2</v>
      </c>
      <c r="DI218" s="28">
        <f t="shared" si="421"/>
        <v>1.3922102959635192</v>
      </c>
      <c r="DJ218" s="28">
        <f t="shared" si="422"/>
        <v>92.000850374073963</v>
      </c>
      <c r="DK218" s="33"/>
      <c r="DO218" s="31"/>
      <c r="DW218" s="35">
        <f t="shared" si="382"/>
        <v>0</v>
      </c>
      <c r="DX218" s="35">
        <f t="shared" si="400"/>
        <v>0</v>
      </c>
      <c r="DY218" s="15">
        <f t="shared" si="423"/>
        <v>1.5667537990954411E-2</v>
      </c>
      <c r="DZ218" s="28">
        <f t="shared" si="424"/>
        <v>1.3592171064219496</v>
      </c>
      <c r="EA218" s="28">
        <f t="shared" si="425"/>
        <v>86.75371377472888</v>
      </c>
      <c r="EB218" s="33"/>
      <c r="EF218" s="31"/>
      <c r="EN218" s="35">
        <f t="shared" si="383"/>
        <v>0</v>
      </c>
      <c r="EO218" s="35">
        <f t="shared" si="401"/>
        <v>0</v>
      </c>
      <c r="EP218" s="15">
        <f t="shared" si="426"/>
        <v>1.6727988634517556E-2</v>
      </c>
      <c r="EQ218" s="28">
        <f t="shared" si="427"/>
        <v>2.6707923651964416</v>
      </c>
      <c r="ER218" s="28">
        <f t="shared" si="428"/>
        <v>159.66010161468935</v>
      </c>
      <c r="ES218" s="33"/>
      <c r="EW218" s="31"/>
      <c r="FE218" s="35">
        <f t="shared" si="384"/>
        <v>0</v>
      </c>
      <c r="FF218" s="35">
        <f t="shared" si="402"/>
        <v>0</v>
      </c>
      <c r="FG218" s="15">
        <f t="shared" si="429"/>
        <v>1.6160996392957094E-2</v>
      </c>
      <c r="FH218" s="28">
        <f t="shared" si="430"/>
        <v>2.444864554110469</v>
      </c>
      <c r="FI218" s="28">
        <f t="shared" si="431"/>
        <v>151.28179566799065</v>
      </c>
      <c r="FJ218" s="33"/>
      <c r="FN218" s="31"/>
      <c r="FV218" s="35">
        <f t="shared" si="385"/>
        <v>0</v>
      </c>
      <c r="FW218" s="35">
        <f t="shared" si="403"/>
        <v>0</v>
      </c>
      <c r="FX218" s="15">
        <f t="shared" si="432"/>
        <v>1.5213830117839217E-2</v>
      </c>
      <c r="FY218" s="28">
        <f t="shared" si="433"/>
        <v>2.4480856725307287</v>
      </c>
      <c r="FZ218" s="28">
        <f t="shared" si="434"/>
        <v>160.91185806394586</v>
      </c>
      <c r="GA218" s="33"/>
      <c r="GE218" s="31"/>
      <c r="GM218" s="35">
        <f t="shared" si="386"/>
        <v>0</v>
      </c>
      <c r="GN218" s="35">
        <f t="shared" si="404"/>
        <v>0</v>
      </c>
      <c r="GO218" s="15">
        <f t="shared" si="435"/>
        <v>1.5721012804085364E-2</v>
      </c>
      <c r="GP218" s="28">
        <f t="shared" si="436"/>
        <v>2.5230185532700342</v>
      </c>
      <c r="GQ218" s="28">
        <f t="shared" si="437"/>
        <v>160.48702362320998</v>
      </c>
      <c r="GR218" s="33"/>
      <c r="GV218" s="31"/>
      <c r="HD218" s="35">
        <f t="shared" si="387"/>
        <v>0</v>
      </c>
      <c r="HE218" s="35">
        <f t="shared" si="405"/>
        <v>0</v>
      </c>
      <c r="HF218" s="15">
        <f t="shared" si="438"/>
        <v>2.21462658719489E-2</v>
      </c>
      <c r="HG218" s="28">
        <f t="shared" si="439"/>
        <v>1.8301041533331932</v>
      </c>
      <c r="HH218" s="28">
        <f t="shared" si="440"/>
        <v>82.637143612154318</v>
      </c>
      <c r="HI218" s="33"/>
      <c r="HM218" s="31"/>
      <c r="HU218" s="35">
        <f t="shared" si="388"/>
        <v>0</v>
      </c>
      <c r="HV218" s="35">
        <f t="shared" si="406"/>
        <v>0</v>
      </c>
      <c r="HW218" s="15">
        <f t="shared" si="441"/>
        <v>5.1128762571401095E-11</v>
      </c>
      <c r="HX218" s="28">
        <f t="shared" si="442"/>
        <v>6.4316618085080396E-13</v>
      </c>
      <c r="HY218" s="28">
        <f t="shared" si="443"/>
        <v>1.2579341812793243E-2</v>
      </c>
      <c r="HZ218" s="33"/>
      <c r="ID218" s="31"/>
      <c r="II218" s="12"/>
      <c r="IL218" s="35">
        <f t="shared" si="389"/>
        <v>0</v>
      </c>
      <c r="IM218" s="35">
        <f t="shared" si="390"/>
        <v>630.55949919197428</v>
      </c>
      <c r="IN218" s="15">
        <f t="shared" si="444"/>
        <v>5.0385848902635491E-3</v>
      </c>
      <c r="IO218" s="28">
        <f t="shared" si="445"/>
        <v>4.7571520223928757E-2</v>
      </c>
      <c r="IP218" s="28">
        <f t="shared" si="446"/>
        <v>9.4414446238377199</v>
      </c>
      <c r="IQ218" s="33"/>
      <c r="IU218" s="31"/>
      <c r="JC218" s="35">
        <f t="shared" si="369"/>
        <v>0</v>
      </c>
      <c r="JD218" s="35">
        <f t="shared" si="391"/>
        <v>745.55620563903199</v>
      </c>
      <c r="JE218" s="15">
        <f t="shared" si="447"/>
        <v>6.0844990477787559E-3</v>
      </c>
      <c r="JF218" s="28">
        <f t="shared" si="448"/>
        <v>6.0718083024608807E-2</v>
      </c>
      <c r="JG218" s="28">
        <f t="shared" si="449"/>
        <v>9.9791424976514573</v>
      </c>
      <c r="JH218" s="33"/>
      <c r="JL218" s="31"/>
      <c r="JR218" s="99"/>
      <c r="JS218" s="99"/>
      <c r="JT218" s="99"/>
      <c r="JU218" s="99"/>
      <c r="JV218" s="99"/>
      <c r="JW218" s="99"/>
      <c r="JX218" s="99"/>
      <c r="JY218" s="99"/>
      <c r="JZ218" s="99"/>
      <c r="KA218" s="99"/>
      <c r="KB218" s="99"/>
      <c r="KC218" s="99"/>
      <c r="KD218" s="99"/>
      <c r="KE218" s="99"/>
      <c r="KF218" s="99"/>
      <c r="KG218" s="99"/>
      <c r="KH218" s="99"/>
      <c r="KI218" s="99"/>
      <c r="KJ218" s="99"/>
      <c r="KK218" s="99"/>
      <c r="KL218" s="99"/>
      <c r="KM218" s="99"/>
      <c r="KN218" s="99"/>
      <c r="KO218" s="99"/>
      <c r="KP218" s="99"/>
      <c r="KQ218" s="99"/>
      <c r="KR218" s="99"/>
      <c r="KS218" s="99"/>
      <c r="KT218" s="99"/>
      <c r="KU218" s="99"/>
      <c r="KV218" s="99"/>
      <c r="KW218" s="99"/>
      <c r="KX218" s="99"/>
      <c r="KY218" s="99"/>
      <c r="KZ218" s="99"/>
      <c r="LA218" s="99"/>
      <c r="LB218" s="99"/>
      <c r="LC218" s="99"/>
      <c r="LD218" s="99"/>
      <c r="LE218" s="99"/>
      <c r="LF218" s="99"/>
      <c r="LG218" s="99"/>
      <c r="LH218" s="99"/>
      <c r="LI218" s="99"/>
      <c r="LJ218" s="99"/>
      <c r="LK218" s="99"/>
      <c r="LL218" s="99"/>
      <c r="LM218" s="99"/>
      <c r="LN218" s="99"/>
      <c r="LO218" s="99"/>
      <c r="LP218" s="99"/>
      <c r="LQ218" s="99"/>
      <c r="LR218" s="99"/>
      <c r="LS218" s="99"/>
      <c r="LT218" s="99"/>
      <c r="LU218" s="99"/>
      <c r="LV218" s="99"/>
      <c r="LW218" s="99"/>
      <c r="LX218" s="99"/>
      <c r="LY218" s="99"/>
      <c r="LZ218" s="99"/>
      <c r="MA218" s="99"/>
      <c r="MB218" s="99"/>
      <c r="MC218" s="99"/>
      <c r="MD218" s="99"/>
      <c r="ME218" s="99"/>
      <c r="MF218" s="99"/>
    </row>
    <row r="219" spans="1:344" ht="17.25" customHeight="1" x14ac:dyDescent="0.25">
      <c r="A219" s="156"/>
      <c r="B219" s="81" t="s">
        <v>6</v>
      </c>
      <c r="C219" s="82">
        <v>45353</v>
      </c>
      <c r="D219" s="49"/>
      <c r="G219" s="89">
        <f t="shared" si="373"/>
        <v>0</v>
      </c>
      <c r="H219" s="35">
        <f t="shared" si="374"/>
        <v>0</v>
      </c>
      <c r="I219" s="39"/>
      <c r="L219" s="89">
        <f t="shared" si="375"/>
        <v>0</v>
      </c>
      <c r="M219" s="35">
        <f t="shared" si="392"/>
        <v>0</v>
      </c>
      <c r="N219" s="35">
        <f t="shared" si="393"/>
        <v>0</v>
      </c>
      <c r="O219" s="97" t="e">
        <f>SUM($Z219,$BH219,$AQ219,$BY219,$CP219,$DG219,$DX219,$EO219,$FF219,$FW219,$GN219)/D219</f>
        <v>#DIV/0!</v>
      </c>
      <c r="P219" s="150"/>
      <c r="Q219" s="132">
        <f t="shared" si="355"/>
        <v>0</v>
      </c>
      <c r="R219" s="134">
        <f t="shared" si="356"/>
        <v>0</v>
      </c>
      <c r="S219" s="136">
        <f t="shared" si="357"/>
        <v>0</v>
      </c>
      <c r="T219" s="138">
        <f t="shared" si="358"/>
        <v>0</v>
      </c>
      <c r="U219" s="144">
        <f t="shared" si="359"/>
        <v>0</v>
      </c>
      <c r="W219" s="11">
        <v>0</v>
      </c>
      <c r="X219" s="1">
        <v>0</v>
      </c>
      <c r="Y219" s="35">
        <f t="shared" si="376"/>
        <v>0</v>
      </c>
      <c r="Z219" s="35">
        <f t="shared" si="394"/>
        <v>0</v>
      </c>
      <c r="AA219" s="15">
        <f t="shared" si="407"/>
        <v>3.6171521450491839E-5</v>
      </c>
      <c r="AB219" s="43">
        <f t="shared" si="451"/>
        <v>6.6715922647806044E-4</v>
      </c>
      <c r="AC219" s="43">
        <f t="shared" si="452"/>
        <v>18.444323039914288</v>
      </c>
      <c r="AD219" s="33"/>
      <c r="AH219" s="31"/>
      <c r="AP219" s="35">
        <f t="shared" si="377"/>
        <v>0</v>
      </c>
      <c r="AQ219" s="35">
        <f t="shared" si="395"/>
        <v>0</v>
      </c>
      <c r="AR219" s="15">
        <f t="shared" si="408"/>
        <v>1.0923441474427883E-2</v>
      </c>
      <c r="AS219" s="28">
        <f t="shared" si="409"/>
        <v>1.390986155727731</v>
      </c>
      <c r="AT219" s="28">
        <f t="shared" si="410"/>
        <v>127.33955310550003</v>
      </c>
      <c r="AU219" s="33"/>
      <c r="AY219" s="31"/>
      <c r="BG219" s="35">
        <f t="shared" si="378"/>
        <v>0</v>
      </c>
      <c r="BH219" s="35">
        <f t="shared" si="396"/>
        <v>0</v>
      </c>
      <c r="BI219" s="15">
        <f t="shared" si="411"/>
        <v>1.504421252325251E-2</v>
      </c>
      <c r="BJ219" s="28">
        <f t="shared" si="412"/>
        <v>2.1368375332456906</v>
      </c>
      <c r="BK219" s="28">
        <f t="shared" si="413"/>
        <v>142.03718073930222</v>
      </c>
      <c r="BL219" s="33"/>
      <c r="BP219" s="31"/>
      <c r="BX219" s="35">
        <f t="shared" si="379"/>
        <v>0</v>
      </c>
      <c r="BY219" s="35">
        <f t="shared" si="397"/>
        <v>0</v>
      </c>
      <c r="BZ219" s="15">
        <f t="shared" si="414"/>
        <v>1.1439122799177751E-2</v>
      </c>
      <c r="CA219" s="28">
        <f t="shared" si="415"/>
        <v>1.3279427182770611</v>
      </c>
      <c r="CB219" s="28">
        <f t="shared" si="416"/>
        <v>116.08781036711261</v>
      </c>
      <c r="CC219" s="33"/>
      <c r="CG219" s="31"/>
      <c r="CO219" s="35">
        <f t="shared" si="380"/>
        <v>0</v>
      </c>
      <c r="CP219" s="35">
        <f t="shared" si="398"/>
        <v>0</v>
      </c>
      <c r="CQ219" s="15">
        <f t="shared" si="417"/>
        <v>1.253301355948851E-2</v>
      </c>
      <c r="CR219" s="28">
        <f t="shared" si="418"/>
        <v>1.7184320114790381</v>
      </c>
      <c r="CS219" s="28">
        <f t="shared" si="419"/>
        <v>137.11243535502643</v>
      </c>
      <c r="CT219" s="33"/>
      <c r="CX219" s="31"/>
      <c r="DF219" s="35">
        <f t="shared" si="381"/>
        <v>0</v>
      </c>
      <c r="DG219" s="35">
        <f t="shared" si="399"/>
        <v>0</v>
      </c>
      <c r="DH219" s="15">
        <f t="shared" si="420"/>
        <v>1.2190134480877572E-2</v>
      </c>
      <c r="DI219" s="28">
        <f t="shared" si="421"/>
        <v>1.0441577219726395</v>
      </c>
      <c r="DJ219" s="28">
        <f t="shared" si="422"/>
        <v>85.655964141379201</v>
      </c>
      <c r="DK219" s="33"/>
      <c r="DO219" s="31"/>
      <c r="DW219" s="35">
        <f t="shared" si="382"/>
        <v>0</v>
      </c>
      <c r="DX219" s="35">
        <f t="shared" si="400"/>
        <v>0</v>
      </c>
      <c r="DY219" s="15">
        <f t="shared" si="423"/>
        <v>1.2621072270491052E-2</v>
      </c>
      <c r="DZ219" s="28">
        <f t="shared" si="424"/>
        <v>1.0194128298164622</v>
      </c>
      <c r="EA219" s="28">
        <f t="shared" si="425"/>
        <v>80.770699031644128</v>
      </c>
      <c r="EB219" s="33"/>
      <c r="EF219" s="31"/>
      <c r="EN219" s="35">
        <f t="shared" si="383"/>
        <v>0</v>
      </c>
      <c r="EO219" s="35">
        <f t="shared" si="401"/>
        <v>0</v>
      </c>
      <c r="EP219" s="15">
        <f t="shared" si="426"/>
        <v>1.3475324177805812E-2</v>
      </c>
      <c r="EQ219" s="28">
        <f t="shared" si="427"/>
        <v>2.0030942738973314</v>
      </c>
      <c r="ER219" s="28">
        <f t="shared" si="428"/>
        <v>148.6490601240211</v>
      </c>
      <c r="ES219" s="33"/>
      <c r="EW219" s="31"/>
      <c r="FE219" s="35">
        <f t="shared" si="384"/>
        <v>0</v>
      </c>
      <c r="FF219" s="35">
        <f t="shared" si="402"/>
        <v>0</v>
      </c>
      <c r="FG219" s="15">
        <f t="shared" si="429"/>
        <v>1.3018580427659882E-2</v>
      </c>
      <c r="FH219" s="28">
        <f t="shared" si="430"/>
        <v>1.8336484155828519</v>
      </c>
      <c r="FI219" s="28">
        <f t="shared" si="431"/>
        <v>140.84856838054301</v>
      </c>
      <c r="FJ219" s="33"/>
      <c r="FN219" s="31"/>
      <c r="FV219" s="35">
        <f t="shared" si="385"/>
        <v>0</v>
      </c>
      <c r="FW219" s="35">
        <f t="shared" si="403"/>
        <v>0</v>
      </c>
      <c r="FX219" s="15">
        <f t="shared" si="432"/>
        <v>1.2255585372703813E-2</v>
      </c>
      <c r="FY219" s="28">
        <f t="shared" si="433"/>
        <v>1.8360642543980465</v>
      </c>
      <c r="FZ219" s="28">
        <f t="shared" si="434"/>
        <v>149.81448854229441</v>
      </c>
      <c r="GA219" s="33"/>
      <c r="GE219" s="31"/>
      <c r="GM219" s="35">
        <f t="shared" si="386"/>
        <v>0</v>
      </c>
      <c r="GN219" s="35">
        <f t="shared" si="404"/>
        <v>0</v>
      </c>
      <c r="GO219" s="15">
        <f t="shared" si="435"/>
        <v>1.2664149203290988E-2</v>
      </c>
      <c r="GP219" s="28">
        <f t="shared" si="436"/>
        <v>1.8922639149525255</v>
      </c>
      <c r="GQ219" s="28">
        <f t="shared" si="437"/>
        <v>149.41895302850583</v>
      </c>
      <c r="GR219" s="33"/>
      <c r="GV219" s="31"/>
      <c r="HD219" s="35">
        <f t="shared" si="387"/>
        <v>0</v>
      </c>
      <c r="HE219" s="35">
        <f t="shared" si="405"/>
        <v>0</v>
      </c>
      <c r="HF219" s="15">
        <f t="shared" si="438"/>
        <v>1.7840047507958832E-2</v>
      </c>
      <c r="HG219" s="28">
        <f t="shared" si="439"/>
        <v>1.3725781149998948</v>
      </c>
      <c r="HH219" s="28">
        <f t="shared" si="440"/>
        <v>76.938030259591955</v>
      </c>
      <c r="HI219" s="33"/>
      <c r="HM219" s="31"/>
      <c r="HU219" s="35">
        <f t="shared" si="388"/>
        <v>0</v>
      </c>
      <c r="HV219" s="35">
        <f t="shared" si="406"/>
        <v>0</v>
      </c>
      <c r="HW219" s="15">
        <f t="shared" si="441"/>
        <v>4.1187058738073108E-11</v>
      </c>
      <c r="HX219" s="28">
        <f t="shared" si="442"/>
        <v>4.8237463563810302E-13</v>
      </c>
      <c r="HY219" s="28">
        <f t="shared" si="443"/>
        <v>1.1711800998117847E-2</v>
      </c>
      <c r="HZ219" s="33"/>
      <c r="ID219" s="31"/>
      <c r="II219" s="12"/>
      <c r="IL219" s="35">
        <f t="shared" si="389"/>
        <v>0</v>
      </c>
      <c r="IM219" s="35">
        <f t="shared" si="390"/>
        <v>585.78514007706883</v>
      </c>
      <c r="IN219" s="15">
        <f t="shared" si="444"/>
        <v>4.0588600504900818E-3</v>
      </c>
      <c r="IO219" s="28">
        <f t="shared" si="445"/>
        <v>3.5678640167946571E-2</v>
      </c>
      <c r="IP219" s="28">
        <f t="shared" si="446"/>
        <v>8.7903105118489115</v>
      </c>
      <c r="IQ219" s="33"/>
      <c r="IU219" s="31"/>
      <c r="JC219" s="35">
        <f t="shared" si="369"/>
        <v>0</v>
      </c>
      <c r="JD219" s="35">
        <f t="shared" si="391"/>
        <v>692.47350386172684</v>
      </c>
      <c r="JE219" s="15">
        <f t="shared" si="447"/>
        <v>4.901402010710665E-3</v>
      </c>
      <c r="JF219" s="28">
        <f t="shared" si="448"/>
        <v>4.5538562268456609E-2</v>
      </c>
      <c r="JG219" s="28">
        <f t="shared" si="449"/>
        <v>9.2909257736754949</v>
      </c>
      <c r="JH219" s="33"/>
      <c r="JL219" s="31"/>
      <c r="JR219" s="99"/>
      <c r="JS219" s="99"/>
      <c r="JT219" s="99"/>
      <c r="JU219" s="99"/>
      <c r="JV219" s="99"/>
      <c r="JW219" s="99"/>
      <c r="JX219" s="99"/>
      <c r="JY219" s="99"/>
      <c r="JZ219" s="99"/>
      <c r="KA219" s="99"/>
      <c r="KB219" s="99"/>
      <c r="KC219" s="99"/>
      <c r="KD219" s="99"/>
      <c r="KE219" s="99"/>
      <c r="KF219" s="99"/>
      <c r="KG219" s="99"/>
      <c r="KH219" s="99"/>
      <c r="KI219" s="99"/>
      <c r="KJ219" s="99"/>
      <c r="KK219" s="99"/>
      <c r="KL219" s="99"/>
      <c r="KM219" s="99"/>
      <c r="KN219" s="99"/>
      <c r="KO219" s="99"/>
      <c r="KP219" s="99"/>
      <c r="KQ219" s="99"/>
      <c r="KR219" s="99"/>
      <c r="KS219" s="99"/>
      <c r="KT219" s="99"/>
      <c r="KU219" s="99"/>
      <c r="KV219" s="99"/>
      <c r="KW219" s="99"/>
      <c r="KX219" s="99"/>
      <c r="KY219" s="99"/>
      <c r="KZ219" s="99"/>
      <c r="LA219" s="99"/>
      <c r="LB219" s="99"/>
      <c r="LC219" s="99"/>
      <c r="LD219" s="99"/>
      <c r="LE219" s="99"/>
      <c r="LF219" s="99"/>
      <c r="LG219" s="99"/>
      <c r="LH219" s="99"/>
      <c r="LI219" s="99"/>
      <c r="LJ219" s="99"/>
      <c r="LK219" s="99"/>
      <c r="LL219" s="99"/>
      <c r="LM219" s="99"/>
      <c r="LN219" s="99"/>
      <c r="LO219" s="99"/>
      <c r="LP219" s="99"/>
      <c r="LQ219" s="99"/>
      <c r="LR219" s="99"/>
      <c r="LS219" s="99"/>
      <c r="LT219" s="99"/>
      <c r="LU219" s="99"/>
      <c r="LV219" s="99"/>
      <c r="LW219" s="99"/>
      <c r="LX219" s="99"/>
      <c r="LY219" s="99"/>
      <c r="LZ219" s="99"/>
      <c r="MA219" s="99"/>
      <c r="MB219" s="99"/>
      <c r="MC219" s="99"/>
      <c r="MD219" s="99"/>
      <c r="ME219" s="99"/>
      <c r="MF219" s="99"/>
    </row>
    <row r="220" spans="1:344" ht="17.25" customHeight="1" x14ac:dyDescent="0.25">
      <c r="A220" s="157"/>
      <c r="B220" s="83" t="s">
        <v>7</v>
      </c>
      <c r="C220" s="84">
        <v>45354</v>
      </c>
      <c r="D220" s="51"/>
      <c r="E220" s="48"/>
      <c r="F220" s="104"/>
      <c r="G220" s="37">
        <f t="shared" si="373"/>
        <v>0</v>
      </c>
      <c r="H220" s="26">
        <f t="shared" si="374"/>
        <v>0</v>
      </c>
      <c r="I220" s="48"/>
      <c r="J220" s="48"/>
      <c r="K220" s="104"/>
      <c r="L220" s="37">
        <f t="shared" si="375"/>
        <v>0</v>
      </c>
      <c r="M220" s="26">
        <f t="shared" si="392"/>
        <v>0</v>
      </c>
      <c r="N220" s="26">
        <f t="shared" si="393"/>
        <v>0</v>
      </c>
      <c r="O220" s="98" t="e">
        <f>SUM($Z220,$BH220,$AQ220,$BY220,$CP220,$DG220,$DX220,$EO220,$FF220,$FW220,$GN220)/D220</f>
        <v>#DIV/0!</v>
      </c>
      <c r="P220" s="151"/>
      <c r="Q220" s="139">
        <f t="shared" si="355"/>
        <v>0</v>
      </c>
      <c r="R220" s="140">
        <f t="shared" si="356"/>
        <v>0</v>
      </c>
      <c r="S220" s="141">
        <f t="shared" si="357"/>
        <v>0</v>
      </c>
      <c r="T220" s="142">
        <f t="shared" si="358"/>
        <v>0</v>
      </c>
      <c r="U220" s="145">
        <f t="shared" si="359"/>
        <v>0</v>
      </c>
      <c r="V220" s="23"/>
      <c r="W220" s="13">
        <v>0</v>
      </c>
      <c r="X220" s="2">
        <v>0</v>
      </c>
      <c r="Y220" s="26">
        <f t="shared" si="376"/>
        <v>0</v>
      </c>
      <c r="Z220" s="26">
        <f t="shared" si="394"/>
        <v>0</v>
      </c>
      <c r="AA220" s="16">
        <f t="shared" si="407"/>
        <v>2.9138170057340644E-5</v>
      </c>
      <c r="AB220" s="44">
        <f t="shared" si="451"/>
        <v>5.0036941985854536E-4</v>
      </c>
      <c r="AC220" s="44">
        <f t="shared" si="452"/>
        <v>17.17230076129951</v>
      </c>
      <c r="AD220" s="34"/>
      <c r="AE220" s="4"/>
      <c r="AF220" s="5"/>
      <c r="AG220" s="6"/>
      <c r="AH220" s="32"/>
      <c r="AI220" s="3"/>
      <c r="AJ220" s="4"/>
      <c r="AK220" s="5"/>
      <c r="AL220" s="6"/>
      <c r="AM220" s="14"/>
      <c r="AN220" s="13"/>
      <c r="AO220" s="2"/>
      <c r="AP220" s="26">
        <f t="shared" si="377"/>
        <v>0</v>
      </c>
      <c r="AQ220" s="26">
        <f t="shared" si="395"/>
        <v>0</v>
      </c>
      <c r="AR220" s="16">
        <f t="shared" si="408"/>
        <v>8.7994389655113511E-3</v>
      </c>
      <c r="AS220" s="29">
        <f t="shared" si="409"/>
        <v>1.0432396167957982</v>
      </c>
      <c r="AT220" s="29">
        <f t="shared" si="410"/>
        <v>118.55751496029313</v>
      </c>
      <c r="AU220" s="34"/>
      <c r="AV220" s="4"/>
      <c r="AW220" s="5"/>
      <c r="AX220" s="6"/>
      <c r="AY220" s="32"/>
      <c r="AZ220" s="3"/>
      <c r="BA220" s="4"/>
      <c r="BB220" s="5"/>
      <c r="BC220" s="6"/>
      <c r="BD220" s="14"/>
      <c r="BE220" s="13"/>
      <c r="BF220" s="2"/>
      <c r="BG220" s="26">
        <f t="shared" si="378"/>
        <v>0</v>
      </c>
      <c r="BH220" s="26">
        <f t="shared" si="396"/>
        <v>0</v>
      </c>
      <c r="BI220" s="16">
        <f t="shared" si="411"/>
        <v>1.211894897706452E-2</v>
      </c>
      <c r="BJ220" s="29">
        <f t="shared" si="412"/>
        <v>1.6026281499342678</v>
      </c>
      <c r="BK220" s="29">
        <f t="shared" si="413"/>
        <v>132.24151310210897</v>
      </c>
      <c r="BL220" s="34"/>
      <c r="BM220" s="4"/>
      <c r="BN220" s="5"/>
      <c r="BO220" s="6"/>
      <c r="BP220" s="32"/>
      <c r="BQ220" s="3"/>
      <c r="BR220" s="4"/>
      <c r="BS220" s="5"/>
      <c r="BT220" s="6"/>
      <c r="BU220" s="14"/>
      <c r="BV220" s="13"/>
      <c r="BW220" s="2"/>
      <c r="BX220" s="26">
        <f t="shared" si="379"/>
        <v>0</v>
      </c>
      <c r="BY220" s="26">
        <f t="shared" si="397"/>
        <v>0</v>
      </c>
      <c r="BZ220" s="16">
        <f t="shared" si="414"/>
        <v>9.2148489215598556E-3</v>
      </c>
      <c r="CA220" s="29">
        <f t="shared" si="415"/>
        <v>0.99595703870779584</v>
      </c>
      <c r="CB220" s="29">
        <f t="shared" si="416"/>
        <v>108.08175447972553</v>
      </c>
      <c r="CC220" s="34"/>
      <c r="CD220" s="4"/>
      <c r="CE220" s="5"/>
      <c r="CF220" s="6"/>
      <c r="CG220" s="32"/>
      <c r="CH220" s="3"/>
      <c r="CI220" s="4"/>
      <c r="CJ220" s="5"/>
      <c r="CK220" s="6"/>
      <c r="CL220" s="14"/>
      <c r="CM220" s="13"/>
      <c r="CN220" s="2"/>
      <c r="CO220" s="26">
        <f t="shared" si="380"/>
        <v>0</v>
      </c>
      <c r="CP220" s="26">
        <f t="shared" si="398"/>
        <v>0</v>
      </c>
      <c r="CQ220" s="16">
        <f t="shared" si="417"/>
        <v>1.0096038700699079E-2</v>
      </c>
      <c r="CR220" s="29">
        <f t="shared" si="418"/>
        <v>1.2888240086092786</v>
      </c>
      <c r="CS220" s="29">
        <f t="shared" si="419"/>
        <v>127.65640533054184</v>
      </c>
      <c r="CT220" s="34"/>
      <c r="CU220" s="4"/>
      <c r="CV220" s="5"/>
      <c r="CW220" s="6"/>
      <c r="CX220" s="32"/>
      <c r="CY220" s="3"/>
      <c r="CZ220" s="4"/>
      <c r="DA220" s="5"/>
      <c r="DB220" s="6"/>
      <c r="DC220" s="14"/>
      <c r="DD220" s="13"/>
      <c r="DE220" s="2"/>
      <c r="DF220" s="26">
        <f t="shared" si="381"/>
        <v>0</v>
      </c>
      <c r="DG220" s="26">
        <f t="shared" si="399"/>
        <v>0</v>
      </c>
      <c r="DH220" s="16">
        <f t="shared" si="420"/>
        <v>9.8198305540402667E-3</v>
      </c>
      <c r="DI220" s="29">
        <f t="shared" si="421"/>
        <v>0.78311829147947964</v>
      </c>
      <c r="DJ220" s="29">
        <f t="shared" si="422"/>
        <v>79.748656269559945</v>
      </c>
      <c r="DK220" s="34"/>
      <c r="DL220" s="4"/>
      <c r="DM220" s="5"/>
      <c r="DN220" s="6"/>
      <c r="DO220" s="32"/>
      <c r="DP220" s="3"/>
      <c r="DQ220" s="4"/>
      <c r="DR220" s="5"/>
      <c r="DS220" s="6"/>
      <c r="DT220" s="14"/>
      <c r="DU220" s="13"/>
      <c r="DV220" s="2"/>
      <c r="DW220" s="26">
        <f t="shared" si="382"/>
        <v>0</v>
      </c>
      <c r="DX220" s="26">
        <f t="shared" si="400"/>
        <v>0</v>
      </c>
      <c r="DY220" s="16">
        <f t="shared" si="423"/>
        <v>1.0166974884562236E-2</v>
      </c>
      <c r="DZ220" s="29">
        <f t="shared" si="424"/>
        <v>0.76455962236234665</v>
      </c>
      <c r="EA220" s="29">
        <f t="shared" si="425"/>
        <v>75.200305994979018</v>
      </c>
      <c r="EB220" s="34"/>
      <c r="EC220" s="4"/>
      <c r="ED220" s="5"/>
      <c r="EE220" s="6"/>
      <c r="EF220" s="32"/>
      <c r="EG220" s="3"/>
      <c r="EH220" s="4"/>
      <c r="EI220" s="5"/>
      <c r="EJ220" s="6"/>
      <c r="EK220" s="14"/>
      <c r="EL220" s="13"/>
      <c r="EM220" s="2"/>
      <c r="EN220" s="26">
        <f t="shared" si="383"/>
        <v>0</v>
      </c>
      <c r="EO220" s="26">
        <f t="shared" si="401"/>
        <v>0</v>
      </c>
      <c r="EP220" s="16">
        <f t="shared" si="426"/>
        <v>1.0855122254343572E-2</v>
      </c>
      <c r="EQ220" s="29">
        <f t="shared" si="427"/>
        <v>1.5023207054229986</v>
      </c>
      <c r="ER220" s="29">
        <f t="shared" si="428"/>
        <v>138.39740080512308</v>
      </c>
      <c r="ES220" s="34"/>
      <c r="ET220" s="4"/>
      <c r="EU220" s="5"/>
      <c r="EV220" s="6"/>
      <c r="EW220" s="32"/>
      <c r="EX220" s="3"/>
      <c r="EY220" s="4"/>
      <c r="EZ220" s="5"/>
      <c r="FA220" s="6"/>
      <c r="FB220" s="14"/>
      <c r="FC220" s="13"/>
      <c r="FD220" s="2"/>
      <c r="FE220" s="26">
        <f t="shared" si="384"/>
        <v>0</v>
      </c>
      <c r="FF220" s="26">
        <f t="shared" si="402"/>
        <v>0</v>
      </c>
      <c r="FG220" s="16">
        <f t="shared" si="429"/>
        <v>1.0487189788948239E-2</v>
      </c>
      <c r="FH220" s="29">
        <f t="shared" si="430"/>
        <v>1.3752363116871389</v>
      </c>
      <c r="FI220" s="29">
        <f t="shared" si="431"/>
        <v>131.13487400947108</v>
      </c>
      <c r="FJ220" s="34"/>
      <c r="FK220" s="4"/>
      <c r="FL220" s="5"/>
      <c r="FM220" s="6"/>
      <c r="FN220" s="32"/>
      <c r="FO220" s="3"/>
      <c r="FP220" s="4"/>
      <c r="FQ220" s="5"/>
      <c r="FR220" s="6"/>
      <c r="FS220" s="14"/>
      <c r="FT220" s="13"/>
      <c r="FU220" s="2"/>
      <c r="FV220" s="26">
        <f t="shared" si="385"/>
        <v>0</v>
      </c>
      <c r="FW220" s="26">
        <f t="shared" si="403"/>
        <v>0</v>
      </c>
      <c r="FX220" s="16">
        <f t="shared" si="432"/>
        <v>9.8725548835669613E-3</v>
      </c>
      <c r="FY220" s="29">
        <f t="shared" si="433"/>
        <v>1.377048190798535</v>
      </c>
      <c r="FZ220" s="29">
        <f t="shared" si="434"/>
        <v>139.48245484972239</v>
      </c>
      <c r="GA220" s="34"/>
      <c r="GB220" s="4"/>
      <c r="GC220" s="5"/>
      <c r="GD220" s="6"/>
      <c r="GE220" s="32"/>
      <c r="GF220" s="3"/>
      <c r="GG220" s="4"/>
      <c r="GH220" s="5"/>
      <c r="GI220" s="6"/>
      <c r="GJ220" s="14"/>
      <c r="GK220" s="13"/>
      <c r="GL220" s="2"/>
      <c r="GM220" s="26">
        <f t="shared" si="386"/>
        <v>0</v>
      </c>
      <c r="GN220" s="26">
        <f t="shared" si="404"/>
        <v>0</v>
      </c>
      <c r="GO220" s="16">
        <f t="shared" si="435"/>
        <v>1.0201675747095518E-2</v>
      </c>
      <c r="GP220" s="29">
        <f t="shared" si="436"/>
        <v>1.4191979362143941</v>
      </c>
      <c r="GQ220" s="29">
        <f t="shared" si="437"/>
        <v>139.11419764722956</v>
      </c>
      <c r="GR220" s="34"/>
      <c r="GS220" s="4"/>
      <c r="GT220" s="5"/>
      <c r="GU220" s="6"/>
      <c r="GV220" s="32"/>
      <c r="GW220" s="3"/>
      <c r="GX220" s="4"/>
      <c r="GY220" s="5"/>
      <c r="GZ220" s="6"/>
      <c r="HA220" s="14"/>
      <c r="HB220" s="13"/>
      <c r="HC220" s="2"/>
      <c r="HD220" s="26">
        <f t="shared" si="387"/>
        <v>0</v>
      </c>
      <c r="HE220" s="26">
        <f t="shared" si="405"/>
        <v>0</v>
      </c>
      <c r="HF220" s="16">
        <f t="shared" si="438"/>
        <v>1.4371149381411282E-2</v>
      </c>
      <c r="HG220" s="29">
        <f t="shared" si="439"/>
        <v>1.0294335862499211</v>
      </c>
      <c r="HH220" s="29">
        <f t="shared" si="440"/>
        <v>71.631959207206307</v>
      </c>
      <c r="HI220" s="34"/>
      <c r="HJ220" s="4"/>
      <c r="HK220" s="5"/>
      <c r="HL220" s="6"/>
      <c r="HM220" s="32"/>
      <c r="HN220" s="3"/>
      <c r="HO220" s="4"/>
      <c r="HP220" s="5"/>
      <c r="HQ220" s="6"/>
      <c r="HR220" s="14"/>
      <c r="HS220" s="13"/>
      <c r="HT220" s="2"/>
      <c r="HU220" s="26">
        <f t="shared" si="388"/>
        <v>0</v>
      </c>
      <c r="HV220" s="26">
        <f t="shared" si="406"/>
        <v>0</v>
      </c>
      <c r="HW220" s="16">
        <f t="shared" si="441"/>
        <v>3.3178463983447781E-11</v>
      </c>
      <c r="HX220" s="29">
        <f t="shared" si="442"/>
        <v>3.6178097672857727E-13</v>
      </c>
      <c r="HY220" s="29">
        <f t="shared" si="443"/>
        <v>1.0904090584454547E-2</v>
      </c>
      <c r="HZ220" s="34"/>
      <c r="IA220" s="4"/>
      <c r="IB220" s="5"/>
      <c r="IC220" s="6"/>
      <c r="ID220" s="32"/>
      <c r="IE220" s="3"/>
      <c r="IF220" s="4"/>
      <c r="IG220" s="5"/>
      <c r="IH220" s="6"/>
      <c r="II220" s="14"/>
      <c r="IJ220" s="13"/>
      <c r="IK220" s="2"/>
      <c r="IL220" s="26">
        <f t="shared" si="389"/>
        <v>0</v>
      </c>
      <c r="IM220" s="26">
        <f t="shared" si="390"/>
        <v>544.4202451002235</v>
      </c>
      <c r="IN220" s="16">
        <f t="shared" si="444"/>
        <v>3.2696372628947881E-3</v>
      </c>
      <c r="IO220" s="29">
        <f t="shared" si="445"/>
        <v>2.6758980125959928E-2</v>
      </c>
      <c r="IP220" s="29">
        <f t="shared" si="446"/>
        <v>8.1840822006869178</v>
      </c>
      <c r="IQ220" s="34"/>
      <c r="IR220" s="4"/>
      <c r="IS220" s="5"/>
      <c r="IT220" s="6"/>
      <c r="IU220" s="32"/>
      <c r="IV220" s="3"/>
      <c r="IW220" s="4"/>
      <c r="IX220" s="5"/>
      <c r="IY220" s="6"/>
      <c r="IZ220" s="14"/>
      <c r="JA220" s="13"/>
      <c r="JB220" s="2"/>
      <c r="JC220" s="26">
        <f t="shared" si="369"/>
        <v>0</v>
      </c>
      <c r="JD220" s="26">
        <f t="shared" si="391"/>
        <v>643.46761080324836</v>
      </c>
      <c r="JE220" s="16">
        <f t="shared" si="447"/>
        <v>3.9483516197391464E-3</v>
      </c>
      <c r="JF220" s="29">
        <f t="shared" si="448"/>
        <v>3.415392170134246E-2</v>
      </c>
      <c r="JG220" s="29">
        <f t="shared" si="449"/>
        <v>8.6501722720427026</v>
      </c>
      <c r="JH220" s="34"/>
      <c r="JI220" s="4"/>
      <c r="JJ220" s="5"/>
      <c r="JK220" s="6"/>
      <c r="JL220" s="32"/>
      <c r="JM220" s="3"/>
      <c r="JN220" s="4"/>
      <c r="JO220" s="5"/>
      <c r="JP220" s="6"/>
      <c r="JQ220" s="14"/>
      <c r="JR220" s="99"/>
      <c r="JS220" s="99"/>
      <c r="JT220" s="99"/>
      <c r="JU220" s="99"/>
      <c r="JV220" s="99"/>
      <c r="JW220" s="99"/>
      <c r="JX220" s="99"/>
      <c r="JY220" s="99"/>
      <c r="JZ220" s="99"/>
      <c r="KA220" s="99"/>
      <c r="KB220" s="99"/>
      <c r="KC220" s="99"/>
      <c r="KD220" s="99"/>
      <c r="KE220" s="99"/>
      <c r="KF220" s="99"/>
      <c r="KG220" s="99"/>
      <c r="KH220" s="99"/>
      <c r="KI220" s="99"/>
      <c r="KJ220" s="99"/>
      <c r="KK220" s="99"/>
      <c r="KL220" s="99"/>
      <c r="KM220" s="99"/>
      <c r="KN220" s="99"/>
      <c r="KO220" s="99"/>
      <c r="KP220" s="99"/>
      <c r="KQ220" s="99"/>
      <c r="KR220" s="99"/>
      <c r="KS220" s="99"/>
      <c r="KT220" s="99"/>
      <c r="KU220" s="99"/>
      <c r="KV220" s="99"/>
      <c r="KW220" s="99"/>
      <c r="KX220" s="99"/>
      <c r="KY220" s="99"/>
      <c r="KZ220" s="99"/>
      <c r="LA220" s="99"/>
      <c r="LB220" s="99"/>
      <c r="LC220" s="99"/>
      <c r="LD220" s="99"/>
      <c r="LE220" s="99"/>
      <c r="LF220" s="99"/>
      <c r="LG220" s="99"/>
      <c r="LH220" s="99"/>
      <c r="LI220" s="99"/>
      <c r="LJ220" s="99"/>
      <c r="LK220" s="99"/>
      <c r="LL220" s="99"/>
      <c r="LM220" s="99"/>
      <c r="LN220" s="99"/>
      <c r="LO220" s="99"/>
      <c r="LP220" s="99"/>
      <c r="LQ220" s="99"/>
      <c r="LR220" s="99"/>
      <c r="LS220" s="99"/>
      <c r="LT220" s="99"/>
      <c r="LU220" s="99"/>
      <c r="LV220" s="99"/>
      <c r="LW220" s="99"/>
      <c r="LX220" s="99"/>
      <c r="LY220" s="99"/>
      <c r="LZ220" s="99"/>
      <c r="MA220" s="99"/>
      <c r="MB220" s="99"/>
      <c r="MC220" s="99"/>
      <c r="MD220" s="99"/>
      <c r="ME220" s="99"/>
      <c r="MF220" s="99"/>
    </row>
    <row r="221" spans="1:344" ht="17.25" customHeight="1" x14ac:dyDescent="0.25">
      <c r="A221" s="155" t="s">
        <v>37</v>
      </c>
      <c r="B221" s="79" t="s">
        <v>1</v>
      </c>
      <c r="C221" s="80">
        <v>45355</v>
      </c>
      <c r="D221" s="50"/>
      <c r="G221" s="36">
        <f t="shared" si="373"/>
        <v>0</v>
      </c>
      <c r="H221" s="27">
        <f t="shared" si="374"/>
        <v>0</v>
      </c>
      <c r="I221" s="47"/>
      <c r="K221" s="105"/>
      <c r="L221" s="89">
        <f t="shared" si="375"/>
        <v>0</v>
      </c>
      <c r="M221" s="27">
        <f t="shared" si="392"/>
        <v>0</v>
      </c>
      <c r="N221" s="35">
        <f t="shared" si="393"/>
        <v>0</v>
      </c>
      <c r="O221" s="97" t="e">
        <f>SUM($Z221,$BH221,$AQ221,$BY221,$CP221,$DG221,$DX221,$EO221,$FF221,$FW221,$GN221)/I221</f>
        <v>#DIV/0!</v>
      </c>
      <c r="P221" s="149">
        <f t="shared" si="450"/>
        <v>0</v>
      </c>
      <c r="Q221" s="131">
        <f t="shared" si="355"/>
        <v>0</v>
      </c>
      <c r="R221" s="133">
        <f t="shared" si="356"/>
        <v>0</v>
      </c>
      <c r="S221" s="135">
        <f t="shared" si="357"/>
        <v>0</v>
      </c>
      <c r="T221" s="137">
        <f t="shared" si="358"/>
        <v>0</v>
      </c>
      <c r="U221" s="143">
        <f t="shared" si="359"/>
        <v>0</v>
      </c>
      <c r="W221" s="11">
        <v>0</v>
      </c>
      <c r="X221" s="1">
        <v>0</v>
      </c>
      <c r="Y221" s="27">
        <f t="shared" si="376"/>
        <v>0</v>
      </c>
      <c r="Z221" s="27">
        <f t="shared" si="394"/>
        <v>0</v>
      </c>
      <c r="AA221" s="15">
        <f t="shared" si="407"/>
        <v>2.3472414768413298E-5</v>
      </c>
      <c r="AB221" s="43">
        <f t="shared" si="451"/>
        <v>3.7527706489390902E-4</v>
      </c>
      <c r="AC221" s="43">
        <f t="shared" si="452"/>
        <v>15.988004157071957</v>
      </c>
      <c r="AD221" s="33"/>
      <c r="AH221" s="31"/>
      <c r="AP221" s="27">
        <f t="shared" si="377"/>
        <v>0</v>
      </c>
      <c r="AQ221" s="27">
        <f t="shared" si="395"/>
        <v>0</v>
      </c>
      <c r="AR221" s="15">
        <f t="shared" si="408"/>
        <v>7.0884369444396992E-3</v>
      </c>
      <c r="AS221" s="28">
        <f t="shared" si="409"/>
        <v>0.78242971259684868</v>
      </c>
      <c r="AT221" s="28">
        <f t="shared" si="410"/>
        <v>110.38113461820394</v>
      </c>
      <c r="AU221" s="33"/>
      <c r="AY221" s="31"/>
      <c r="BG221" s="27">
        <f t="shared" si="378"/>
        <v>0</v>
      </c>
      <c r="BH221" s="27">
        <f t="shared" si="396"/>
        <v>0</v>
      </c>
      <c r="BI221" s="15">
        <f t="shared" si="411"/>
        <v>9.7624866759686412E-3</v>
      </c>
      <c r="BJ221" s="28">
        <f t="shared" si="412"/>
        <v>1.2019711124507009</v>
      </c>
      <c r="BK221" s="28">
        <f t="shared" si="413"/>
        <v>123.12140875023938</v>
      </c>
      <c r="BL221" s="33"/>
      <c r="BP221" s="31"/>
      <c r="BX221" s="27">
        <f t="shared" si="379"/>
        <v>0</v>
      </c>
      <c r="BY221" s="27">
        <f t="shared" si="397"/>
        <v>0</v>
      </c>
      <c r="BZ221" s="15">
        <f t="shared" si="414"/>
        <v>7.4230727423676606E-3</v>
      </c>
      <c r="CA221" s="28">
        <f t="shared" si="415"/>
        <v>0.74696777903084688</v>
      </c>
      <c r="CB221" s="28">
        <f t="shared" si="416"/>
        <v>100.6278403776755</v>
      </c>
      <c r="CC221" s="33"/>
      <c r="CG221" s="31"/>
      <c r="CO221" s="27">
        <f t="shared" si="380"/>
        <v>0</v>
      </c>
      <c r="CP221" s="27">
        <f t="shared" si="398"/>
        <v>0</v>
      </c>
      <c r="CQ221" s="15">
        <f t="shared" si="417"/>
        <v>8.1329200644520358E-3</v>
      </c>
      <c r="CR221" s="28">
        <f t="shared" si="418"/>
        <v>0.96661800645695894</v>
      </c>
      <c r="CS221" s="28">
        <f t="shared" si="419"/>
        <v>118.85251530774585</v>
      </c>
      <c r="CT221" s="33"/>
      <c r="CX221" s="31"/>
      <c r="DF221" s="27">
        <f t="shared" si="381"/>
        <v>0</v>
      </c>
      <c r="DG221" s="27">
        <f t="shared" si="399"/>
        <v>0</v>
      </c>
      <c r="DH221" s="15">
        <f t="shared" si="420"/>
        <v>7.9104190574213265E-3</v>
      </c>
      <c r="DI221" s="28">
        <f t="shared" si="421"/>
        <v>0.58733871860960973</v>
      </c>
      <c r="DJ221" s="28">
        <f t="shared" si="422"/>
        <v>74.248748940624779</v>
      </c>
      <c r="DK221" s="33"/>
      <c r="DO221" s="31"/>
      <c r="DW221" s="27">
        <f t="shared" si="382"/>
        <v>0</v>
      </c>
      <c r="DX221" s="27">
        <f t="shared" si="400"/>
        <v>0</v>
      </c>
      <c r="DY221" s="15">
        <f t="shared" si="423"/>
        <v>8.1900631014529112E-3</v>
      </c>
      <c r="DZ221" s="28">
        <f t="shared" si="424"/>
        <v>0.57341971677175996</v>
      </c>
      <c r="EA221" s="28">
        <f t="shared" si="425"/>
        <v>70.014077995325295</v>
      </c>
      <c r="EB221" s="33"/>
      <c r="EF221" s="31"/>
      <c r="EN221" s="27">
        <f t="shared" si="383"/>
        <v>0</v>
      </c>
      <c r="EO221" s="27">
        <f t="shared" si="401"/>
        <v>0</v>
      </c>
      <c r="EP221" s="15">
        <f t="shared" si="426"/>
        <v>8.7444040382212117E-3</v>
      </c>
      <c r="EQ221" s="28">
        <f t="shared" si="427"/>
        <v>1.126740529067249</v>
      </c>
      <c r="ER221" s="28">
        <f t="shared" si="428"/>
        <v>128.85275247373528</v>
      </c>
      <c r="ES221" s="33"/>
      <c r="EW221" s="31"/>
      <c r="FE221" s="27">
        <f t="shared" si="384"/>
        <v>0</v>
      </c>
      <c r="FF221" s="27">
        <f t="shared" si="402"/>
        <v>0</v>
      </c>
      <c r="FG221" s="15">
        <f t="shared" si="429"/>
        <v>8.4480139966527472E-3</v>
      </c>
      <c r="FH221" s="28">
        <f t="shared" si="430"/>
        <v>1.0314272337653541</v>
      </c>
      <c r="FI221" s="28">
        <f t="shared" si="431"/>
        <v>122.0910895950248</v>
      </c>
      <c r="FJ221" s="33"/>
      <c r="FN221" s="31"/>
      <c r="FV221" s="27">
        <f t="shared" si="385"/>
        <v>0</v>
      </c>
      <c r="FW221" s="27">
        <f t="shared" si="403"/>
        <v>0</v>
      </c>
      <c r="FX221" s="15">
        <f t="shared" si="432"/>
        <v>7.9528914339844978E-3</v>
      </c>
      <c r="FY221" s="28">
        <f t="shared" si="433"/>
        <v>1.0327861430989014</v>
      </c>
      <c r="FZ221" s="28">
        <f t="shared" si="434"/>
        <v>129.86297520491394</v>
      </c>
      <c r="GA221" s="33"/>
      <c r="GE221" s="31"/>
      <c r="GM221" s="27">
        <f t="shared" si="386"/>
        <v>0</v>
      </c>
      <c r="GN221" s="27">
        <f t="shared" si="404"/>
        <v>0</v>
      </c>
      <c r="GO221" s="15">
        <f t="shared" si="435"/>
        <v>8.2180165740491674E-3</v>
      </c>
      <c r="GP221" s="28">
        <f t="shared" si="436"/>
        <v>1.0643984521607956</v>
      </c>
      <c r="GQ221" s="28">
        <f t="shared" si="437"/>
        <v>129.5201150508689</v>
      </c>
      <c r="GR221" s="33"/>
      <c r="GV221" s="31"/>
      <c r="HD221" s="27">
        <f t="shared" si="387"/>
        <v>0</v>
      </c>
      <c r="HE221" s="27">
        <f t="shared" si="405"/>
        <v>0</v>
      </c>
      <c r="HF221" s="15">
        <f t="shared" si="438"/>
        <v>1.1576759223914643E-2</v>
      </c>
      <c r="HG221" s="28">
        <f t="shared" si="439"/>
        <v>0.77207518968744082</v>
      </c>
      <c r="HH221" s="28">
        <f t="shared" si="440"/>
        <v>66.691824089467943</v>
      </c>
      <c r="HI221" s="33"/>
      <c r="HM221" s="31"/>
      <c r="HU221" s="27">
        <f t="shared" si="388"/>
        <v>0</v>
      </c>
      <c r="HV221" s="27">
        <f t="shared" si="406"/>
        <v>0</v>
      </c>
      <c r="HW221" s="15">
        <f t="shared" si="441"/>
        <v>2.6727095986666267E-11</v>
      </c>
      <c r="HX221" s="28">
        <f t="shared" si="442"/>
        <v>2.7133573254643294E-13</v>
      </c>
      <c r="HY221" s="28">
        <f t="shared" si="443"/>
        <v>1.0152084337250785E-2</v>
      </c>
      <c r="HZ221" s="33"/>
      <c r="ID221" s="31"/>
      <c r="II221" s="12"/>
      <c r="IL221" s="27">
        <f t="shared" si="389"/>
        <v>0</v>
      </c>
      <c r="IM221" s="27">
        <f t="shared" si="390"/>
        <v>506.14934222272797</v>
      </c>
      <c r="IN221" s="15">
        <f t="shared" si="444"/>
        <v>2.6338744617763572E-3</v>
      </c>
      <c r="IO221" s="28">
        <f t="shared" si="445"/>
        <v>2.0069235094469947E-2</v>
      </c>
      <c r="IP221" s="28">
        <f t="shared" si="446"/>
        <v>7.6196627385705789</v>
      </c>
      <c r="IQ221" s="33"/>
      <c r="IU221" s="31"/>
      <c r="JC221" s="27">
        <f t="shared" si="369"/>
        <v>0</v>
      </c>
      <c r="JD221" s="27">
        <f t="shared" si="391"/>
        <v>598.15344732475046</v>
      </c>
      <c r="JE221" s="15">
        <f t="shared" si="447"/>
        <v>3.1806165825676463E-3</v>
      </c>
      <c r="JF221" s="28">
        <f t="shared" si="448"/>
        <v>2.5615441276006845E-2</v>
      </c>
      <c r="JG221" s="28">
        <f t="shared" si="449"/>
        <v>8.0536086670742399</v>
      </c>
      <c r="JH221" s="33"/>
      <c r="JL221" s="31"/>
      <c r="JR221" s="99"/>
      <c r="JS221" s="99"/>
      <c r="JT221" s="99"/>
      <c r="JU221" s="99"/>
      <c r="JV221" s="99"/>
      <c r="JW221" s="99"/>
      <c r="JX221" s="99"/>
      <c r="JY221" s="99"/>
      <c r="JZ221" s="99"/>
      <c r="KA221" s="99"/>
      <c r="KB221" s="99"/>
      <c r="KC221" s="99"/>
      <c r="KD221" s="99"/>
      <c r="KE221" s="99"/>
      <c r="KF221" s="99"/>
      <c r="KG221" s="99"/>
      <c r="KH221" s="99"/>
      <c r="KI221" s="99"/>
      <c r="KJ221" s="99"/>
      <c r="KK221" s="99"/>
      <c r="KL221" s="99"/>
      <c r="KM221" s="99"/>
      <c r="KN221" s="99"/>
      <c r="KO221" s="99"/>
      <c r="KP221" s="99"/>
      <c r="KQ221" s="99"/>
      <c r="KR221" s="99"/>
      <c r="KS221" s="99"/>
      <c r="KT221" s="99"/>
      <c r="KU221" s="99"/>
      <c r="KV221" s="99"/>
      <c r="KW221" s="99"/>
      <c r="KX221" s="99"/>
      <c r="KY221" s="99"/>
      <c r="KZ221" s="99"/>
      <c r="LA221" s="99"/>
      <c r="LB221" s="99"/>
      <c r="LC221" s="99"/>
      <c r="LD221" s="99"/>
      <c r="LE221" s="99"/>
      <c r="LF221" s="99"/>
      <c r="LG221" s="99"/>
      <c r="LH221" s="99"/>
      <c r="LI221" s="99"/>
      <c r="LJ221" s="99"/>
      <c r="LK221" s="99"/>
      <c r="LL221" s="99"/>
      <c r="LM221" s="99"/>
      <c r="LN221" s="99"/>
      <c r="LO221" s="99"/>
      <c r="LP221" s="99"/>
      <c r="LQ221" s="99"/>
      <c r="LR221" s="99"/>
      <c r="LS221" s="99"/>
      <c r="LT221" s="99"/>
      <c r="LU221" s="99"/>
      <c r="LV221" s="99"/>
      <c r="LW221" s="99"/>
      <c r="LX221" s="99"/>
      <c r="LY221" s="99"/>
      <c r="LZ221" s="99"/>
      <c r="MA221" s="99"/>
      <c r="MB221" s="99"/>
      <c r="MC221" s="99"/>
      <c r="MD221" s="99"/>
      <c r="ME221" s="99"/>
      <c r="MF221" s="99"/>
    </row>
    <row r="222" spans="1:344" ht="17.25" customHeight="1" x14ac:dyDescent="0.25">
      <c r="A222" s="156"/>
      <c r="B222" s="81" t="s">
        <v>2</v>
      </c>
      <c r="C222" s="82">
        <v>45356</v>
      </c>
      <c r="D222" s="49"/>
      <c r="G222" s="89">
        <f t="shared" si="373"/>
        <v>0</v>
      </c>
      <c r="H222" s="35">
        <f t="shared" si="374"/>
        <v>0</v>
      </c>
      <c r="I222" s="39"/>
      <c r="L222" s="89">
        <f t="shared" si="375"/>
        <v>0</v>
      </c>
      <c r="M222" s="35">
        <f t="shared" si="392"/>
        <v>0</v>
      </c>
      <c r="N222" s="35">
        <f t="shared" si="393"/>
        <v>0</v>
      </c>
      <c r="O222" s="97" t="e">
        <f>SUM($Z222,$BH222,$AQ222,$BY222,$CP222,$DG222,$DX222,$EO222,$FF222,$FW222,$GN222)/I222</f>
        <v>#DIV/0!</v>
      </c>
      <c r="P222" s="150"/>
      <c r="Q222" s="132">
        <f t="shared" si="355"/>
        <v>0</v>
      </c>
      <c r="R222" s="134">
        <f t="shared" ref="R222:R285" si="453">SUM(AE222+AJ222+AV222+BA222+BM222+BR222+CD222+CI222+CU222+CZ222+DL222+DQ222+EC222+EH222+ET222+EY222+FK222+FP222+GB222+GG222+GS222+GX222)/10</f>
        <v>0</v>
      </c>
      <c r="S222" s="136">
        <f t="shared" ref="S222:S285" si="454">SUM(AF222+AK222+AW222+BB222+BN222+BS222+CE222+CJ222+CV222+DA222+DM222+DR222+ED222+EI222+EU222+EZ222+FL222+FQ222+GC222+GH222+GT222+GY222)/10</f>
        <v>0</v>
      </c>
      <c r="T222" s="138">
        <f t="shared" ref="T222:T285" si="455">SUM(AG222+AL222+AX222+BC222+BO222+BT222+CF222+CK222+CW222+DB222+DN222+DS222+EE222+EJ222+EV222+FA222+FM222+FR222+GD222+GI222+GU222+GZ222)/10</f>
        <v>0</v>
      </c>
      <c r="U222" s="144">
        <f t="shared" ref="U222:U285" si="456">SUM(AH222+AM222+AY222+BD222+BP222+BU222+CG222+CL222+CX222+DC222+DO222+DT222+EF222+EK222+EW222+FB222+FN222+FS222+GE222+GJ222+GV222+HA222)/10</f>
        <v>0</v>
      </c>
      <c r="W222" s="11">
        <v>0</v>
      </c>
      <c r="X222" s="1">
        <v>0</v>
      </c>
      <c r="Y222" s="35">
        <f t="shared" si="376"/>
        <v>0</v>
      </c>
      <c r="Z222" s="35">
        <f t="shared" si="394"/>
        <v>0</v>
      </c>
      <c r="AA222" s="15">
        <f t="shared" si="407"/>
        <v>1.8908334118999601E-5</v>
      </c>
      <c r="AB222" s="43">
        <f t="shared" si="451"/>
        <v>2.8145779867043175E-4</v>
      </c>
      <c r="AC222" s="43">
        <f t="shared" si="452"/>
        <v>14.885383180722167</v>
      </c>
      <c r="AD222" s="33"/>
      <c r="AH222" s="31"/>
      <c r="AP222" s="35">
        <f t="shared" si="377"/>
        <v>0</v>
      </c>
      <c r="AQ222" s="35">
        <f t="shared" si="395"/>
        <v>0</v>
      </c>
      <c r="AR222" s="15">
        <f t="shared" si="408"/>
        <v>5.7101297607986467E-3</v>
      </c>
      <c r="AS222" s="28">
        <f t="shared" si="409"/>
        <v>0.58682228444763651</v>
      </c>
      <c r="AT222" s="28">
        <f t="shared" si="410"/>
        <v>102.76864257556919</v>
      </c>
      <c r="AU222" s="33"/>
      <c r="AY222" s="31"/>
      <c r="BG222" s="35">
        <f t="shared" si="378"/>
        <v>0</v>
      </c>
      <c r="BH222" s="35">
        <f t="shared" si="396"/>
        <v>0</v>
      </c>
      <c r="BI222" s="15">
        <f t="shared" si="411"/>
        <v>7.8642253778636283E-3</v>
      </c>
      <c r="BJ222" s="28">
        <f t="shared" si="412"/>
        <v>0.90147833433802571</v>
      </c>
      <c r="BK222" s="28">
        <f t="shared" si="413"/>
        <v>114.63027711229184</v>
      </c>
      <c r="BL222" s="33"/>
      <c r="BP222" s="31"/>
      <c r="BX222" s="35">
        <f t="shared" si="379"/>
        <v>0</v>
      </c>
      <c r="BY222" s="35">
        <f t="shared" si="397"/>
        <v>0</v>
      </c>
      <c r="BZ222" s="15">
        <f t="shared" si="414"/>
        <v>5.9796974869072836E-3</v>
      </c>
      <c r="CA222" s="28">
        <f t="shared" si="415"/>
        <v>0.56022583427313521</v>
      </c>
      <c r="CB222" s="28">
        <f t="shared" si="416"/>
        <v>93.687989317146148</v>
      </c>
      <c r="CC222" s="33"/>
      <c r="CG222" s="31"/>
      <c r="CO222" s="35">
        <f t="shared" si="380"/>
        <v>0</v>
      </c>
      <c r="CP222" s="35">
        <f t="shared" si="398"/>
        <v>0</v>
      </c>
      <c r="CQ222" s="15">
        <f t="shared" si="417"/>
        <v>6.5515189408085848E-3</v>
      </c>
      <c r="CR222" s="28">
        <f t="shared" si="418"/>
        <v>0.72496350484271921</v>
      </c>
      <c r="CS222" s="28">
        <f t="shared" si="419"/>
        <v>110.6557901141082</v>
      </c>
      <c r="CT222" s="33"/>
      <c r="CX222" s="31"/>
      <c r="DF222" s="35">
        <f t="shared" si="381"/>
        <v>0</v>
      </c>
      <c r="DG222" s="35">
        <f t="shared" si="399"/>
        <v>0</v>
      </c>
      <c r="DH222" s="15">
        <f t="shared" si="420"/>
        <v>6.3722820184782909E-3</v>
      </c>
      <c r="DI222" s="28">
        <f t="shared" si="421"/>
        <v>0.4405040389572073</v>
      </c>
      <c r="DJ222" s="28">
        <f t="shared" si="422"/>
        <v>69.12814556540927</v>
      </c>
      <c r="DK222" s="33"/>
      <c r="DO222" s="31"/>
      <c r="DW222" s="35">
        <f t="shared" si="382"/>
        <v>0</v>
      </c>
      <c r="DX222" s="35">
        <f t="shared" si="400"/>
        <v>0</v>
      </c>
      <c r="DY222" s="15">
        <f t="shared" si="423"/>
        <v>6.597550831725957E-3</v>
      </c>
      <c r="DZ222" s="28">
        <f t="shared" si="424"/>
        <v>0.43006478757881994</v>
      </c>
      <c r="EA222" s="28">
        <f t="shared" si="425"/>
        <v>65.185520892199406</v>
      </c>
      <c r="EB222" s="33"/>
      <c r="EF222" s="31"/>
      <c r="EN222" s="35">
        <f t="shared" si="383"/>
        <v>0</v>
      </c>
      <c r="EO222" s="35">
        <f t="shared" si="401"/>
        <v>0</v>
      </c>
      <c r="EP222" s="15">
        <f t="shared" si="426"/>
        <v>7.0441032530115322E-3</v>
      </c>
      <c r="EQ222" s="28">
        <f t="shared" si="427"/>
        <v>0.84505539680043673</v>
      </c>
      <c r="ER222" s="28">
        <f t="shared" si="428"/>
        <v>119.9663557514087</v>
      </c>
      <c r="ES222" s="33"/>
      <c r="EW222" s="31"/>
      <c r="FE222" s="35">
        <f t="shared" si="384"/>
        <v>0</v>
      </c>
      <c r="FF222" s="35">
        <f t="shared" si="402"/>
        <v>0</v>
      </c>
      <c r="FG222" s="15">
        <f t="shared" si="429"/>
        <v>6.8053446084147132E-3</v>
      </c>
      <c r="FH222" s="28">
        <f t="shared" si="430"/>
        <v>0.77357042532401554</v>
      </c>
      <c r="FI222" s="28">
        <f t="shared" si="431"/>
        <v>113.67101445054033</v>
      </c>
      <c r="FJ222" s="33"/>
      <c r="FN222" s="31"/>
      <c r="FV222" s="35">
        <f t="shared" si="385"/>
        <v>0</v>
      </c>
      <c r="FW222" s="35">
        <f t="shared" si="403"/>
        <v>0</v>
      </c>
      <c r="FX222" s="15">
        <f t="shared" si="432"/>
        <v>6.4064958773764023E-3</v>
      </c>
      <c r="FY222" s="28">
        <f t="shared" si="433"/>
        <v>0.77458960732417603</v>
      </c>
      <c r="FZ222" s="28">
        <f t="shared" si="434"/>
        <v>120.90690794940262</v>
      </c>
      <c r="GA222" s="33"/>
      <c r="GE222" s="31"/>
      <c r="GM222" s="35">
        <f t="shared" si="386"/>
        <v>0</v>
      </c>
      <c r="GN222" s="35">
        <f t="shared" si="404"/>
        <v>0</v>
      </c>
      <c r="GO222" s="15">
        <f t="shared" si="435"/>
        <v>6.6200689068729402E-3</v>
      </c>
      <c r="GP222" s="28">
        <f t="shared" si="436"/>
        <v>0.79829883912059674</v>
      </c>
      <c r="GQ222" s="28">
        <f t="shared" si="437"/>
        <v>120.58769332322277</v>
      </c>
      <c r="GR222" s="33"/>
      <c r="GV222" s="31"/>
      <c r="HD222" s="35">
        <f t="shared" si="387"/>
        <v>0</v>
      </c>
      <c r="HE222" s="35">
        <f t="shared" si="405"/>
        <v>0</v>
      </c>
      <c r="HF222" s="15">
        <f t="shared" si="438"/>
        <v>9.3257227081534628E-3</v>
      </c>
      <c r="HG222" s="28">
        <f t="shared" si="439"/>
        <v>0.57905639226558059</v>
      </c>
      <c r="HH222" s="28">
        <f t="shared" si="440"/>
        <v>62.092387945366703</v>
      </c>
      <c r="HI222" s="33"/>
      <c r="HM222" s="31"/>
      <c r="HU222" s="35">
        <f t="shared" si="388"/>
        <v>0</v>
      </c>
      <c r="HV222" s="35">
        <f t="shared" si="406"/>
        <v>0</v>
      </c>
      <c r="HW222" s="15">
        <f t="shared" si="441"/>
        <v>2.1530160655925608E-11</v>
      </c>
      <c r="HX222" s="28">
        <f t="shared" si="442"/>
        <v>2.035017994098247E-13</v>
      </c>
      <c r="HY222" s="28">
        <f t="shared" si="443"/>
        <v>9.4519405898541783E-3</v>
      </c>
      <c r="HZ222" s="33"/>
      <c r="ID222" s="31"/>
      <c r="II222" s="12"/>
      <c r="IL222" s="35">
        <f t="shared" si="389"/>
        <v>0</v>
      </c>
      <c r="IM222" s="35">
        <f t="shared" si="390"/>
        <v>470.69878901528404</v>
      </c>
      <c r="IN222" s="15">
        <f t="shared" si="444"/>
        <v>2.121732205319843E-3</v>
      </c>
      <c r="IO222" s="28">
        <f t="shared" si="445"/>
        <v>1.5051926320852459E-2</v>
      </c>
      <c r="IP222" s="28">
        <f t="shared" si="446"/>
        <v>7.0941687566001939</v>
      </c>
      <c r="IQ222" s="33"/>
      <c r="IU222" s="31"/>
      <c r="JC222" s="35">
        <f t="shared" si="369"/>
        <v>0</v>
      </c>
      <c r="JD222" s="35">
        <f t="shared" si="391"/>
        <v>556.19845914673431</v>
      </c>
      <c r="JE222" s="15">
        <f t="shared" si="447"/>
        <v>2.5621633581794931E-3</v>
      </c>
      <c r="JF222" s="28">
        <f t="shared" si="448"/>
        <v>1.9211580957005134E-2</v>
      </c>
      <c r="JG222" s="28">
        <f t="shared" si="449"/>
        <v>7.4981873796898091</v>
      </c>
      <c r="JH222" s="33"/>
      <c r="JL222" s="31"/>
      <c r="JR222" s="99"/>
      <c r="JS222" s="99"/>
      <c r="JT222" s="99"/>
      <c r="JU222" s="99"/>
      <c r="JV222" s="99"/>
      <c r="JW222" s="99"/>
      <c r="JX222" s="99"/>
      <c r="JY222" s="99"/>
      <c r="JZ222" s="99"/>
      <c r="KA222" s="99"/>
      <c r="KB222" s="99"/>
      <c r="KC222" s="99"/>
      <c r="KD222" s="99"/>
      <c r="KE222" s="99"/>
      <c r="KF222" s="99"/>
      <c r="KG222" s="99"/>
      <c r="KH222" s="99"/>
      <c r="KI222" s="99"/>
      <c r="KJ222" s="99"/>
      <c r="KK222" s="99"/>
      <c r="KL222" s="99"/>
      <c r="KM222" s="99"/>
      <c r="KN222" s="99"/>
      <c r="KO222" s="99"/>
      <c r="KP222" s="99"/>
      <c r="KQ222" s="99"/>
      <c r="KR222" s="99"/>
      <c r="KS222" s="99"/>
      <c r="KT222" s="99"/>
      <c r="KU222" s="99"/>
      <c r="KV222" s="99"/>
      <c r="KW222" s="99"/>
      <c r="KX222" s="99"/>
      <c r="KY222" s="99"/>
      <c r="KZ222" s="99"/>
      <c r="LA222" s="99"/>
      <c r="LB222" s="99"/>
      <c r="LC222" s="99"/>
      <c r="LD222" s="99"/>
      <c r="LE222" s="99"/>
      <c r="LF222" s="99"/>
      <c r="LG222" s="99"/>
      <c r="LH222" s="99"/>
      <c r="LI222" s="99"/>
      <c r="LJ222" s="99"/>
      <c r="LK222" s="99"/>
      <c r="LL222" s="99"/>
      <c r="LM222" s="99"/>
      <c r="LN222" s="99"/>
      <c r="LO222" s="99"/>
      <c r="LP222" s="99"/>
      <c r="LQ222" s="99"/>
      <c r="LR222" s="99"/>
      <c r="LS222" s="99"/>
      <c r="LT222" s="99"/>
      <c r="LU222" s="99"/>
      <c r="LV222" s="99"/>
      <c r="LW222" s="99"/>
      <c r="LX222" s="99"/>
      <c r="LY222" s="99"/>
      <c r="LZ222" s="99"/>
      <c r="MA222" s="99"/>
      <c r="MB222" s="99"/>
      <c r="MC222" s="99"/>
      <c r="MD222" s="99"/>
      <c r="ME222" s="99"/>
      <c r="MF222" s="99"/>
    </row>
    <row r="223" spans="1:344" ht="17.25" customHeight="1" x14ac:dyDescent="0.25">
      <c r="A223" s="156"/>
      <c r="B223" s="81" t="s">
        <v>3</v>
      </c>
      <c r="C223" s="82">
        <v>45357</v>
      </c>
      <c r="D223" s="49"/>
      <c r="G223" s="89">
        <f t="shared" si="373"/>
        <v>0</v>
      </c>
      <c r="H223" s="35">
        <f t="shared" si="374"/>
        <v>0</v>
      </c>
      <c r="I223" s="39"/>
      <c r="L223" s="89">
        <f t="shared" si="375"/>
        <v>0</v>
      </c>
      <c r="M223" s="35">
        <f t="shared" si="392"/>
        <v>0</v>
      </c>
      <c r="N223" s="35">
        <f t="shared" si="393"/>
        <v>0</v>
      </c>
      <c r="O223" s="97" t="e">
        <f>SUM($Z223,$BH223,$AQ223,$BY223,$CP223,$DG223,$DX223,$EO223,$FF223,$FW223,$GN223)/D223</f>
        <v>#DIV/0!</v>
      </c>
      <c r="P223" s="150"/>
      <c r="Q223" s="132">
        <f t="shared" ref="Q223:Q286" si="457">SUM(AD223+AI223+AU223+AZ223+BL223+BQ223+CC223+CH223+CT223+CY223+DK223+DP223+EB223+EG223+ES223+EX223+FJ223+FO223+GA223+GF223+GR223+GW223)/10</f>
        <v>0</v>
      </c>
      <c r="R223" s="134">
        <f t="shared" si="453"/>
        <v>0</v>
      </c>
      <c r="S223" s="136">
        <f t="shared" si="454"/>
        <v>0</v>
      </c>
      <c r="T223" s="138">
        <f t="shared" si="455"/>
        <v>0</v>
      </c>
      <c r="U223" s="144">
        <f t="shared" si="456"/>
        <v>0</v>
      </c>
      <c r="W223" s="11">
        <v>0</v>
      </c>
      <c r="X223" s="1">
        <v>0</v>
      </c>
      <c r="Y223" s="35">
        <f t="shared" si="376"/>
        <v>0</v>
      </c>
      <c r="Z223" s="35">
        <f t="shared" si="394"/>
        <v>0</v>
      </c>
      <c r="AA223" s="15">
        <f t="shared" si="407"/>
        <v>1.5231713595860789E-5</v>
      </c>
      <c r="AB223" s="43">
        <f t="shared" si="451"/>
        <v>2.110933490028238E-4</v>
      </c>
      <c r="AC223" s="43">
        <f t="shared" si="452"/>
        <v>13.858805030327535</v>
      </c>
      <c r="AD223" s="33"/>
      <c r="AH223" s="31"/>
      <c r="AP223" s="35">
        <f t="shared" si="377"/>
        <v>0</v>
      </c>
      <c r="AQ223" s="35">
        <f t="shared" si="395"/>
        <v>0</v>
      </c>
      <c r="AR223" s="15">
        <f t="shared" si="408"/>
        <v>4.5998267517544655E-3</v>
      </c>
      <c r="AS223" s="28">
        <f t="shared" si="409"/>
        <v>0.44011671333572738</v>
      </c>
      <c r="AT223" s="28">
        <f t="shared" si="410"/>
        <v>95.681149984150622</v>
      </c>
      <c r="AU223" s="33"/>
      <c r="AY223" s="31"/>
      <c r="BG223" s="35">
        <f t="shared" si="378"/>
        <v>0</v>
      </c>
      <c r="BH223" s="35">
        <f t="shared" si="396"/>
        <v>0</v>
      </c>
      <c r="BI223" s="15">
        <f t="shared" si="411"/>
        <v>6.3350704432790341E-3</v>
      </c>
      <c r="BJ223" s="28">
        <f t="shared" si="412"/>
        <v>0.67610875075351928</v>
      </c>
      <c r="BK223" s="28">
        <f t="shared" si="413"/>
        <v>106.72474075971998</v>
      </c>
      <c r="BL223" s="33"/>
      <c r="BP223" s="31"/>
      <c r="BX223" s="35">
        <f t="shared" si="379"/>
        <v>0</v>
      </c>
      <c r="BY223" s="35">
        <f t="shared" si="397"/>
        <v>0</v>
      </c>
      <c r="BZ223" s="15">
        <f t="shared" si="414"/>
        <v>4.8169785311197562E-3</v>
      </c>
      <c r="CA223" s="28">
        <f t="shared" si="415"/>
        <v>0.42016937570485141</v>
      </c>
      <c r="CB223" s="28">
        <f t="shared" si="416"/>
        <v>87.226748674584343</v>
      </c>
      <c r="CC223" s="33"/>
      <c r="CG223" s="31"/>
      <c r="CO223" s="35">
        <f t="shared" si="380"/>
        <v>0</v>
      </c>
      <c r="CP223" s="35">
        <f t="shared" si="398"/>
        <v>0</v>
      </c>
      <c r="CQ223" s="15">
        <f t="shared" si="417"/>
        <v>5.2776124800958044E-3</v>
      </c>
      <c r="CR223" s="28">
        <f t="shared" si="418"/>
        <v>0.54372262863203935</v>
      </c>
      <c r="CS223" s="28">
        <f t="shared" si="419"/>
        <v>103.02435631313521</v>
      </c>
      <c r="CT223" s="33"/>
      <c r="CX223" s="31"/>
      <c r="DF223" s="35">
        <f t="shared" si="381"/>
        <v>0</v>
      </c>
      <c r="DG223" s="35">
        <f t="shared" si="399"/>
        <v>0</v>
      </c>
      <c r="DH223" s="15">
        <f t="shared" si="420"/>
        <v>5.1332271815519573E-3</v>
      </c>
      <c r="DI223" s="28">
        <f t="shared" si="421"/>
        <v>0.33037802921790549</v>
      </c>
      <c r="DJ223" s="28">
        <f t="shared" si="422"/>
        <v>64.360687250553454</v>
      </c>
      <c r="DK223" s="33"/>
      <c r="DO223" s="31"/>
      <c r="DW223" s="35">
        <f t="shared" si="382"/>
        <v>0</v>
      </c>
      <c r="DX223" s="35">
        <f t="shared" si="400"/>
        <v>0</v>
      </c>
      <c r="DY223" s="15">
        <f t="shared" si="423"/>
        <v>5.3146937255570213E-3</v>
      </c>
      <c r="DZ223" s="28">
        <f t="shared" si="424"/>
        <v>0.32254859068411496</v>
      </c>
      <c r="EA223" s="28">
        <f t="shared" si="425"/>
        <v>60.689967727220136</v>
      </c>
      <c r="EB223" s="33"/>
      <c r="EF223" s="31"/>
      <c r="EN223" s="35">
        <f t="shared" si="383"/>
        <v>0</v>
      </c>
      <c r="EO223" s="35">
        <f t="shared" si="401"/>
        <v>0</v>
      </c>
      <c r="EP223" s="15">
        <f t="shared" si="426"/>
        <v>5.6744165093704007E-3</v>
      </c>
      <c r="EQ223" s="28">
        <f t="shared" si="427"/>
        <v>0.63379154760032752</v>
      </c>
      <c r="ER223" s="28">
        <f t="shared" si="428"/>
        <v>111.69281397544947</v>
      </c>
      <c r="ES223" s="33"/>
      <c r="EW223" s="31"/>
      <c r="FE223" s="35">
        <f t="shared" si="384"/>
        <v>0</v>
      </c>
      <c r="FF223" s="35">
        <f t="shared" si="402"/>
        <v>0</v>
      </c>
      <c r="FG223" s="15">
        <f t="shared" si="429"/>
        <v>5.4820831567785194E-3</v>
      </c>
      <c r="FH223" s="28">
        <f t="shared" si="430"/>
        <v>0.58017781899301168</v>
      </c>
      <c r="FI223" s="28">
        <f t="shared" si="431"/>
        <v>105.83163414360651</v>
      </c>
      <c r="FJ223" s="33"/>
      <c r="FN223" s="31"/>
      <c r="FV223" s="35">
        <f t="shared" si="385"/>
        <v>0</v>
      </c>
      <c r="FW223" s="35">
        <f t="shared" si="403"/>
        <v>0</v>
      </c>
      <c r="FX223" s="15">
        <f t="shared" si="432"/>
        <v>5.1607883456643239E-3</v>
      </c>
      <c r="FY223" s="28">
        <f t="shared" si="433"/>
        <v>0.58094220549313202</v>
      </c>
      <c r="FZ223" s="28">
        <f t="shared" si="434"/>
        <v>112.56850050461622</v>
      </c>
      <c r="GA223" s="33"/>
      <c r="GE223" s="31"/>
      <c r="GM223" s="35">
        <f t="shared" si="386"/>
        <v>0</v>
      </c>
      <c r="GN223" s="35">
        <f t="shared" si="404"/>
        <v>0</v>
      </c>
      <c r="GO223" s="15">
        <f t="shared" si="435"/>
        <v>5.3328332860920905E-3</v>
      </c>
      <c r="GP223" s="28">
        <f t="shared" si="436"/>
        <v>0.5987241293404475</v>
      </c>
      <c r="GQ223" s="28">
        <f t="shared" si="437"/>
        <v>112.27130068024188</v>
      </c>
      <c r="GR223" s="33"/>
      <c r="GV223" s="31"/>
      <c r="HD223" s="35">
        <f t="shared" si="387"/>
        <v>0</v>
      </c>
      <c r="HE223" s="35">
        <f t="shared" si="405"/>
        <v>0</v>
      </c>
      <c r="HF223" s="15">
        <f t="shared" si="438"/>
        <v>7.5123877371236231E-3</v>
      </c>
      <c r="HG223" s="28">
        <f t="shared" si="439"/>
        <v>0.43429229419918547</v>
      </c>
      <c r="HH223" s="28">
        <f t="shared" si="440"/>
        <v>57.8101542939621</v>
      </c>
      <c r="HI223" s="33"/>
      <c r="HM223" s="31"/>
      <c r="HU223" s="35">
        <f t="shared" si="388"/>
        <v>0</v>
      </c>
      <c r="HV223" s="35">
        <f t="shared" si="406"/>
        <v>0</v>
      </c>
      <c r="HW223" s="15">
        <f t="shared" si="441"/>
        <v>1.7343740528384515E-11</v>
      </c>
      <c r="HX223" s="28">
        <f t="shared" si="442"/>
        <v>1.5262634955736852E-13</v>
      </c>
      <c r="HY223" s="28">
        <f t="shared" si="443"/>
        <v>8.8000826181400971E-3</v>
      </c>
      <c r="HZ223" s="33"/>
      <c r="ID223" s="31"/>
      <c r="II223" s="12"/>
      <c r="IL223" s="35">
        <f t="shared" si="389"/>
        <v>0</v>
      </c>
      <c r="IM223" s="35">
        <f t="shared" si="390"/>
        <v>437.82887181133447</v>
      </c>
      <c r="IN223" s="15">
        <f t="shared" si="444"/>
        <v>1.7091731653965405E-3</v>
      </c>
      <c r="IO223" s="28">
        <f t="shared" si="445"/>
        <v>1.1288944740639344E-2</v>
      </c>
      <c r="IP223" s="28">
        <f t="shared" si="446"/>
        <v>6.6049157389036282</v>
      </c>
      <c r="IQ223" s="33"/>
      <c r="IU223" s="31"/>
      <c r="JC223" s="35">
        <f t="shared" si="369"/>
        <v>0</v>
      </c>
      <c r="JD223" s="35">
        <f t="shared" si="391"/>
        <v>517.31250491764456</v>
      </c>
      <c r="JE223" s="15">
        <f t="shared" si="447"/>
        <v>2.0639649274223691E-3</v>
      </c>
      <c r="JF223" s="28">
        <f t="shared" si="448"/>
        <v>1.440868571775385E-2</v>
      </c>
      <c r="JG223" s="28">
        <f t="shared" si="449"/>
        <v>6.9810710086767189</v>
      </c>
      <c r="JH223" s="33"/>
      <c r="JL223" s="31"/>
      <c r="JR223" s="99"/>
      <c r="JS223" s="99"/>
      <c r="JT223" s="99"/>
      <c r="JU223" s="99"/>
      <c r="JV223" s="99"/>
      <c r="JW223" s="99"/>
      <c r="JX223" s="99"/>
      <c r="JY223" s="99"/>
      <c r="JZ223" s="99"/>
      <c r="KA223" s="99"/>
      <c r="KB223" s="99"/>
      <c r="KC223" s="99"/>
      <c r="KD223" s="99"/>
      <c r="KE223" s="99"/>
      <c r="KF223" s="99"/>
      <c r="KG223" s="99"/>
      <c r="KH223" s="99"/>
      <c r="KI223" s="99"/>
      <c r="KJ223" s="99"/>
      <c r="KK223" s="99"/>
      <c r="KL223" s="99"/>
      <c r="KM223" s="99"/>
      <c r="KN223" s="99"/>
      <c r="KO223" s="99"/>
      <c r="KP223" s="99"/>
      <c r="KQ223" s="99"/>
      <c r="KR223" s="99"/>
      <c r="KS223" s="99"/>
      <c r="KT223" s="99"/>
      <c r="KU223" s="99"/>
      <c r="KV223" s="99"/>
      <c r="KW223" s="99"/>
      <c r="KX223" s="99"/>
      <c r="KY223" s="99"/>
      <c r="KZ223" s="99"/>
      <c r="LA223" s="99"/>
      <c r="LB223" s="99"/>
      <c r="LC223" s="99"/>
      <c r="LD223" s="99"/>
      <c r="LE223" s="99"/>
      <c r="LF223" s="99"/>
      <c r="LG223" s="99"/>
      <c r="LH223" s="99"/>
      <c r="LI223" s="99"/>
      <c r="LJ223" s="99"/>
      <c r="LK223" s="99"/>
      <c r="LL223" s="99"/>
      <c r="LM223" s="99"/>
      <c r="LN223" s="99"/>
      <c r="LO223" s="99"/>
      <c r="LP223" s="99"/>
      <c r="LQ223" s="99"/>
      <c r="LR223" s="99"/>
      <c r="LS223" s="99"/>
      <c r="LT223" s="99"/>
      <c r="LU223" s="99"/>
      <c r="LV223" s="99"/>
      <c r="LW223" s="99"/>
      <c r="LX223" s="99"/>
      <c r="LY223" s="99"/>
      <c r="LZ223" s="99"/>
      <c r="MA223" s="99"/>
      <c r="MB223" s="99"/>
      <c r="MC223" s="99"/>
      <c r="MD223" s="99"/>
      <c r="ME223" s="99"/>
      <c r="MF223" s="99"/>
    </row>
    <row r="224" spans="1:344" ht="17.25" customHeight="1" x14ac:dyDescent="0.25">
      <c r="A224" s="156"/>
      <c r="B224" s="81" t="s">
        <v>4</v>
      </c>
      <c r="C224" s="82">
        <v>45358</v>
      </c>
      <c r="D224" s="49"/>
      <c r="G224" s="89">
        <f t="shared" si="373"/>
        <v>0</v>
      </c>
      <c r="H224" s="35">
        <f t="shared" si="374"/>
        <v>0</v>
      </c>
      <c r="I224" s="39"/>
      <c r="L224" s="89">
        <f t="shared" si="375"/>
        <v>0</v>
      </c>
      <c r="M224" s="35">
        <f t="shared" si="392"/>
        <v>0</v>
      </c>
      <c r="N224" s="35">
        <f t="shared" si="393"/>
        <v>0</v>
      </c>
      <c r="O224" s="97" t="e">
        <f>SUM($Z224,$BH224,$AQ224,$BY224,$CP224,$DG224,$DX224,$EO224,$FF224,$FW224,$GN224)/D224</f>
        <v>#DIV/0!</v>
      </c>
      <c r="P224" s="150"/>
      <c r="Q224" s="132">
        <f t="shared" si="457"/>
        <v>0</v>
      </c>
      <c r="R224" s="134">
        <f t="shared" si="453"/>
        <v>0</v>
      </c>
      <c r="S224" s="136">
        <f t="shared" si="454"/>
        <v>0</v>
      </c>
      <c r="T224" s="138">
        <f t="shared" si="455"/>
        <v>0</v>
      </c>
      <c r="U224" s="144">
        <f t="shared" si="456"/>
        <v>0</v>
      </c>
      <c r="W224" s="11">
        <v>0</v>
      </c>
      <c r="X224" s="1">
        <v>0</v>
      </c>
      <c r="Y224" s="35">
        <f t="shared" si="376"/>
        <v>0</v>
      </c>
      <c r="Z224" s="35">
        <f t="shared" si="394"/>
        <v>0</v>
      </c>
      <c r="AA224" s="15">
        <f t="shared" si="407"/>
        <v>1.2269991507776746E-5</v>
      </c>
      <c r="AB224" s="43">
        <f t="shared" si="451"/>
        <v>1.5832001175211785E-4</v>
      </c>
      <c r="AC224" s="43">
        <f t="shared" si="452"/>
        <v>12.903025373063567</v>
      </c>
      <c r="AD224" s="33"/>
      <c r="AH224" s="31"/>
      <c r="AP224" s="35">
        <f t="shared" si="377"/>
        <v>0</v>
      </c>
      <c r="AQ224" s="35">
        <f t="shared" si="395"/>
        <v>0</v>
      </c>
      <c r="AR224" s="15">
        <f t="shared" si="408"/>
        <v>3.705415994468875E-3</v>
      </c>
      <c r="AS224" s="28">
        <f t="shared" si="409"/>
        <v>0.33008753500179555</v>
      </c>
      <c r="AT224" s="28">
        <f t="shared" si="410"/>
        <v>89.082449985243684</v>
      </c>
      <c r="AU224" s="33"/>
      <c r="AY224" s="31"/>
      <c r="BG224" s="35">
        <f t="shared" si="378"/>
        <v>0</v>
      </c>
      <c r="BH224" s="35">
        <f t="shared" si="396"/>
        <v>0</v>
      </c>
      <c r="BI224" s="15">
        <f t="shared" si="411"/>
        <v>5.1032511904192234E-3</v>
      </c>
      <c r="BJ224" s="28">
        <f t="shared" si="412"/>
        <v>0.50708156306513952</v>
      </c>
      <c r="BK224" s="28">
        <f t="shared" si="413"/>
        <v>99.364413810773769</v>
      </c>
      <c r="BL224" s="33"/>
      <c r="BP224" s="31"/>
      <c r="BX224" s="35">
        <f t="shared" si="379"/>
        <v>0</v>
      </c>
      <c r="BY224" s="35">
        <f t="shared" si="397"/>
        <v>0</v>
      </c>
      <c r="BZ224" s="15">
        <f t="shared" si="414"/>
        <v>3.8803438167353587E-3</v>
      </c>
      <c r="CA224" s="28">
        <f t="shared" si="415"/>
        <v>0.31512703177863854</v>
      </c>
      <c r="CB224" s="28">
        <f t="shared" si="416"/>
        <v>81.211110834957836</v>
      </c>
      <c r="CC224" s="33"/>
      <c r="CG224" s="31"/>
      <c r="CO224" s="35">
        <f t="shared" si="380"/>
        <v>0</v>
      </c>
      <c r="CP224" s="35">
        <f t="shared" si="398"/>
        <v>0</v>
      </c>
      <c r="CQ224" s="15">
        <f t="shared" si="417"/>
        <v>4.2514100534105093E-3</v>
      </c>
      <c r="CR224" s="28">
        <f t="shared" si="418"/>
        <v>0.40779197147402951</v>
      </c>
      <c r="CS224" s="28">
        <f t="shared" si="419"/>
        <v>95.919228291539682</v>
      </c>
      <c r="CT224" s="33"/>
      <c r="CX224" s="31"/>
      <c r="DF224" s="35">
        <f t="shared" si="381"/>
        <v>0</v>
      </c>
      <c r="DG224" s="35">
        <f t="shared" si="399"/>
        <v>0</v>
      </c>
      <c r="DH224" s="15">
        <f t="shared" si="420"/>
        <v>4.1350996740279651E-3</v>
      </c>
      <c r="DI224" s="28">
        <f t="shared" si="421"/>
        <v>0.24778352191342912</v>
      </c>
      <c r="DJ224" s="28">
        <f t="shared" si="422"/>
        <v>59.922019164308388</v>
      </c>
      <c r="DK224" s="33"/>
      <c r="DO224" s="31"/>
      <c r="DW224" s="35">
        <f t="shared" si="382"/>
        <v>0</v>
      </c>
      <c r="DX224" s="35">
        <f t="shared" si="400"/>
        <v>0</v>
      </c>
      <c r="DY224" s="15">
        <f t="shared" si="423"/>
        <v>4.2812810566987113E-3</v>
      </c>
      <c r="DZ224" s="28">
        <f t="shared" si="424"/>
        <v>0.2419114430130862</v>
      </c>
      <c r="EA224" s="28">
        <f t="shared" si="425"/>
        <v>56.504452711549781</v>
      </c>
      <c r="EB224" s="33"/>
      <c r="EF224" s="31"/>
      <c r="EN224" s="35">
        <f t="shared" si="383"/>
        <v>0</v>
      </c>
      <c r="EO224" s="35">
        <f t="shared" si="401"/>
        <v>0</v>
      </c>
      <c r="EP224" s="15">
        <f t="shared" si="426"/>
        <v>4.5710577436594898E-3</v>
      </c>
      <c r="EQ224" s="28">
        <f t="shared" si="427"/>
        <v>0.47534366070024564</v>
      </c>
      <c r="ER224" s="28">
        <f t="shared" si="428"/>
        <v>103.98986128748743</v>
      </c>
      <c r="ES224" s="33"/>
      <c r="EW224" s="31"/>
      <c r="FE224" s="35">
        <f t="shared" si="384"/>
        <v>0</v>
      </c>
      <c r="FF224" s="35">
        <f t="shared" si="402"/>
        <v>0</v>
      </c>
      <c r="FG224" s="15">
        <f t="shared" si="429"/>
        <v>4.4161225429604741E-3</v>
      </c>
      <c r="FH224" s="28">
        <f t="shared" si="430"/>
        <v>0.43513336424475879</v>
      </c>
      <c r="FI224" s="28">
        <f t="shared" si="431"/>
        <v>98.532900754392259</v>
      </c>
      <c r="FJ224" s="33"/>
      <c r="FN224" s="31"/>
      <c r="FV224" s="35">
        <f t="shared" si="385"/>
        <v>0</v>
      </c>
      <c r="FW224" s="35">
        <f t="shared" si="403"/>
        <v>0</v>
      </c>
      <c r="FX224" s="15">
        <f t="shared" si="432"/>
        <v>4.1573017228962615E-3</v>
      </c>
      <c r="FY224" s="28">
        <f t="shared" si="433"/>
        <v>0.43570665411984899</v>
      </c>
      <c r="FZ224" s="28">
        <f t="shared" si="434"/>
        <v>104.8051556422289</v>
      </c>
      <c r="GA224" s="33"/>
      <c r="GE224" s="31"/>
      <c r="GM224" s="35">
        <f t="shared" si="386"/>
        <v>0</v>
      </c>
      <c r="GN224" s="35">
        <f t="shared" si="404"/>
        <v>0</v>
      </c>
      <c r="GO224" s="15">
        <f t="shared" si="435"/>
        <v>4.2958934804630733E-3</v>
      </c>
      <c r="GP224" s="28">
        <f t="shared" si="436"/>
        <v>0.44904309700533562</v>
      </c>
      <c r="GQ224" s="28">
        <f t="shared" si="437"/>
        <v>104.52845235746658</v>
      </c>
      <c r="GR224" s="33"/>
      <c r="GV224" s="31"/>
      <c r="HD224" s="35">
        <f t="shared" si="387"/>
        <v>0</v>
      </c>
      <c r="HE224" s="35">
        <f t="shared" si="405"/>
        <v>0</v>
      </c>
      <c r="HF224" s="15">
        <f t="shared" si="438"/>
        <v>6.0516456771273633E-3</v>
      </c>
      <c r="HG224" s="28">
        <f t="shared" si="439"/>
        <v>0.32571922064938907</v>
      </c>
      <c r="HH224" s="28">
        <f t="shared" si="440"/>
        <v>53.823247101275058</v>
      </c>
      <c r="HI224" s="33"/>
      <c r="HM224" s="31"/>
      <c r="HU224" s="35">
        <f t="shared" si="388"/>
        <v>0</v>
      </c>
      <c r="HV224" s="35">
        <f t="shared" si="406"/>
        <v>0</v>
      </c>
      <c r="HW224" s="15">
        <f t="shared" si="441"/>
        <v>1.3971346536754194E-11</v>
      </c>
      <c r="HX224" s="28">
        <f t="shared" si="442"/>
        <v>1.1446976216802638E-13</v>
      </c>
      <c r="HY224" s="28">
        <f t="shared" si="443"/>
        <v>8.1931803686131933E-3</v>
      </c>
      <c r="HZ224" s="33"/>
      <c r="ID224" s="31"/>
      <c r="II224" s="12"/>
      <c r="IL224" s="35">
        <f t="shared" si="389"/>
        <v>0</v>
      </c>
      <c r="IM224" s="35">
        <f t="shared" si="390"/>
        <v>407.32770333335395</v>
      </c>
      <c r="IN224" s="15">
        <f t="shared" si="444"/>
        <v>1.3768339387916577E-3</v>
      </c>
      <c r="IO224" s="28">
        <f t="shared" si="445"/>
        <v>8.4667085554795078E-3</v>
      </c>
      <c r="IP224" s="28">
        <f t="shared" si="446"/>
        <v>6.1494043086344119</v>
      </c>
      <c r="IQ224" s="33"/>
      <c r="IU224" s="31"/>
      <c r="JC224" s="35">
        <f t="shared" si="369"/>
        <v>0</v>
      </c>
      <c r="JD224" s="35">
        <f t="shared" si="391"/>
        <v>481.24006357375475</v>
      </c>
      <c r="JE224" s="15">
        <f t="shared" si="447"/>
        <v>1.6626384137569089E-3</v>
      </c>
      <c r="JF224" s="28">
        <f t="shared" si="448"/>
        <v>1.0806514288315389E-2</v>
      </c>
      <c r="JG224" s="28">
        <f t="shared" si="449"/>
        <v>6.4996178356645311</v>
      </c>
      <c r="JH224" s="33"/>
      <c r="JL224" s="31"/>
      <c r="JR224" s="99"/>
      <c r="JS224" s="99"/>
      <c r="JT224" s="99"/>
      <c r="JU224" s="99"/>
      <c r="JV224" s="99"/>
      <c r="JW224" s="99"/>
      <c r="JX224" s="99"/>
      <c r="JY224" s="99"/>
      <c r="JZ224" s="99"/>
      <c r="KA224" s="99"/>
      <c r="KB224" s="99"/>
      <c r="KC224" s="99"/>
      <c r="KD224" s="99"/>
      <c r="KE224" s="99"/>
      <c r="KF224" s="99"/>
      <c r="KG224" s="99"/>
      <c r="KH224" s="99"/>
      <c r="KI224" s="99"/>
      <c r="KJ224" s="99"/>
      <c r="KK224" s="99"/>
      <c r="KL224" s="99"/>
      <c r="KM224" s="99"/>
      <c r="KN224" s="99"/>
      <c r="KO224" s="99"/>
      <c r="KP224" s="99"/>
      <c r="KQ224" s="99"/>
      <c r="KR224" s="99"/>
      <c r="KS224" s="99"/>
      <c r="KT224" s="99"/>
      <c r="KU224" s="99"/>
      <c r="KV224" s="99"/>
      <c r="KW224" s="99"/>
      <c r="KX224" s="99"/>
      <c r="KY224" s="99"/>
      <c r="KZ224" s="99"/>
      <c r="LA224" s="99"/>
      <c r="LB224" s="99"/>
      <c r="LC224" s="99"/>
      <c r="LD224" s="99"/>
      <c r="LE224" s="99"/>
      <c r="LF224" s="99"/>
      <c r="LG224" s="99"/>
      <c r="LH224" s="99"/>
      <c r="LI224" s="99"/>
      <c r="LJ224" s="99"/>
      <c r="LK224" s="99"/>
      <c r="LL224" s="99"/>
      <c r="LM224" s="99"/>
      <c r="LN224" s="99"/>
      <c r="LO224" s="99"/>
      <c r="LP224" s="99"/>
      <c r="LQ224" s="99"/>
      <c r="LR224" s="99"/>
      <c r="LS224" s="99"/>
      <c r="LT224" s="99"/>
      <c r="LU224" s="99"/>
      <c r="LV224" s="99"/>
      <c r="LW224" s="99"/>
      <c r="LX224" s="99"/>
      <c r="LY224" s="99"/>
      <c r="LZ224" s="99"/>
      <c r="MA224" s="99"/>
      <c r="MB224" s="99"/>
      <c r="MC224" s="99"/>
      <c r="MD224" s="99"/>
      <c r="ME224" s="99"/>
      <c r="MF224" s="99"/>
    </row>
    <row r="225" spans="1:344" ht="17.25" customHeight="1" x14ac:dyDescent="0.25">
      <c r="A225" s="156"/>
      <c r="B225" s="81" t="s">
        <v>5</v>
      </c>
      <c r="C225" s="82">
        <v>45359</v>
      </c>
      <c r="D225" s="49"/>
      <c r="G225" s="89">
        <f t="shared" si="373"/>
        <v>0</v>
      </c>
      <c r="H225" s="35">
        <f t="shared" si="374"/>
        <v>0</v>
      </c>
      <c r="I225" s="39"/>
      <c r="L225" s="89">
        <f t="shared" si="375"/>
        <v>0</v>
      </c>
      <c r="M225" s="35">
        <f t="shared" si="392"/>
        <v>0</v>
      </c>
      <c r="N225" s="35">
        <f t="shared" si="393"/>
        <v>0</v>
      </c>
      <c r="O225" s="97" t="e">
        <f>SUM($Z225,$BH225,$AQ225,$BY225,$CP225,$DG225,$DX225,$EO225,$FF225,$FW225,$GN225)/D225</f>
        <v>#DIV/0!</v>
      </c>
      <c r="P225" s="150"/>
      <c r="Q225" s="132">
        <f t="shared" si="457"/>
        <v>0</v>
      </c>
      <c r="R225" s="134">
        <f t="shared" si="453"/>
        <v>0</v>
      </c>
      <c r="S225" s="136">
        <f t="shared" si="454"/>
        <v>0</v>
      </c>
      <c r="T225" s="138">
        <f t="shared" si="455"/>
        <v>0</v>
      </c>
      <c r="U225" s="144">
        <f t="shared" si="456"/>
        <v>0</v>
      </c>
      <c r="W225" s="11">
        <v>0</v>
      </c>
      <c r="X225" s="1">
        <v>0</v>
      </c>
      <c r="Y225" s="35">
        <f t="shared" si="376"/>
        <v>0</v>
      </c>
      <c r="Z225" s="35">
        <f t="shared" si="394"/>
        <v>0</v>
      </c>
      <c r="AA225" s="15">
        <f t="shared" si="407"/>
        <v>9.8841598257090475E-6</v>
      </c>
      <c r="AB225" s="43">
        <f t="shared" si="451"/>
        <v>1.1874000881408839E-4</v>
      </c>
      <c r="AC225" s="43">
        <f t="shared" si="452"/>
        <v>12.013161554231596</v>
      </c>
      <c r="AD225" s="33"/>
      <c r="AH225" s="31"/>
      <c r="AP225" s="35">
        <f t="shared" si="377"/>
        <v>0</v>
      </c>
      <c r="AQ225" s="35">
        <f t="shared" si="395"/>
        <v>0</v>
      </c>
      <c r="AR225" s="15">
        <f t="shared" si="408"/>
        <v>2.9849184399888162E-3</v>
      </c>
      <c r="AS225" s="28">
        <f t="shared" si="409"/>
        <v>0.24756565125134666</v>
      </c>
      <c r="AT225" s="28">
        <f t="shared" si="410"/>
        <v>82.938832744882049</v>
      </c>
      <c r="AU225" s="33"/>
      <c r="AY225" s="31"/>
      <c r="BG225" s="35">
        <f t="shared" si="378"/>
        <v>0</v>
      </c>
      <c r="BH225" s="35">
        <f t="shared" si="396"/>
        <v>0</v>
      </c>
      <c r="BI225" s="15">
        <f t="shared" si="411"/>
        <v>4.1109523478377076E-3</v>
      </c>
      <c r="BJ225" s="28">
        <f t="shared" si="412"/>
        <v>0.38031117229885464</v>
      </c>
      <c r="BK225" s="28">
        <f t="shared" si="413"/>
        <v>92.511695616927298</v>
      </c>
      <c r="BL225" s="33"/>
      <c r="BP225" s="31"/>
      <c r="BX225" s="35">
        <f t="shared" si="379"/>
        <v>0</v>
      </c>
      <c r="BY225" s="35">
        <f t="shared" si="397"/>
        <v>0</v>
      </c>
      <c r="BZ225" s="15">
        <f t="shared" si="414"/>
        <v>3.1258325190368173E-3</v>
      </c>
      <c r="CA225" s="28">
        <f t="shared" si="415"/>
        <v>0.23634527383397891</v>
      </c>
      <c r="CB225" s="28">
        <f t="shared" si="416"/>
        <v>75.610344570477977</v>
      </c>
      <c r="CC225" s="33"/>
      <c r="CG225" s="31"/>
      <c r="CO225" s="35">
        <f t="shared" si="380"/>
        <v>0</v>
      </c>
      <c r="CP225" s="35">
        <f t="shared" si="398"/>
        <v>0</v>
      </c>
      <c r="CQ225" s="15">
        <f t="shared" si="417"/>
        <v>3.4247469874695768E-3</v>
      </c>
      <c r="CR225" s="28">
        <f t="shared" si="418"/>
        <v>0.30584397860552215</v>
      </c>
      <c r="CS225" s="28">
        <f t="shared" si="419"/>
        <v>89.304109099019698</v>
      </c>
      <c r="CT225" s="33"/>
      <c r="CX225" s="31"/>
      <c r="DF225" s="35">
        <f t="shared" si="381"/>
        <v>0</v>
      </c>
      <c r="DG225" s="35">
        <f t="shared" si="399"/>
        <v>0</v>
      </c>
      <c r="DH225" s="15">
        <f t="shared" si="420"/>
        <v>3.3310525151891948E-3</v>
      </c>
      <c r="DI225" s="28">
        <f t="shared" si="421"/>
        <v>0.18583764143507184</v>
      </c>
      <c r="DJ225" s="28">
        <f t="shared" si="422"/>
        <v>55.789466118494012</v>
      </c>
      <c r="DK225" s="33"/>
      <c r="DO225" s="31"/>
      <c r="DW225" s="35">
        <f t="shared" si="382"/>
        <v>0</v>
      </c>
      <c r="DX225" s="35">
        <f t="shared" si="400"/>
        <v>0</v>
      </c>
      <c r="DY225" s="15">
        <f t="shared" si="423"/>
        <v>3.4488097401184064E-3</v>
      </c>
      <c r="DZ225" s="28">
        <f t="shared" si="424"/>
        <v>0.18143358225981465</v>
      </c>
      <c r="EA225" s="28">
        <f t="shared" si="425"/>
        <v>52.607593903856689</v>
      </c>
      <c r="EB225" s="33"/>
      <c r="EF225" s="31"/>
      <c r="EN225" s="35">
        <f t="shared" si="383"/>
        <v>0</v>
      </c>
      <c r="EO225" s="35">
        <f t="shared" si="401"/>
        <v>0</v>
      </c>
      <c r="EP225" s="15">
        <f t="shared" si="426"/>
        <v>3.682240960170145E-3</v>
      </c>
      <c r="EQ225" s="28">
        <f t="shared" si="427"/>
        <v>0.35650774552518422</v>
      </c>
      <c r="ER225" s="28">
        <f t="shared" si="428"/>
        <v>96.818146715936564</v>
      </c>
      <c r="ES225" s="33"/>
      <c r="EW225" s="31"/>
      <c r="FE225" s="35">
        <f t="shared" si="384"/>
        <v>0</v>
      </c>
      <c r="FF225" s="35">
        <f t="shared" si="402"/>
        <v>0</v>
      </c>
      <c r="FG225" s="15">
        <f t="shared" si="429"/>
        <v>3.5574320484959383E-3</v>
      </c>
      <c r="FH225" s="28">
        <f t="shared" si="430"/>
        <v>0.32635002318356909</v>
      </c>
      <c r="FI225" s="28">
        <f t="shared" si="431"/>
        <v>91.737528288572094</v>
      </c>
      <c r="FJ225" s="33"/>
      <c r="FN225" s="31"/>
      <c r="FV225" s="35">
        <f t="shared" si="385"/>
        <v>0</v>
      </c>
      <c r="FW225" s="35">
        <f t="shared" si="403"/>
        <v>0</v>
      </c>
      <c r="FX225" s="15">
        <f t="shared" si="432"/>
        <v>3.3489374989997657E-3</v>
      </c>
      <c r="FY225" s="28">
        <f t="shared" si="433"/>
        <v>0.32677999058988672</v>
      </c>
      <c r="FZ225" s="28">
        <f t="shared" si="434"/>
        <v>97.577213873799309</v>
      </c>
      <c r="GA225" s="33"/>
      <c r="GE225" s="31"/>
      <c r="GM225" s="35">
        <f t="shared" si="386"/>
        <v>0</v>
      </c>
      <c r="GN225" s="35">
        <f t="shared" si="404"/>
        <v>0</v>
      </c>
      <c r="GO225" s="15">
        <f t="shared" si="435"/>
        <v>3.4605808592619199E-3</v>
      </c>
      <c r="GP225" s="28">
        <f t="shared" si="436"/>
        <v>0.33678232275400172</v>
      </c>
      <c r="GQ225" s="28">
        <f t="shared" si="437"/>
        <v>97.319593574193021</v>
      </c>
      <c r="GR225" s="33"/>
      <c r="GV225" s="31"/>
      <c r="HD225" s="35">
        <f t="shared" si="387"/>
        <v>0</v>
      </c>
      <c r="HE225" s="35">
        <f t="shared" si="405"/>
        <v>0</v>
      </c>
      <c r="HF225" s="15">
        <f t="shared" si="438"/>
        <v>4.8749367954637095E-3</v>
      </c>
      <c r="HG225" s="28">
        <f t="shared" si="439"/>
        <v>0.24428941548704181</v>
      </c>
      <c r="HH225" s="28">
        <f t="shared" si="440"/>
        <v>50.111299025325053</v>
      </c>
      <c r="HI225" s="33"/>
      <c r="HM225" s="31"/>
      <c r="HU225" s="35">
        <f t="shared" si="388"/>
        <v>0</v>
      </c>
      <c r="HV225" s="35">
        <f t="shared" si="406"/>
        <v>0</v>
      </c>
      <c r="HW225" s="15">
        <f t="shared" si="441"/>
        <v>1.1254695821274211E-11</v>
      </c>
      <c r="HX225" s="28">
        <f t="shared" si="442"/>
        <v>8.5852321626019782E-14</v>
      </c>
      <c r="HY225" s="28">
        <f t="shared" si="443"/>
        <v>7.6281334466398697E-3</v>
      </c>
      <c r="HZ225" s="33"/>
      <c r="ID225" s="31"/>
      <c r="II225" s="12"/>
      <c r="IL225" s="35">
        <f t="shared" si="389"/>
        <v>0</v>
      </c>
      <c r="IM225" s="35">
        <f t="shared" si="390"/>
        <v>379.00648144528293</v>
      </c>
      <c r="IN225" s="15">
        <f t="shared" si="444"/>
        <v>1.1091162284710577E-3</v>
      </c>
      <c r="IO225" s="28">
        <f t="shared" si="445"/>
        <v>6.3500314166096312E-3</v>
      </c>
      <c r="IP225" s="28">
        <f t="shared" si="446"/>
        <v>5.7253074597630729</v>
      </c>
      <c r="IQ225" s="33"/>
      <c r="IU225" s="31"/>
      <c r="JC225" s="35">
        <f t="shared" si="369"/>
        <v>0</v>
      </c>
      <c r="JD225" s="35">
        <f t="shared" si="391"/>
        <v>447.75419565048298</v>
      </c>
      <c r="JE225" s="15">
        <f t="shared" si="447"/>
        <v>1.3393476110819544E-3</v>
      </c>
      <c r="JF225" s="28">
        <f t="shared" si="448"/>
        <v>8.1048857162365415E-3</v>
      </c>
      <c r="JG225" s="28">
        <f t="shared" si="449"/>
        <v>6.0513683297566319</v>
      </c>
      <c r="JH225" s="33"/>
      <c r="JL225" s="31"/>
      <c r="JR225" s="99"/>
      <c r="JS225" s="99"/>
      <c r="JT225" s="99"/>
      <c r="JU225" s="99"/>
      <c r="JV225" s="99"/>
      <c r="JW225" s="99"/>
      <c r="JX225" s="99"/>
      <c r="JY225" s="99"/>
      <c r="JZ225" s="99"/>
      <c r="KA225" s="99"/>
      <c r="KB225" s="99"/>
      <c r="KC225" s="99"/>
      <c r="KD225" s="99"/>
      <c r="KE225" s="99"/>
      <c r="KF225" s="99"/>
      <c r="KG225" s="99"/>
      <c r="KH225" s="99"/>
      <c r="KI225" s="99"/>
      <c r="KJ225" s="99"/>
      <c r="KK225" s="99"/>
      <c r="KL225" s="99"/>
      <c r="KM225" s="99"/>
      <c r="KN225" s="99"/>
      <c r="KO225" s="99"/>
      <c r="KP225" s="99"/>
      <c r="KQ225" s="99"/>
      <c r="KR225" s="99"/>
      <c r="KS225" s="99"/>
      <c r="KT225" s="99"/>
      <c r="KU225" s="99"/>
      <c r="KV225" s="99"/>
      <c r="KW225" s="99"/>
      <c r="KX225" s="99"/>
      <c r="KY225" s="99"/>
      <c r="KZ225" s="99"/>
      <c r="LA225" s="99"/>
      <c r="LB225" s="99"/>
      <c r="LC225" s="99"/>
      <c r="LD225" s="99"/>
      <c r="LE225" s="99"/>
      <c r="LF225" s="99"/>
      <c r="LG225" s="99"/>
      <c r="LH225" s="99"/>
      <c r="LI225" s="99"/>
      <c r="LJ225" s="99"/>
      <c r="LK225" s="99"/>
      <c r="LL225" s="99"/>
      <c r="LM225" s="99"/>
      <c r="LN225" s="99"/>
      <c r="LO225" s="99"/>
      <c r="LP225" s="99"/>
      <c r="LQ225" s="99"/>
      <c r="LR225" s="99"/>
      <c r="LS225" s="99"/>
      <c r="LT225" s="99"/>
      <c r="LU225" s="99"/>
      <c r="LV225" s="99"/>
      <c r="LW225" s="99"/>
      <c r="LX225" s="99"/>
      <c r="LY225" s="99"/>
      <c r="LZ225" s="99"/>
      <c r="MA225" s="99"/>
      <c r="MB225" s="99"/>
      <c r="MC225" s="99"/>
      <c r="MD225" s="99"/>
      <c r="ME225" s="99"/>
      <c r="MF225" s="99"/>
    </row>
    <row r="226" spans="1:344" ht="17.25" customHeight="1" x14ac:dyDescent="0.25">
      <c r="A226" s="156"/>
      <c r="B226" s="81" t="s">
        <v>6</v>
      </c>
      <c r="C226" s="82">
        <v>45360</v>
      </c>
      <c r="D226" s="49"/>
      <c r="G226" s="89">
        <f t="shared" si="373"/>
        <v>0</v>
      </c>
      <c r="H226" s="35">
        <f t="shared" si="374"/>
        <v>0</v>
      </c>
      <c r="I226" s="39"/>
      <c r="L226" s="89">
        <f t="shared" si="375"/>
        <v>0</v>
      </c>
      <c r="M226" s="35">
        <f t="shared" si="392"/>
        <v>0</v>
      </c>
      <c r="N226" s="35">
        <f t="shared" si="393"/>
        <v>0</v>
      </c>
      <c r="O226" s="97" t="e">
        <f>SUM($Z226,$BH226,$AQ226,$BY226,$CP226,$DG226,$DX226,$EO226,$FF226,$FW226,$GN226)/D226</f>
        <v>#DIV/0!</v>
      </c>
      <c r="P226" s="150"/>
      <c r="Q226" s="132">
        <f t="shared" si="457"/>
        <v>0</v>
      </c>
      <c r="R226" s="134">
        <f t="shared" si="453"/>
        <v>0</v>
      </c>
      <c r="S226" s="136">
        <f t="shared" si="454"/>
        <v>0</v>
      </c>
      <c r="T226" s="138">
        <f t="shared" si="455"/>
        <v>0</v>
      </c>
      <c r="U226" s="144">
        <f t="shared" si="456"/>
        <v>0</v>
      </c>
      <c r="W226" s="11">
        <v>0</v>
      </c>
      <c r="X226" s="1">
        <v>0</v>
      </c>
      <c r="Y226" s="35">
        <f t="shared" si="376"/>
        <v>0</v>
      </c>
      <c r="Z226" s="35">
        <f t="shared" si="394"/>
        <v>0</v>
      </c>
      <c r="AA226" s="15">
        <f t="shared" si="407"/>
        <v>7.9622398595989536E-6</v>
      </c>
      <c r="AB226" s="43">
        <f t="shared" si="451"/>
        <v>8.9055006610566295E-5</v>
      </c>
      <c r="AC226" s="43">
        <f t="shared" si="452"/>
        <v>11.184667653939762</v>
      </c>
      <c r="AD226" s="33"/>
      <c r="AH226" s="31"/>
      <c r="AP226" s="35">
        <f t="shared" si="377"/>
        <v>0</v>
      </c>
      <c r="AQ226" s="35">
        <f t="shared" si="395"/>
        <v>0</v>
      </c>
      <c r="AR226" s="15">
        <f t="shared" si="408"/>
        <v>2.4045176322132129E-3</v>
      </c>
      <c r="AS226" s="28">
        <f t="shared" si="409"/>
        <v>0.18567423843851</v>
      </c>
      <c r="AT226" s="28">
        <f t="shared" si="410"/>
        <v>77.218913245235015</v>
      </c>
      <c r="AU226" s="33"/>
      <c r="AY226" s="31"/>
      <c r="BG226" s="35">
        <f t="shared" si="378"/>
        <v>0</v>
      </c>
      <c r="BH226" s="35">
        <f t="shared" si="396"/>
        <v>0</v>
      </c>
      <c r="BI226" s="15">
        <f t="shared" si="411"/>
        <v>3.3116005024248205E-3</v>
      </c>
      <c r="BJ226" s="28">
        <f t="shared" si="412"/>
        <v>0.28523337922414099</v>
      </c>
      <c r="BK226" s="28">
        <f t="shared" si="413"/>
        <v>86.131578677828855</v>
      </c>
      <c r="BL226" s="33"/>
      <c r="BP226" s="31"/>
      <c r="BX226" s="35">
        <f t="shared" si="379"/>
        <v>0</v>
      </c>
      <c r="BY226" s="35">
        <f t="shared" si="397"/>
        <v>0</v>
      </c>
      <c r="BZ226" s="15">
        <f t="shared" si="414"/>
        <v>2.5180317514463253E-3</v>
      </c>
      <c r="CA226" s="28">
        <f t="shared" si="415"/>
        <v>0.1772589553754842</v>
      </c>
      <c r="CB226" s="28">
        <f t="shared" si="416"/>
        <v>70.395838048376049</v>
      </c>
      <c r="CC226" s="33"/>
      <c r="CG226" s="31"/>
      <c r="CO226" s="35">
        <f t="shared" si="380"/>
        <v>0</v>
      </c>
      <c r="CP226" s="35">
        <f t="shared" si="398"/>
        <v>0</v>
      </c>
      <c r="CQ226" s="15">
        <f t="shared" si="417"/>
        <v>2.7588239621282704E-3</v>
      </c>
      <c r="CR226" s="28">
        <f t="shared" si="418"/>
        <v>0.22938298395414161</v>
      </c>
      <c r="CS226" s="28">
        <f t="shared" si="419"/>
        <v>83.14520502322523</v>
      </c>
      <c r="CT226" s="33"/>
      <c r="CX226" s="31"/>
      <c r="DF226" s="35">
        <f t="shared" si="381"/>
        <v>0</v>
      </c>
      <c r="DG226" s="35">
        <f t="shared" si="399"/>
        <v>0</v>
      </c>
      <c r="DH226" s="15">
        <f t="shared" si="420"/>
        <v>2.6833478594579623E-3</v>
      </c>
      <c r="DI226" s="28">
        <f t="shared" si="421"/>
        <v>0.13937823107630387</v>
      </c>
      <c r="DJ226" s="28">
        <f t="shared" si="422"/>
        <v>51.941916731011666</v>
      </c>
      <c r="DK226" s="33"/>
      <c r="DO226" s="31"/>
      <c r="DW226" s="35">
        <f t="shared" si="382"/>
        <v>0</v>
      </c>
      <c r="DX226" s="35">
        <f t="shared" si="400"/>
        <v>0</v>
      </c>
      <c r="DY226" s="15">
        <f t="shared" si="423"/>
        <v>2.7782078462064942E-3</v>
      </c>
      <c r="DZ226" s="28">
        <f t="shared" si="424"/>
        <v>0.13607518669486099</v>
      </c>
      <c r="EA226" s="28">
        <f t="shared" si="425"/>
        <v>48.97948397945278</v>
      </c>
      <c r="EB226" s="33"/>
      <c r="EF226" s="31"/>
      <c r="EN226" s="35">
        <f t="shared" si="383"/>
        <v>0</v>
      </c>
      <c r="EO226" s="35">
        <f t="shared" si="401"/>
        <v>0</v>
      </c>
      <c r="EP226" s="15">
        <f t="shared" si="426"/>
        <v>2.9662496623592835E-3</v>
      </c>
      <c r="EQ226" s="28">
        <f t="shared" si="427"/>
        <v>0.26738080914388818</v>
      </c>
      <c r="ER226" s="28">
        <f t="shared" si="428"/>
        <v>90.141033149320251</v>
      </c>
      <c r="ES226" s="33"/>
      <c r="EW226" s="31"/>
      <c r="FE226" s="35">
        <f t="shared" si="384"/>
        <v>0</v>
      </c>
      <c r="FF226" s="35">
        <f t="shared" si="402"/>
        <v>0</v>
      </c>
      <c r="FG226" s="15">
        <f t="shared" si="429"/>
        <v>2.8657091501772835E-3</v>
      </c>
      <c r="FH226" s="28">
        <f t="shared" si="430"/>
        <v>0.24476251738767682</v>
      </c>
      <c r="FI226" s="28">
        <f t="shared" si="431"/>
        <v>85.410802199705046</v>
      </c>
      <c r="FJ226" s="33"/>
      <c r="FN226" s="31"/>
      <c r="FV226" s="35">
        <f t="shared" si="385"/>
        <v>0</v>
      </c>
      <c r="FW226" s="35">
        <f t="shared" si="403"/>
        <v>0</v>
      </c>
      <c r="FX226" s="15">
        <f t="shared" si="432"/>
        <v>2.6977552075275893E-3</v>
      </c>
      <c r="FY226" s="28">
        <f t="shared" si="433"/>
        <v>0.24508499294241504</v>
      </c>
      <c r="FZ226" s="28">
        <f t="shared" si="434"/>
        <v>90.847750848020041</v>
      </c>
      <c r="GA226" s="33"/>
      <c r="GE226" s="31"/>
      <c r="GM226" s="35">
        <f t="shared" si="386"/>
        <v>0</v>
      </c>
      <c r="GN226" s="35">
        <f t="shared" si="404"/>
        <v>0</v>
      </c>
      <c r="GO226" s="15">
        <f t="shared" si="435"/>
        <v>2.7876901366276578E-3</v>
      </c>
      <c r="GP226" s="28">
        <f t="shared" si="436"/>
        <v>0.2525867420655013</v>
      </c>
      <c r="GQ226" s="28">
        <f t="shared" si="437"/>
        <v>90.607897465627985</v>
      </c>
      <c r="GR226" s="33"/>
      <c r="GV226" s="31"/>
      <c r="HD226" s="35">
        <f t="shared" si="387"/>
        <v>0</v>
      </c>
      <c r="HE226" s="35">
        <f t="shared" si="405"/>
        <v>0</v>
      </c>
      <c r="HF226" s="15">
        <f t="shared" si="438"/>
        <v>3.927032418567988E-3</v>
      </c>
      <c r="HG226" s="28">
        <f t="shared" si="439"/>
        <v>0.18321706161528134</v>
      </c>
      <c r="HH226" s="28">
        <f t="shared" si="440"/>
        <v>46.655347368406083</v>
      </c>
      <c r="HI226" s="33"/>
      <c r="HM226" s="31"/>
      <c r="HU226" s="35">
        <f t="shared" si="388"/>
        <v>0</v>
      </c>
      <c r="HV226" s="35">
        <f t="shared" si="406"/>
        <v>0</v>
      </c>
      <c r="HW226" s="15">
        <f t="shared" si="441"/>
        <v>9.0662827449153373E-12</v>
      </c>
      <c r="HX226" s="28">
        <f t="shared" si="442"/>
        <v>6.4389241219514843E-14</v>
      </c>
      <c r="HY226" s="28">
        <f t="shared" si="443"/>
        <v>7.1020552779060856E-3</v>
      </c>
      <c r="HZ226" s="33"/>
      <c r="ID226" s="31"/>
      <c r="II226" s="12"/>
      <c r="IL226" s="35">
        <f t="shared" si="389"/>
        <v>0</v>
      </c>
      <c r="IM226" s="35">
        <f t="shared" si="390"/>
        <v>352.69578015863652</v>
      </c>
      <c r="IN226" s="15">
        <f t="shared" si="444"/>
        <v>8.9345473960168536E-4</v>
      </c>
      <c r="IO226" s="28">
        <f t="shared" si="445"/>
        <v>4.7625235624572234E-3</v>
      </c>
      <c r="IP226" s="28">
        <f t="shared" si="446"/>
        <v>5.3304586694345852</v>
      </c>
      <c r="IQ226" s="33"/>
      <c r="IU226" s="31"/>
      <c r="JC226" s="35">
        <f t="shared" si="369"/>
        <v>0</v>
      </c>
      <c r="JD226" s="35">
        <f t="shared" si="391"/>
        <v>416.65183352382911</v>
      </c>
      <c r="JE226" s="15">
        <f t="shared" si="447"/>
        <v>1.0789189089271301E-3</v>
      </c>
      <c r="JF226" s="28">
        <f t="shared" si="448"/>
        <v>6.0786642871774061E-3</v>
      </c>
      <c r="JG226" s="28">
        <f t="shared" si="449"/>
        <v>5.6340325828768636</v>
      </c>
      <c r="JH226" s="33"/>
      <c r="JL226" s="31"/>
      <c r="JR226" s="99"/>
      <c r="JS226" s="99"/>
      <c r="JT226" s="99"/>
      <c r="JU226" s="99"/>
      <c r="JV226" s="99"/>
      <c r="JW226" s="99"/>
      <c r="JX226" s="99"/>
      <c r="JY226" s="99"/>
      <c r="JZ226" s="99"/>
      <c r="KA226" s="99"/>
      <c r="KB226" s="99"/>
      <c r="KC226" s="99"/>
      <c r="KD226" s="99"/>
      <c r="KE226" s="99"/>
      <c r="KF226" s="99"/>
      <c r="KG226" s="99"/>
      <c r="KH226" s="99"/>
      <c r="KI226" s="99"/>
      <c r="KJ226" s="99"/>
      <c r="KK226" s="99"/>
      <c r="KL226" s="99"/>
      <c r="KM226" s="99"/>
      <c r="KN226" s="99"/>
      <c r="KO226" s="99"/>
      <c r="KP226" s="99"/>
      <c r="KQ226" s="99"/>
      <c r="KR226" s="99"/>
      <c r="KS226" s="99"/>
      <c r="KT226" s="99"/>
      <c r="KU226" s="99"/>
      <c r="KV226" s="99"/>
      <c r="KW226" s="99"/>
      <c r="KX226" s="99"/>
      <c r="KY226" s="99"/>
      <c r="KZ226" s="99"/>
      <c r="LA226" s="99"/>
      <c r="LB226" s="99"/>
      <c r="LC226" s="99"/>
      <c r="LD226" s="99"/>
      <c r="LE226" s="99"/>
      <c r="LF226" s="99"/>
      <c r="LG226" s="99"/>
      <c r="LH226" s="99"/>
      <c r="LI226" s="99"/>
      <c r="LJ226" s="99"/>
      <c r="LK226" s="99"/>
      <c r="LL226" s="99"/>
      <c r="LM226" s="99"/>
      <c r="LN226" s="99"/>
      <c r="LO226" s="99"/>
      <c r="LP226" s="99"/>
      <c r="LQ226" s="99"/>
      <c r="LR226" s="99"/>
      <c r="LS226" s="99"/>
      <c r="LT226" s="99"/>
      <c r="LU226" s="99"/>
      <c r="LV226" s="99"/>
      <c r="LW226" s="99"/>
      <c r="LX226" s="99"/>
      <c r="LY226" s="99"/>
      <c r="LZ226" s="99"/>
      <c r="MA226" s="99"/>
      <c r="MB226" s="99"/>
      <c r="MC226" s="99"/>
      <c r="MD226" s="99"/>
      <c r="ME226" s="99"/>
      <c r="MF226" s="99"/>
    </row>
    <row r="227" spans="1:344" ht="17.25" customHeight="1" x14ac:dyDescent="0.25">
      <c r="A227" s="157"/>
      <c r="B227" s="83" t="s">
        <v>7</v>
      </c>
      <c r="C227" s="84">
        <v>45361</v>
      </c>
      <c r="D227" s="51"/>
      <c r="E227" s="48"/>
      <c r="F227" s="104"/>
      <c r="G227" s="37">
        <f t="shared" si="373"/>
        <v>0</v>
      </c>
      <c r="H227" s="26">
        <f t="shared" si="374"/>
        <v>0</v>
      </c>
      <c r="I227" s="48"/>
      <c r="J227" s="48"/>
      <c r="K227" s="104"/>
      <c r="L227" s="37">
        <f t="shared" si="375"/>
        <v>0</v>
      </c>
      <c r="M227" s="26">
        <f t="shared" si="392"/>
        <v>0</v>
      </c>
      <c r="N227" s="26">
        <f t="shared" si="393"/>
        <v>0</v>
      </c>
      <c r="O227" s="98" t="e">
        <f>SUM($Z227,$BH227,$AQ227,$BY227,$CP227,$DG227,$DX227,$EO227,$FF227,$FW227,$GN227)/D227</f>
        <v>#DIV/0!</v>
      </c>
      <c r="P227" s="151"/>
      <c r="Q227" s="139">
        <f t="shared" si="457"/>
        <v>0</v>
      </c>
      <c r="R227" s="140">
        <f t="shared" si="453"/>
        <v>0</v>
      </c>
      <c r="S227" s="141">
        <f t="shared" si="454"/>
        <v>0</v>
      </c>
      <c r="T227" s="142">
        <f t="shared" si="455"/>
        <v>0</v>
      </c>
      <c r="U227" s="145">
        <f t="shared" si="456"/>
        <v>0</v>
      </c>
      <c r="V227" s="23"/>
      <c r="W227" s="13">
        <v>0</v>
      </c>
      <c r="X227" s="2">
        <v>0</v>
      </c>
      <c r="Y227" s="26">
        <f t="shared" si="376"/>
        <v>0</v>
      </c>
      <c r="Z227" s="26">
        <f t="shared" si="394"/>
        <v>0</v>
      </c>
      <c r="AA227" s="16">
        <f t="shared" si="407"/>
        <v>6.4140265535658248E-6</v>
      </c>
      <c r="AB227" s="44">
        <f t="shared" si="451"/>
        <v>6.6791254957924718E-5</v>
      </c>
      <c r="AC227" s="44">
        <f t="shared" si="452"/>
        <v>10.413311264012881</v>
      </c>
      <c r="AD227" s="34"/>
      <c r="AE227" s="4"/>
      <c r="AF227" s="5"/>
      <c r="AG227" s="6"/>
      <c r="AH227" s="32"/>
      <c r="AI227" s="3"/>
      <c r="AJ227" s="4"/>
      <c r="AK227" s="5"/>
      <c r="AL227" s="6"/>
      <c r="AM227" s="14"/>
      <c r="AN227" s="13"/>
      <c r="AO227" s="2"/>
      <c r="AP227" s="26">
        <f t="shared" si="377"/>
        <v>0</v>
      </c>
      <c r="AQ227" s="26">
        <f t="shared" si="395"/>
        <v>0</v>
      </c>
      <c r="AR227" s="16">
        <f t="shared" si="408"/>
        <v>1.9369725370606437E-3</v>
      </c>
      <c r="AS227" s="29">
        <f t="shared" si="409"/>
        <v>0.13925567882888251</v>
      </c>
      <c r="AT227" s="29">
        <f t="shared" si="410"/>
        <v>71.893470952460191</v>
      </c>
      <c r="AU227" s="34"/>
      <c r="AV227" s="4"/>
      <c r="AW227" s="5"/>
      <c r="AX227" s="6"/>
      <c r="AY227" s="32"/>
      <c r="AZ227" s="3"/>
      <c r="BA227" s="4"/>
      <c r="BB227" s="5"/>
      <c r="BC227" s="6"/>
      <c r="BD227" s="14"/>
      <c r="BE227" s="13"/>
      <c r="BF227" s="2"/>
      <c r="BG227" s="26">
        <f t="shared" si="378"/>
        <v>0</v>
      </c>
      <c r="BH227" s="26">
        <f t="shared" si="396"/>
        <v>0</v>
      </c>
      <c r="BI227" s="16">
        <f t="shared" si="411"/>
        <v>2.6676781825088827E-3</v>
      </c>
      <c r="BJ227" s="29">
        <f t="shared" si="412"/>
        <v>0.21392503441810573</v>
      </c>
      <c r="BK227" s="29">
        <f t="shared" si="413"/>
        <v>80.191469803495835</v>
      </c>
      <c r="BL227" s="34"/>
      <c r="BM227" s="4"/>
      <c r="BN227" s="5"/>
      <c r="BO227" s="6"/>
      <c r="BP227" s="32"/>
      <c r="BQ227" s="3"/>
      <c r="BR227" s="4"/>
      <c r="BS227" s="5"/>
      <c r="BT227" s="6"/>
      <c r="BU227" s="14"/>
      <c r="BV227" s="13"/>
      <c r="BW227" s="2"/>
      <c r="BX227" s="26">
        <f t="shared" si="379"/>
        <v>0</v>
      </c>
      <c r="BY227" s="26">
        <f t="shared" si="397"/>
        <v>0</v>
      </c>
      <c r="BZ227" s="16">
        <f t="shared" si="414"/>
        <v>2.0284144664428731E-3</v>
      </c>
      <c r="CA227" s="29">
        <f t="shared" si="415"/>
        <v>0.13294421653161315</v>
      </c>
      <c r="CB227" s="29">
        <f t="shared" si="416"/>
        <v>65.540952665729421</v>
      </c>
      <c r="CC227" s="34"/>
      <c r="CD227" s="4"/>
      <c r="CE227" s="5"/>
      <c r="CF227" s="6"/>
      <c r="CG227" s="32"/>
      <c r="CH227" s="3"/>
      <c r="CI227" s="4"/>
      <c r="CJ227" s="5"/>
      <c r="CK227" s="6"/>
      <c r="CL227" s="14"/>
      <c r="CM227" s="13"/>
      <c r="CN227" s="2"/>
      <c r="CO227" s="26">
        <f t="shared" si="380"/>
        <v>0</v>
      </c>
      <c r="CP227" s="26">
        <f t="shared" si="398"/>
        <v>0</v>
      </c>
      <c r="CQ227" s="16">
        <f t="shared" si="417"/>
        <v>2.2223859694922182E-3</v>
      </c>
      <c r="CR227" s="29">
        <f t="shared" si="418"/>
        <v>0.17203723796560622</v>
      </c>
      <c r="CS227" s="29">
        <f t="shared" si="419"/>
        <v>77.411052952657968</v>
      </c>
      <c r="CT227" s="34"/>
      <c r="CU227" s="4"/>
      <c r="CV227" s="5"/>
      <c r="CW227" s="6"/>
      <c r="CX227" s="32"/>
      <c r="CY227" s="3"/>
      <c r="CZ227" s="4"/>
      <c r="DA227" s="5"/>
      <c r="DB227" s="6"/>
      <c r="DC227" s="14"/>
      <c r="DD227" s="13"/>
      <c r="DE227" s="2"/>
      <c r="DF227" s="26">
        <f t="shared" si="381"/>
        <v>0</v>
      </c>
      <c r="DG227" s="26">
        <f t="shared" si="399"/>
        <v>0</v>
      </c>
      <c r="DH227" s="16">
        <f t="shared" si="420"/>
        <v>2.1615857756744697E-3</v>
      </c>
      <c r="DI227" s="29">
        <f t="shared" si="421"/>
        <v>0.1045336733072279</v>
      </c>
      <c r="DJ227" s="29">
        <f t="shared" si="422"/>
        <v>48.359715577148791</v>
      </c>
      <c r="DK227" s="34"/>
      <c r="DL227" s="4"/>
      <c r="DM227" s="5"/>
      <c r="DN227" s="6"/>
      <c r="DO227" s="32"/>
      <c r="DP227" s="3"/>
      <c r="DQ227" s="4"/>
      <c r="DR227" s="5"/>
      <c r="DS227" s="6"/>
      <c r="DT227" s="14"/>
      <c r="DU227" s="13"/>
      <c r="DV227" s="2"/>
      <c r="DW227" s="26">
        <f t="shared" si="382"/>
        <v>0</v>
      </c>
      <c r="DX227" s="26">
        <f t="shared" si="400"/>
        <v>0</v>
      </c>
      <c r="DY227" s="16">
        <f t="shared" si="423"/>
        <v>2.238000764999676E-3</v>
      </c>
      <c r="DZ227" s="29">
        <f t="shared" si="424"/>
        <v>0.10205639002114575</v>
      </c>
      <c r="EA227" s="29">
        <f t="shared" si="425"/>
        <v>45.601588532593965</v>
      </c>
      <c r="EB227" s="34"/>
      <c r="EC227" s="4"/>
      <c r="ED227" s="5"/>
      <c r="EE227" s="6"/>
      <c r="EF227" s="32"/>
      <c r="EG227" s="3"/>
      <c r="EH227" s="4"/>
      <c r="EI227" s="5"/>
      <c r="EJ227" s="6"/>
      <c r="EK227" s="14"/>
      <c r="EL227" s="13"/>
      <c r="EM227" s="2"/>
      <c r="EN227" s="26">
        <f t="shared" si="383"/>
        <v>0</v>
      </c>
      <c r="EO227" s="26">
        <f t="shared" si="401"/>
        <v>0</v>
      </c>
      <c r="EP227" s="16">
        <f t="shared" si="426"/>
        <v>2.3894788946783119E-3</v>
      </c>
      <c r="EQ227" s="29">
        <f t="shared" si="427"/>
        <v>0.20053560685791613</v>
      </c>
      <c r="ER227" s="29">
        <f t="shared" si="428"/>
        <v>83.924410173505052</v>
      </c>
      <c r="ES227" s="34"/>
      <c r="ET227" s="4"/>
      <c r="EU227" s="5"/>
      <c r="EV227" s="6"/>
      <c r="EW227" s="32"/>
      <c r="EX227" s="3"/>
      <c r="EY227" s="4"/>
      <c r="EZ227" s="5"/>
      <c r="FA227" s="6"/>
      <c r="FB227" s="14"/>
      <c r="FC227" s="13"/>
      <c r="FD227" s="2"/>
      <c r="FE227" s="26">
        <f t="shared" si="384"/>
        <v>0</v>
      </c>
      <c r="FF227" s="26">
        <f t="shared" si="402"/>
        <v>0</v>
      </c>
      <c r="FG227" s="16">
        <f t="shared" si="429"/>
        <v>2.3084879265317009E-3</v>
      </c>
      <c r="FH227" s="29">
        <f t="shared" si="430"/>
        <v>0.18357188804075761</v>
      </c>
      <c r="FI227" s="29">
        <f t="shared" si="431"/>
        <v>79.520402048001245</v>
      </c>
      <c r="FJ227" s="34"/>
      <c r="FK227" s="4"/>
      <c r="FL227" s="5"/>
      <c r="FM227" s="6"/>
      <c r="FN227" s="32"/>
      <c r="FO227" s="3"/>
      <c r="FP227" s="4"/>
      <c r="FQ227" s="5"/>
      <c r="FR227" s="6"/>
      <c r="FS227" s="14"/>
      <c r="FT227" s="13"/>
      <c r="FU227" s="2"/>
      <c r="FV227" s="26">
        <f t="shared" si="385"/>
        <v>0</v>
      </c>
      <c r="FW227" s="26">
        <f t="shared" si="403"/>
        <v>0</v>
      </c>
      <c r="FX227" s="16">
        <f t="shared" si="432"/>
        <v>2.1731916949527803E-3</v>
      </c>
      <c r="FY227" s="29">
        <f t="shared" si="433"/>
        <v>0.18381374470681128</v>
      </c>
      <c r="FZ227" s="29">
        <f t="shared" si="434"/>
        <v>84.582388720570378</v>
      </c>
      <c r="GA227" s="34"/>
      <c r="GB227" s="4"/>
      <c r="GC227" s="5"/>
      <c r="GD227" s="6"/>
      <c r="GE227" s="32"/>
      <c r="GF227" s="3"/>
      <c r="GG227" s="4"/>
      <c r="GH227" s="5"/>
      <c r="GI227" s="6"/>
      <c r="GJ227" s="14"/>
      <c r="GK227" s="13"/>
      <c r="GL227" s="2"/>
      <c r="GM227" s="26">
        <f t="shared" si="386"/>
        <v>0</v>
      </c>
      <c r="GN227" s="26">
        <f t="shared" si="404"/>
        <v>0</v>
      </c>
      <c r="GO227" s="16">
        <f t="shared" si="435"/>
        <v>2.2456392767278358E-3</v>
      </c>
      <c r="GP227" s="29">
        <f t="shared" si="436"/>
        <v>0.18944005654912599</v>
      </c>
      <c r="GQ227" s="29">
        <f t="shared" si="437"/>
        <v>84.359076950757085</v>
      </c>
      <c r="GR227" s="34"/>
      <c r="GS227" s="4"/>
      <c r="GT227" s="5"/>
      <c r="GU227" s="6"/>
      <c r="GV227" s="32"/>
      <c r="GW227" s="3"/>
      <c r="GX227" s="4"/>
      <c r="GY227" s="5"/>
      <c r="GZ227" s="6"/>
      <c r="HA227" s="14"/>
      <c r="HB227" s="13"/>
      <c r="HC227" s="2"/>
      <c r="HD227" s="26">
        <f t="shared" si="387"/>
        <v>0</v>
      </c>
      <c r="HE227" s="26">
        <f t="shared" si="405"/>
        <v>0</v>
      </c>
      <c r="HF227" s="16">
        <f t="shared" si="438"/>
        <v>3.1634427816242127E-3</v>
      </c>
      <c r="HG227" s="29">
        <f t="shared" si="439"/>
        <v>0.13741279621146102</v>
      </c>
      <c r="HH227" s="29">
        <f t="shared" si="440"/>
        <v>43.437737205067734</v>
      </c>
      <c r="HI227" s="34"/>
      <c r="HJ227" s="4"/>
      <c r="HK227" s="5"/>
      <c r="HL227" s="6"/>
      <c r="HM227" s="32"/>
      <c r="HN227" s="3"/>
      <c r="HO227" s="4"/>
      <c r="HP227" s="5"/>
      <c r="HQ227" s="6"/>
      <c r="HR227" s="14"/>
      <c r="HS227" s="13"/>
      <c r="HT227" s="2"/>
      <c r="HU227" s="26">
        <f t="shared" si="388"/>
        <v>0</v>
      </c>
      <c r="HV227" s="26">
        <f t="shared" si="406"/>
        <v>0</v>
      </c>
      <c r="HW227" s="16">
        <f t="shared" si="441"/>
        <v>7.3033944334040215E-12</v>
      </c>
      <c r="HX227" s="29">
        <f t="shared" si="442"/>
        <v>4.8291930914636132E-14</v>
      </c>
      <c r="HY227" s="29">
        <f t="shared" si="443"/>
        <v>6.6122583621884244E-3</v>
      </c>
      <c r="HZ227" s="34"/>
      <c r="IA227" s="4"/>
      <c r="IB227" s="5"/>
      <c r="IC227" s="6"/>
      <c r="ID227" s="32"/>
      <c r="IE227" s="3"/>
      <c r="IF227" s="4"/>
      <c r="IG227" s="5"/>
      <c r="IH227" s="6"/>
      <c r="II227" s="14"/>
      <c r="IJ227" s="13"/>
      <c r="IK227" s="2"/>
      <c r="IL227" s="26">
        <f t="shared" si="389"/>
        <v>0</v>
      </c>
      <c r="IM227" s="26">
        <f t="shared" si="390"/>
        <v>328.24262543817292</v>
      </c>
      <c r="IN227" s="16">
        <f t="shared" si="444"/>
        <v>7.1972742912357985E-4</v>
      </c>
      <c r="IO227" s="29">
        <f t="shared" si="445"/>
        <v>3.5718926718429174E-3</v>
      </c>
      <c r="IP227" s="29">
        <f t="shared" si="446"/>
        <v>4.9628408301632341</v>
      </c>
      <c r="IQ227" s="34"/>
      <c r="IR227" s="4"/>
      <c r="IS227" s="5"/>
      <c r="IT227" s="6"/>
      <c r="IU227" s="32"/>
      <c r="IV227" s="3"/>
      <c r="IW227" s="4"/>
      <c r="IX227" s="5"/>
      <c r="IY227" s="6"/>
      <c r="IZ227" s="14"/>
      <c r="JA227" s="13"/>
      <c r="JB227" s="2"/>
      <c r="JC227" s="26">
        <f t="shared" si="369"/>
        <v>0</v>
      </c>
      <c r="JD227" s="26">
        <f t="shared" si="391"/>
        <v>387.75008087306077</v>
      </c>
      <c r="JE227" s="16">
        <f t="shared" si="447"/>
        <v>8.6912912108018815E-4</v>
      </c>
      <c r="JF227" s="29">
        <f t="shared" si="448"/>
        <v>4.558998215383055E-3</v>
      </c>
      <c r="JG227" s="29">
        <f t="shared" si="449"/>
        <v>5.2454786116439767</v>
      </c>
      <c r="JH227" s="34"/>
      <c r="JI227" s="4"/>
      <c r="JJ227" s="5"/>
      <c r="JK227" s="6"/>
      <c r="JL227" s="32"/>
      <c r="JM227" s="3"/>
      <c r="JN227" s="4"/>
      <c r="JO227" s="5"/>
      <c r="JP227" s="6"/>
      <c r="JQ227" s="14"/>
      <c r="JR227" s="99"/>
      <c r="JS227" s="99"/>
      <c r="JT227" s="99"/>
      <c r="JU227" s="99"/>
      <c r="JV227" s="99"/>
      <c r="JW227" s="99"/>
      <c r="JX227" s="99"/>
      <c r="JY227" s="99"/>
      <c r="JZ227" s="99"/>
      <c r="KA227" s="99"/>
      <c r="KB227" s="99"/>
      <c r="KC227" s="99"/>
      <c r="KD227" s="99"/>
      <c r="KE227" s="99"/>
      <c r="KF227" s="99"/>
      <c r="KG227" s="99"/>
      <c r="KH227" s="99"/>
      <c r="KI227" s="99"/>
      <c r="KJ227" s="99"/>
      <c r="KK227" s="99"/>
      <c r="KL227" s="99"/>
      <c r="KM227" s="99"/>
      <c r="KN227" s="99"/>
      <c r="KO227" s="99"/>
      <c r="KP227" s="99"/>
      <c r="KQ227" s="99"/>
      <c r="KR227" s="99"/>
      <c r="KS227" s="99"/>
      <c r="KT227" s="99"/>
      <c r="KU227" s="99"/>
      <c r="KV227" s="99"/>
      <c r="KW227" s="99"/>
      <c r="KX227" s="99"/>
      <c r="KY227" s="99"/>
      <c r="KZ227" s="99"/>
      <c r="LA227" s="99"/>
      <c r="LB227" s="99"/>
      <c r="LC227" s="99"/>
      <c r="LD227" s="99"/>
      <c r="LE227" s="99"/>
      <c r="LF227" s="99"/>
      <c r="LG227" s="99"/>
      <c r="LH227" s="99"/>
      <c r="LI227" s="99"/>
      <c r="LJ227" s="99"/>
      <c r="LK227" s="99"/>
      <c r="LL227" s="99"/>
      <c r="LM227" s="99"/>
      <c r="LN227" s="99"/>
      <c r="LO227" s="99"/>
      <c r="LP227" s="99"/>
      <c r="LQ227" s="99"/>
      <c r="LR227" s="99"/>
      <c r="LS227" s="99"/>
      <c r="LT227" s="99"/>
      <c r="LU227" s="99"/>
      <c r="LV227" s="99"/>
      <c r="LW227" s="99"/>
      <c r="LX227" s="99"/>
      <c r="LY227" s="99"/>
      <c r="LZ227" s="99"/>
      <c r="MA227" s="99"/>
      <c r="MB227" s="99"/>
      <c r="MC227" s="99"/>
      <c r="MD227" s="99"/>
      <c r="ME227" s="99"/>
      <c r="MF227" s="99"/>
    </row>
    <row r="228" spans="1:344" ht="17.25" customHeight="1" x14ac:dyDescent="0.25">
      <c r="A228" s="155" t="s">
        <v>38</v>
      </c>
      <c r="B228" s="79" t="s">
        <v>1</v>
      </c>
      <c r="C228" s="80">
        <v>45362</v>
      </c>
      <c r="D228" s="50"/>
      <c r="G228" s="36">
        <f t="shared" si="373"/>
        <v>0</v>
      </c>
      <c r="H228" s="27">
        <f t="shared" si="374"/>
        <v>0</v>
      </c>
      <c r="I228" s="47"/>
      <c r="K228" s="105"/>
      <c r="L228" s="89">
        <f t="shared" si="375"/>
        <v>0</v>
      </c>
      <c r="M228" s="27">
        <f t="shared" si="392"/>
        <v>0</v>
      </c>
      <c r="N228" s="35">
        <f t="shared" si="393"/>
        <v>0</v>
      </c>
      <c r="O228" s="97" t="e">
        <f>SUM($Z228,$BH228,$AQ228,$BY228,$CP228,$DG228,$DX228,$EO228,$FF228,$FW228,$GN228)/I228</f>
        <v>#DIV/0!</v>
      </c>
      <c r="P228" s="149">
        <f t="shared" si="450"/>
        <v>0</v>
      </c>
      <c r="Q228" s="131">
        <f t="shared" si="457"/>
        <v>0</v>
      </c>
      <c r="R228" s="133">
        <f t="shared" si="453"/>
        <v>0</v>
      </c>
      <c r="S228" s="135">
        <f t="shared" si="454"/>
        <v>0</v>
      </c>
      <c r="T228" s="137">
        <f t="shared" si="455"/>
        <v>0</v>
      </c>
      <c r="U228" s="143">
        <f t="shared" si="456"/>
        <v>0</v>
      </c>
      <c r="W228" s="11">
        <v>0</v>
      </c>
      <c r="X228" s="1">
        <v>0</v>
      </c>
      <c r="Y228" s="27">
        <f t="shared" si="376"/>
        <v>0</v>
      </c>
      <c r="Z228" s="27">
        <f t="shared" si="394"/>
        <v>0</v>
      </c>
      <c r="AA228" s="15">
        <f t="shared" si="407"/>
        <v>5.1668547237058036E-6</v>
      </c>
      <c r="AB228" s="43">
        <f t="shared" si="451"/>
        <v>5.0093441218443539E-5</v>
      </c>
      <c r="AC228" s="43">
        <f t="shared" si="452"/>
        <v>9.6951518664947507</v>
      </c>
      <c r="AD228" s="33"/>
      <c r="AH228" s="31"/>
      <c r="AP228" s="27">
        <f t="shared" si="377"/>
        <v>0</v>
      </c>
      <c r="AQ228" s="27">
        <f t="shared" si="395"/>
        <v>0</v>
      </c>
      <c r="AR228" s="15">
        <f t="shared" si="408"/>
        <v>1.5603389881877409E-3</v>
      </c>
      <c r="AS228" s="28">
        <f t="shared" si="409"/>
        <v>0.10444175912166188</v>
      </c>
      <c r="AT228" s="28">
        <f t="shared" si="410"/>
        <v>66.935300541945693</v>
      </c>
      <c r="AU228" s="33"/>
      <c r="AY228" s="31"/>
      <c r="BG228" s="27">
        <f t="shared" si="378"/>
        <v>0</v>
      </c>
      <c r="BH228" s="27">
        <f t="shared" si="396"/>
        <v>0</v>
      </c>
      <c r="BI228" s="15">
        <f t="shared" si="411"/>
        <v>2.1489629803543779E-3</v>
      </c>
      <c r="BJ228" s="28">
        <f t="shared" si="412"/>
        <v>0.1604437758135793</v>
      </c>
      <c r="BK228" s="28">
        <f t="shared" si="413"/>
        <v>74.66102361015129</v>
      </c>
      <c r="BL228" s="33"/>
      <c r="BP228" s="31"/>
      <c r="BX228" s="27">
        <f t="shared" si="379"/>
        <v>0</v>
      </c>
      <c r="BY228" s="27">
        <f t="shared" si="397"/>
        <v>0</v>
      </c>
      <c r="BZ228" s="15">
        <f t="shared" si="414"/>
        <v>1.6340005424123145E-3</v>
      </c>
      <c r="CA228" s="28">
        <f t="shared" si="415"/>
        <v>9.970816239870986E-2</v>
      </c>
      <c r="CB228" s="28">
        <f t="shared" si="416"/>
        <v>61.020886964644632</v>
      </c>
      <c r="CC228" s="33"/>
      <c r="CG228" s="31"/>
      <c r="CO228" s="27">
        <f t="shared" si="380"/>
        <v>0</v>
      </c>
      <c r="CP228" s="27">
        <f t="shared" si="398"/>
        <v>0</v>
      </c>
      <c r="CQ228" s="15">
        <f t="shared" si="417"/>
        <v>1.7902553643131759E-3</v>
      </c>
      <c r="CR228" s="28">
        <f t="shared" si="418"/>
        <v>0.12902792847420466</v>
      </c>
      <c r="CS228" s="28">
        <f t="shared" si="419"/>
        <v>72.072359645578103</v>
      </c>
      <c r="CT228" s="33"/>
      <c r="CX228" s="31"/>
      <c r="DF228" s="27">
        <f t="shared" si="381"/>
        <v>0</v>
      </c>
      <c r="DG228" s="27">
        <f t="shared" si="399"/>
        <v>0</v>
      </c>
      <c r="DH228" s="15">
        <f t="shared" si="420"/>
        <v>1.7412774304044339E-3</v>
      </c>
      <c r="DI228" s="28">
        <f t="shared" si="421"/>
        <v>7.8400254980420928E-2</v>
      </c>
      <c r="DJ228" s="28">
        <f t="shared" si="422"/>
        <v>45.024562778724736</v>
      </c>
      <c r="DK228" s="33"/>
      <c r="DO228" s="31"/>
      <c r="DW228" s="27">
        <f t="shared" si="382"/>
        <v>0</v>
      </c>
      <c r="DX228" s="27">
        <f t="shared" si="400"/>
        <v>0</v>
      </c>
      <c r="DY228" s="15">
        <f t="shared" si="423"/>
        <v>1.8028339495830725E-3</v>
      </c>
      <c r="DZ228" s="28">
        <f t="shared" si="424"/>
        <v>7.6542292515859311E-2</v>
      </c>
      <c r="EA228" s="28">
        <f t="shared" si="425"/>
        <v>42.456651392415068</v>
      </c>
      <c r="EB228" s="33"/>
      <c r="EF228" s="31"/>
      <c r="EN228" s="27">
        <f t="shared" si="383"/>
        <v>0</v>
      </c>
      <c r="EO228" s="27">
        <f t="shared" si="401"/>
        <v>0</v>
      </c>
      <c r="EP228" s="15">
        <f t="shared" si="426"/>
        <v>1.9248579984908623E-3</v>
      </c>
      <c r="EQ228" s="28">
        <f t="shared" si="427"/>
        <v>0.15040170514343709</v>
      </c>
      <c r="ER228" s="28">
        <f t="shared" si="428"/>
        <v>78.136519816711598</v>
      </c>
      <c r="ES228" s="33"/>
      <c r="EW228" s="31"/>
      <c r="FE228" s="27">
        <f t="shared" si="384"/>
        <v>0</v>
      </c>
      <c r="FF228" s="27">
        <f t="shared" si="402"/>
        <v>0</v>
      </c>
      <c r="FG228" s="15">
        <f t="shared" si="429"/>
        <v>1.8596152741505369E-3</v>
      </c>
      <c r="FH228" s="28">
        <f t="shared" si="430"/>
        <v>0.1376789160305682</v>
      </c>
      <c r="FI228" s="28">
        <f t="shared" si="431"/>
        <v>74.036236389518393</v>
      </c>
      <c r="FJ228" s="33"/>
      <c r="FN228" s="31"/>
      <c r="FV228" s="27">
        <f t="shared" si="385"/>
        <v>0</v>
      </c>
      <c r="FW228" s="27">
        <f t="shared" si="403"/>
        <v>0</v>
      </c>
      <c r="FX228" s="15">
        <f t="shared" si="432"/>
        <v>1.7506266431564063E-3</v>
      </c>
      <c r="FY228" s="28">
        <f t="shared" si="433"/>
        <v>0.13786030853010844</v>
      </c>
      <c r="FZ228" s="28">
        <f t="shared" si="434"/>
        <v>78.749120532944829</v>
      </c>
      <c r="GA228" s="33"/>
      <c r="GE228" s="31"/>
      <c r="GM228" s="27">
        <f t="shared" si="386"/>
        <v>0</v>
      </c>
      <c r="GN228" s="27">
        <f t="shared" si="404"/>
        <v>0</v>
      </c>
      <c r="GO228" s="15">
        <f t="shared" si="435"/>
        <v>1.8089871951418679E-3</v>
      </c>
      <c r="GP228" s="28">
        <f t="shared" si="436"/>
        <v>0.14208004241184449</v>
      </c>
      <c r="GQ228" s="28">
        <f t="shared" si="437"/>
        <v>78.541209574842796</v>
      </c>
      <c r="GR228" s="33"/>
      <c r="GV228" s="31"/>
      <c r="HD228" s="27">
        <f t="shared" si="387"/>
        <v>0</v>
      </c>
      <c r="HE228" s="27">
        <f t="shared" si="405"/>
        <v>0</v>
      </c>
      <c r="HF228" s="15">
        <f t="shared" si="438"/>
        <v>2.5483289074195049E-3</v>
      </c>
      <c r="HG228" s="28">
        <f t="shared" si="439"/>
        <v>0.10305959715859576</v>
      </c>
      <c r="HH228" s="28">
        <f t="shared" si="440"/>
        <v>40.442031190925128</v>
      </c>
      <c r="HI228" s="33"/>
      <c r="HM228" s="31"/>
      <c r="HU228" s="27">
        <f t="shared" si="388"/>
        <v>0</v>
      </c>
      <c r="HV228" s="27">
        <f t="shared" si="406"/>
        <v>0</v>
      </c>
      <c r="HW228" s="15">
        <f t="shared" si="441"/>
        <v>5.8832899602421286E-12</v>
      </c>
      <c r="HX228" s="28">
        <f t="shared" si="442"/>
        <v>3.6218948185977097E-14</v>
      </c>
      <c r="HY228" s="28">
        <f t="shared" si="443"/>
        <v>6.1562405441064642E-3</v>
      </c>
      <c r="HZ228" s="33"/>
      <c r="ID228" s="31"/>
      <c r="II228" s="12"/>
      <c r="IL228" s="27">
        <f t="shared" si="389"/>
        <v>0</v>
      </c>
      <c r="IM228" s="27">
        <f t="shared" si="390"/>
        <v>305.50816947444525</v>
      </c>
      <c r="IN228" s="15">
        <f t="shared" si="444"/>
        <v>5.7978042901621709E-4</v>
      </c>
      <c r="IO228" s="28">
        <f t="shared" si="445"/>
        <v>2.6789195038821878E-3</v>
      </c>
      <c r="IP228" s="28">
        <f t="shared" si="446"/>
        <v>4.62057594532439</v>
      </c>
      <c r="IQ228" s="33"/>
      <c r="IU228" s="31"/>
      <c r="JC228" s="27">
        <f t="shared" si="369"/>
        <v>0</v>
      </c>
      <c r="JD228" s="27">
        <f t="shared" si="391"/>
        <v>360.88328070788026</v>
      </c>
      <c r="JE228" s="15">
        <f t="shared" si="447"/>
        <v>7.0013179198126268E-4</v>
      </c>
      <c r="JF228" s="28">
        <f t="shared" si="448"/>
        <v>3.4192486615372913E-3</v>
      </c>
      <c r="JG228" s="28">
        <f t="shared" si="449"/>
        <v>4.8837214660133572</v>
      </c>
      <c r="JH228" s="33"/>
      <c r="JL228" s="31"/>
      <c r="JR228" s="99"/>
      <c r="JS228" s="99"/>
      <c r="JT228" s="99"/>
      <c r="JU228" s="99"/>
      <c r="JV228" s="99"/>
      <c r="JW228" s="99"/>
      <c r="JX228" s="99"/>
      <c r="JY228" s="99"/>
      <c r="JZ228" s="99"/>
      <c r="KA228" s="99"/>
      <c r="KB228" s="99"/>
      <c r="KC228" s="99"/>
      <c r="KD228" s="99"/>
      <c r="KE228" s="99"/>
      <c r="KF228" s="99"/>
      <c r="KG228" s="99"/>
      <c r="KH228" s="99"/>
      <c r="KI228" s="99"/>
      <c r="KJ228" s="99"/>
      <c r="KK228" s="99"/>
      <c r="KL228" s="99"/>
      <c r="KM228" s="99"/>
      <c r="KN228" s="99"/>
      <c r="KO228" s="99"/>
      <c r="KP228" s="99"/>
      <c r="KQ228" s="99"/>
      <c r="KR228" s="99"/>
      <c r="KS228" s="99"/>
      <c r="KT228" s="99"/>
      <c r="KU228" s="99"/>
      <c r="KV228" s="99"/>
      <c r="KW228" s="99"/>
      <c r="KX228" s="99"/>
      <c r="KY228" s="99"/>
      <c r="KZ228" s="99"/>
      <c r="LA228" s="99"/>
      <c r="LB228" s="99"/>
      <c r="LC228" s="99"/>
      <c r="LD228" s="99"/>
      <c r="LE228" s="99"/>
      <c r="LF228" s="99"/>
      <c r="LG228" s="99"/>
      <c r="LH228" s="99"/>
      <c r="LI228" s="99"/>
      <c r="LJ228" s="99"/>
      <c r="LK228" s="99"/>
      <c r="LL228" s="99"/>
      <c r="LM228" s="99"/>
      <c r="LN228" s="99"/>
      <c r="LO228" s="99"/>
      <c r="LP228" s="99"/>
      <c r="LQ228" s="99"/>
      <c r="LR228" s="99"/>
      <c r="LS228" s="99"/>
      <c r="LT228" s="99"/>
      <c r="LU228" s="99"/>
      <c r="LV228" s="99"/>
      <c r="LW228" s="99"/>
      <c r="LX228" s="99"/>
      <c r="LY228" s="99"/>
      <c r="LZ228" s="99"/>
      <c r="MA228" s="99"/>
      <c r="MB228" s="99"/>
      <c r="MC228" s="99"/>
      <c r="MD228" s="99"/>
      <c r="ME228" s="99"/>
      <c r="MF228" s="99"/>
    </row>
    <row r="229" spans="1:344" ht="17.25" customHeight="1" x14ac:dyDescent="0.25">
      <c r="A229" s="156"/>
      <c r="B229" s="81" t="s">
        <v>2</v>
      </c>
      <c r="C229" s="82">
        <v>45363</v>
      </c>
      <c r="D229" s="49"/>
      <c r="G229" s="89">
        <f t="shared" si="373"/>
        <v>0</v>
      </c>
      <c r="H229" s="35">
        <f t="shared" si="374"/>
        <v>0</v>
      </c>
      <c r="I229" s="39"/>
      <c r="L229" s="89">
        <f t="shared" si="375"/>
        <v>0</v>
      </c>
      <c r="M229" s="35">
        <f t="shared" si="392"/>
        <v>0</v>
      </c>
      <c r="N229" s="35">
        <f t="shared" si="393"/>
        <v>0</v>
      </c>
      <c r="O229" s="97" t="e">
        <f>SUM($Z229,$BH229,$AQ229,$BY229,$CP229,$DG229,$DX229,$EO229,$FF229,$FW229,$GN229)/I229</f>
        <v>#DIV/0!</v>
      </c>
      <c r="P229" s="150"/>
      <c r="Q229" s="132">
        <f t="shared" si="457"/>
        <v>0</v>
      </c>
      <c r="R229" s="134">
        <f t="shared" si="453"/>
        <v>0</v>
      </c>
      <c r="S229" s="136">
        <f t="shared" si="454"/>
        <v>0</v>
      </c>
      <c r="T229" s="138">
        <f t="shared" si="455"/>
        <v>0</v>
      </c>
      <c r="U229" s="144">
        <f t="shared" si="456"/>
        <v>0</v>
      </c>
      <c r="W229" s="11">
        <v>0</v>
      </c>
      <c r="X229" s="1">
        <v>0</v>
      </c>
      <c r="Y229" s="35">
        <f t="shared" si="376"/>
        <v>0</v>
      </c>
      <c r="Z229" s="35">
        <f t="shared" si="394"/>
        <v>0</v>
      </c>
      <c r="AA229" s="15">
        <f t="shared" si="407"/>
        <v>4.1621885274296745E-6</v>
      </c>
      <c r="AB229" s="43">
        <f t="shared" si="451"/>
        <v>3.7570080913832656E-5</v>
      </c>
      <c r="AC229" s="43">
        <f t="shared" si="452"/>
        <v>9.0265207032882167</v>
      </c>
      <c r="AD229" s="33"/>
      <c r="AH229" s="31"/>
      <c r="AP229" s="35">
        <f t="shared" si="377"/>
        <v>0</v>
      </c>
      <c r="AQ229" s="35">
        <f t="shared" si="395"/>
        <v>0</v>
      </c>
      <c r="AR229" s="15">
        <f t="shared" si="408"/>
        <v>1.2569397404845689E-3</v>
      </c>
      <c r="AS229" s="28">
        <f t="shared" si="409"/>
        <v>7.8331319341246416E-2</v>
      </c>
      <c r="AT229" s="28">
        <f t="shared" si="410"/>
        <v>62.319072918363233</v>
      </c>
      <c r="AU229" s="33"/>
      <c r="AY229" s="31"/>
      <c r="BG229" s="35">
        <f t="shared" si="378"/>
        <v>0</v>
      </c>
      <c r="BH229" s="35">
        <f t="shared" si="396"/>
        <v>0</v>
      </c>
      <c r="BI229" s="15">
        <f t="shared" si="411"/>
        <v>1.7311090675076937E-3</v>
      </c>
      <c r="BJ229" s="28">
        <f t="shared" si="412"/>
        <v>0.12033283186018448</v>
      </c>
      <c r="BK229" s="28">
        <f t="shared" si="413"/>
        <v>69.511987499106368</v>
      </c>
      <c r="BL229" s="33"/>
      <c r="BP229" s="31"/>
      <c r="BX229" s="35">
        <f t="shared" si="379"/>
        <v>0</v>
      </c>
      <c r="BY229" s="35">
        <f t="shared" si="397"/>
        <v>0</v>
      </c>
      <c r="BZ229" s="15">
        <f t="shared" si="414"/>
        <v>1.3162782147210313E-3</v>
      </c>
      <c r="CA229" s="28">
        <f t="shared" si="415"/>
        <v>7.4781121799032402E-2</v>
      </c>
      <c r="CB229" s="28">
        <f t="shared" si="416"/>
        <v>56.81254993260017</v>
      </c>
      <c r="CC229" s="33"/>
      <c r="CG229" s="31"/>
      <c r="CO229" s="35">
        <f t="shared" si="380"/>
        <v>0</v>
      </c>
      <c r="CP229" s="35">
        <f t="shared" si="398"/>
        <v>0</v>
      </c>
      <c r="CQ229" s="15">
        <f t="shared" si="417"/>
        <v>1.442150154585614E-3</v>
      </c>
      <c r="CR229" s="28">
        <f t="shared" si="418"/>
        <v>9.6770946355653503E-2</v>
      </c>
      <c r="CS229" s="28">
        <f t="shared" si="419"/>
        <v>67.101852083814094</v>
      </c>
      <c r="CT229" s="33"/>
      <c r="CX229" s="31"/>
      <c r="DF229" s="35">
        <f t="shared" si="381"/>
        <v>0</v>
      </c>
      <c r="DG229" s="35">
        <f t="shared" si="399"/>
        <v>0</v>
      </c>
      <c r="DH229" s="15">
        <f t="shared" si="420"/>
        <v>1.4026957078257943E-3</v>
      </c>
      <c r="DI229" s="28">
        <f t="shared" si="421"/>
        <v>5.8800191235315699E-2</v>
      </c>
      <c r="DJ229" s="28">
        <f t="shared" si="422"/>
        <v>41.919420518123026</v>
      </c>
      <c r="DK229" s="33"/>
      <c r="DO229" s="31"/>
      <c r="DW229" s="35">
        <f t="shared" si="382"/>
        <v>0</v>
      </c>
      <c r="DX229" s="35">
        <f t="shared" si="400"/>
        <v>0</v>
      </c>
      <c r="DY229" s="15">
        <f t="shared" si="423"/>
        <v>1.4522829038308084E-3</v>
      </c>
      <c r="DZ229" s="28">
        <f t="shared" si="424"/>
        <v>5.7406719386894484E-2</v>
      </c>
      <c r="EA229" s="28">
        <f t="shared" si="425"/>
        <v>39.528606468800234</v>
      </c>
      <c r="EB229" s="33"/>
      <c r="EF229" s="31"/>
      <c r="EN229" s="35">
        <f t="shared" si="383"/>
        <v>0</v>
      </c>
      <c r="EO229" s="35">
        <f t="shared" si="401"/>
        <v>0</v>
      </c>
      <c r="EP229" s="15">
        <f t="shared" si="426"/>
        <v>1.5505800543398614E-3</v>
      </c>
      <c r="EQ229" s="28">
        <f t="shared" si="427"/>
        <v>0.11280127885757782</v>
      </c>
      <c r="ER229" s="28">
        <f t="shared" si="428"/>
        <v>72.747794312110798</v>
      </c>
      <c r="ES229" s="33"/>
      <c r="EW229" s="31"/>
      <c r="FE229" s="35">
        <f t="shared" si="384"/>
        <v>0</v>
      </c>
      <c r="FF229" s="35">
        <f t="shared" si="402"/>
        <v>0</v>
      </c>
      <c r="FG229" s="15">
        <f t="shared" si="429"/>
        <v>1.4980234152879325E-3</v>
      </c>
      <c r="FH229" s="28">
        <f t="shared" si="430"/>
        <v>0.10325918702292615</v>
      </c>
      <c r="FI229" s="28">
        <f t="shared" si="431"/>
        <v>68.930289052310229</v>
      </c>
      <c r="FJ229" s="33"/>
      <c r="FN229" s="31"/>
      <c r="FV229" s="35">
        <f t="shared" si="385"/>
        <v>0</v>
      </c>
      <c r="FW229" s="35">
        <f t="shared" si="403"/>
        <v>0</v>
      </c>
      <c r="FX229" s="15">
        <f t="shared" si="432"/>
        <v>1.4102270180982163E-3</v>
      </c>
      <c r="FY229" s="28">
        <f t="shared" si="433"/>
        <v>0.10339523139758133</v>
      </c>
      <c r="FZ229" s="28">
        <f t="shared" si="434"/>
        <v>73.318146703086569</v>
      </c>
      <c r="GA229" s="33"/>
      <c r="GE229" s="31"/>
      <c r="GM229" s="35">
        <f t="shared" si="386"/>
        <v>0</v>
      </c>
      <c r="GN229" s="35">
        <f t="shared" si="404"/>
        <v>0</v>
      </c>
      <c r="GO229" s="15">
        <f t="shared" si="435"/>
        <v>1.4572396849753936E-3</v>
      </c>
      <c r="GP229" s="28">
        <f t="shared" si="436"/>
        <v>0.10656003180888338</v>
      </c>
      <c r="GQ229" s="28">
        <f t="shared" si="437"/>
        <v>73.12457443175019</v>
      </c>
      <c r="GR229" s="33"/>
      <c r="GV229" s="31"/>
      <c r="HD229" s="35">
        <f t="shared" si="387"/>
        <v>0</v>
      </c>
      <c r="HE229" s="35">
        <f t="shared" si="405"/>
        <v>0</v>
      </c>
      <c r="HF229" s="15">
        <f t="shared" si="438"/>
        <v>2.0528205087546013E-3</v>
      </c>
      <c r="HG229" s="28">
        <f t="shared" si="439"/>
        <v>7.7294697868946827E-2</v>
      </c>
      <c r="HH229" s="28">
        <f t="shared" si="440"/>
        <v>37.652925591550982</v>
      </c>
      <c r="HI229" s="33"/>
      <c r="HM229" s="31"/>
      <c r="HU229" s="35">
        <f t="shared" si="388"/>
        <v>0</v>
      </c>
      <c r="HV229" s="35">
        <f t="shared" si="406"/>
        <v>0</v>
      </c>
      <c r="HW229" s="15">
        <f t="shared" si="441"/>
        <v>4.7393169124172697E-12</v>
      </c>
      <c r="HX229" s="28">
        <f t="shared" si="442"/>
        <v>2.7164211139482823E-14</v>
      </c>
      <c r="HY229" s="28">
        <f t="shared" si="443"/>
        <v>5.7316722307198115E-3</v>
      </c>
      <c r="HZ229" s="33"/>
      <c r="ID229" s="31"/>
      <c r="II229" s="12"/>
      <c r="IL229" s="35">
        <f t="shared" si="389"/>
        <v>0</v>
      </c>
      <c r="IM229" s="35">
        <f t="shared" si="390"/>
        <v>284.36582298484115</v>
      </c>
      <c r="IN229" s="15">
        <f t="shared" si="444"/>
        <v>4.6704534559639717E-4</v>
      </c>
      <c r="IO229" s="28">
        <f t="shared" si="445"/>
        <v>2.0091896279116409E-3</v>
      </c>
      <c r="IP229" s="28">
        <f t="shared" si="446"/>
        <v>4.301915535302018</v>
      </c>
      <c r="IQ229" s="33"/>
      <c r="IU229" s="31"/>
      <c r="JC229" s="35">
        <f t="shared" si="369"/>
        <v>0</v>
      </c>
      <c r="JD229" s="35">
        <f t="shared" si="391"/>
        <v>335.90067065495685</v>
      </c>
      <c r="JE229" s="15">
        <f t="shared" si="447"/>
        <v>5.6399505465157284E-4</v>
      </c>
      <c r="JF229" s="28">
        <f t="shared" si="448"/>
        <v>2.5644364961529683E-3</v>
      </c>
      <c r="JG229" s="28">
        <f t="shared" si="449"/>
        <v>4.5469130890469183</v>
      </c>
      <c r="JH229" s="33"/>
      <c r="JL229" s="31"/>
      <c r="JR229" s="99"/>
      <c r="JS229" s="99"/>
      <c r="JT229" s="99"/>
      <c r="JU229" s="99"/>
      <c r="JV229" s="99"/>
      <c r="JW229" s="99"/>
      <c r="JX229" s="99"/>
      <c r="JY229" s="99"/>
      <c r="JZ229" s="99"/>
      <c r="KA229" s="99"/>
      <c r="KB229" s="99"/>
      <c r="KC229" s="99"/>
      <c r="KD229" s="99"/>
      <c r="KE229" s="99"/>
      <c r="KF229" s="99"/>
      <c r="KG229" s="99"/>
      <c r="KH229" s="99"/>
      <c r="KI229" s="99"/>
      <c r="KJ229" s="99"/>
      <c r="KK229" s="99"/>
      <c r="KL229" s="99"/>
      <c r="KM229" s="99"/>
      <c r="KN229" s="99"/>
      <c r="KO229" s="99"/>
      <c r="KP229" s="99"/>
      <c r="KQ229" s="99"/>
      <c r="KR229" s="99"/>
      <c r="KS229" s="99"/>
      <c r="KT229" s="99"/>
      <c r="KU229" s="99"/>
      <c r="KV229" s="99"/>
      <c r="KW229" s="99"/>
      <c r="KX229" s="99"/>
      <c r="KY229" s="99"/>
      <c r="KZ229" s="99"/>
      <c r="LA229" s="99"/>
      <c r="LB229" s="99"/>
      <c r="LC229" s="99"/>
      <c r="LD229" s="99"/>
      <c r="LE229" s="99"/>
      <c r="LF229" s="99"/>
      <c r="LG229" s="99"/>
      <c r="LH229" s="99"/>
      <c r="LI229" s="99"/>
      <c r="LJ229" s="99"/>
      <c r="LK229" s="99"/>
      <c r="LL229" s="99"/>
      <c r="LM229" s="99"/>
      <c r="LN229" s="99"/>
      <c r="LO229" s="99"/>
      <c r="LP229" s="99"/>
      <c r="LQ229" s="99"/>
      <c r="LR229" s="99"/>
      <c r="LS229" s="99"/>
      <c r="LT229" s="99"/>
      <c r="LU229" s="99"/>
      <c r="LV229" s="99"/>
      <c r="LW229" s="99"/>
      <c r="LX229" s="99"/>
      <c r="LY229" s="99"/>
      <c r="LZ229" s="99"/>
      <c r="MA229" s="99"/>
      <c r="MB229" s="99"/>
      <c r="MC229" s="99"/>
      <c r="MD229" s="99"/>
      <c r="ME229" s="99"/>
      <c r="MF229" s="99"/>
    </row>
    <row r="230" spans="1:344" ht="17.25" customHeight="1" x14ac:dyDescent="0.25">
      <c r="A230" s="156"/>
      <c r="B230" s="81" t="s">
        <v>3</v>
      </c>
      <c r="C230" s="82">
        <v>45364</v>
      </c>
      <c r="D230" s="49"/>
      <c r="G230" s="89">
        <f t="shared" si="373"/>
        <v>0</v>
      </c>
      <c r="H230" s="35">
        <f t="shared" si="374"/>
        <v>0</v>
      </c>
      <c r="I230" s="39"/>
      <c r="L230" s="89">
        <f t="shared" si="375"/>
        <v>0</v>
      </c>
      <c r="M230" s="35">
        <f t="shared" si="392"/>
        <v>0</v>
      </c>
      <c r="N230" s="35">
        <f t="shared" si="393"/>
        <v>0</v>
      </c>
      <c r="O230" s="97" t="e">
        <f>SUM($Z230,$BH230,$AQ230,$BY230,$CP230,$DG230,$DX230,$EO230,$FF230,$FW230,$GN230)/D230</f>
        <v>#DIV/0!</v>
      </c>
      <c r="P230" s="150"/>
      <c r="Q230" s="132">
        <f t="shared" si="457"/>
        <v>0</v>
      </c>
      <c r="R230" s="134">
        <f t="shared" si="453"/>
        <v>0</v>
      </c>
      <c r="S230" s="136">
        <f t="shared" si="454"/>
        <v>0</v>
      </c>
      <c r="T230" s="138">
        <f t="shared" si="455"/>
        <v>0</v>
      </c>
      <c r="U230" s="144">
        <f t="shared" si="456"/>
        <v>0</v>
      </c>
      <c r="W230" s="11">
        <v>0</v>
      </c>
      <c r="X230" s="1">
        <v>0</v>
      </c>
      <c r="Y230" s="35">
        <f t="shared" si="376"/>
        <v>0</v>
      </c>
      <c r="Z230" s="35">
        <f t="shared" si="394"/>
        <v>0</v>
      </c>
      <c r="AA230" s="15">
        <f t="shared" si="407"/>
        <v>3.3528740915405712E-6</v>
      </c>
      <c r="AB230" s="43">
        <f t="shared" si="451"/>
        <v>2.817756068537449E-5</v>
      </c>
      <c r="AC230" s="43">
        <f t="shared" si="452"/>
        <v>8.4040020340959263</v>
      </c>
      <c r="AD230" s="33"/>
      <c r="AH230" s="31"/>
      <c r="AP230" s="35">
        <f t="shared" si="377"/>
        <v>0</v>
      </c>
      <c r="AQ230" s="35">
        <f t="shared" si="395"/>
        <v>0</v>
      </c>
      <c r="AR230" s="15">
        <f t="shared" si="408"/>
        <v>1.0125347909459028E-3</v>
      </c>
      <c r="AS230" s="28">
        <f t="shared" si="409"/>
        <v>5.8748489505934809E-2</v>
      </c>
      <c r="AT230" s="28">
        <f t="shared" si="410"/>
        <v>58.021205820545077</v>
      </c>
      <c r="AU230" s="33"/>
      <c r="AY230" s="31"/>
      <c r="BG230" s="35">
        <f t="shared" si="378"/>
        <v>0</v>
      </c>
      <c r="BH230" s="35">
        <f t="shared" si="396"/>
        <v>0</v>
      </c>
      <c r="BI230" s="15">
        <f t="shared" si="411"/>
        <v>1.3945045266034197E-3</v>
      </c>
      <c r="BJ230" s="28">
        <f t="shared" si="412"/>
        <v>9.0249623895138353E-2</v>
      </c>
      <c r="BK230" s="28">
        <f t="shared" si="413"/>
        <v>64.718057326754206</v>
      </c>
      <c r="BL230" s="33"/>
      <c r="BP230" s="31"/>
      <c r="BX230" s="35">
        <f t="shared" si="379"/>
        <v>0</v>
      </c>
      <c r="BY230" s="35">
        <f t="shared" si="397"/>
        <v>0</v>
      </c>
      <c r="BZ230" s="15">
        <f t="shared" si="414"/>
        <v>1.0603352285252752E-3</v>
      </c>
      <c r="CA230" s="28">
        <f t="shared" si="415"/>
        <v>5.6085841349274301E-2</v>
      </c>
      <c r="CB230" s="28">
        <f t="shared" si="416"/>
        <v>52.894443040696707</v>
      </c>
      <c r="CC230" s="33"/>
      <c r="CG230" s="31"/>
      <c r="CO230" s="35">
        <f t="shared" si="380"/>
        <v>0</v>
      </c>
      <c r="CP230" s="35">
        <f t="shared" si="398"/>
        <v>0</v>
      </c>
      <c r="CQ230" s="15">
        <f t="shared" si="417"/>
        <v>1.1617320689717445E-3</v>
      </c>
      <c r="CR230" s="28">
        <f t="shared" si="418"/>
        <v>7.257820976674012E-2</v>
      </c>
      <c r="CS230" s="28">
        <f t="shared" si="419"/>
        <v>62.47413814699933</v>
      </c>
      <c r="CT230" s="33"/>
      <c r="CX230" s="31"/>
      <c r="DF230" s="35">
        <f t="shared" si="381"/>
        <v>0</v>
      </c>
      <c r="DG230" s="35">
        <f t="shared" si="399"/>
        <v>0</v>
      </c>
      <c r="DH230" s="15">
        <f t="shared" si="420"/>
        <v>1.1299493201930009E-3</v>
      </c>
      <c r="DI230" s="28">
        <f t="shared" si="421"/>
        <v>4.4100143426486771E-2</v>
      </c>
      <c r="DJ230" s="28">
        <f t="shared" si="422"/>
        <v>39.028425999631779</v>
      </c>
      <c r="DK230" s="33"/>
      <c r="DO230" s="31"/>
      <c r="DW230" s="35">
        <f t="shared" si="382"/>
        <v>0</v>
      </c>
      <c r="DX230" s="35">
        <f t="shared" si="400"/>
        <v>0</v>
      </c>
      <c r="DY230" s="15">
        <f t="shared" si="423"/>
        <v>1.1698945614192625E-3</v>
      </c>
      <c r="DZ230" s="28">
        <f t="shared" si="424"/>
        <v>4.3055039540170863E-2</v>
      </c>
      <c r="EA230" s="28">
        <f t="shared" si="425"/>
        <v>36.802495677848491</v>
      </c>
      <c r="EB230" s="33"/>
      <c r="EF230" s="31"/>
      <c r="EN230" s="35">
        <f t="shared" si="383"/>
        <v>0</v>
      </c>
      <c r="EO230" s="35">
        <f t="shared" si="401"/>
        <v>0</v>
      </c>
      <c r="EP230" s="15">
        <f t="shared" si="426"/>
        <v>1.2490783771071103E-3</v>
      </c>
      <c r="EQ230" s="28">
        <f t="shared" si="427"/>
        <v>8.4600959143183357E-2</v>
      </c>
      <c r="ER230" s="28">
        <f t="shared" si="428"/>
        <v>67.730705049206605</v>
      </c>
      <c r="ES230" s="33"/>
      <c r="EW230" s="31"/>
      <c r="FE230" s="35">
        <f t="shared" si="384"/>
        <v>0</v>
      </c>
      <c r="FF230" s="35">
        <f t="shared" si="402"/>
        <v>0</v>
      </c>
      <c r="FG230" s="15">
        <f t="shared" si="429"/>
        <v>1.206741084537501E-3</v>
      </c>
      <c r="FH230" s="28">
        <f t="shared" si="430"/>
        <v>7.7444390267194615E-2</v>
      </c>
      <c r="FI230" s="28">
        <f t="shared" si="431"/>
        <v>64.176476014219872</v>
      </c>
      <c r="FJ230" s="33"/>
      <c r="FN230" s="31"/>
      <c r="FV230" s="35">
        <f t="shared" si="385"/>
        <v>0</v>
      </c>
      <c r="FW230" s="35">
        <f t="shared" si="403"/>
        <v>0</v>
      </c>
      <c r="FX230" s="15">
        <f t="shared" si="432"/>
        <v>1.1360162090235631E-3</v>
      </c>
      <c r="FY230" s="28">
        <f t="shared" si="433"/>
        <v>7.7546423548186E-2</v>
      </c>
      <c r="FZ230" s="28">
        <f t="shared" si="434"/>
        <v>68.261722792528872</v>
      </c>
      <c r="GA230" s="33"/>
      <c r="GE230" s="31"/>
      <c r="GM230" s="35">
        <f t="shared" si="386"/>
        <v>0</v>
      </c>
      <c r="GN230" s="35">
        <f t="shared" si="404"/>
        <v>0</v>
      </c>
      <c r="GO230" s="15">
        <f t="shared" si="435"/>
        <v>1.1738875240079561E-3</v>
      </c>
      <c r="GP230" s="28">
        <f t="shared" si="436"/>
        <v>7.9920023856662525E-2</v>
      </c>
      <c r="GQ230" s="28">
        <f t="shared" si="437"/>
        <v>68.08150033300879</v>
      </c>
      <c r="GR230" s="33"/>
      <c r="GV230" s="31"/>
      <c r="HD230" s="35">
        <f t="shared" si="387"/>
        <v>0</v>
      </c>
      <c r="HE230" s="35">
        <f t="shared" si="405"/>
        <v>0</v>
      </c>
      <c r="HF230" s="15">
        <f t="shared" si="438"/>
        <v>1.6536609653856509E-3</v>
      </c>
      <c r="HG230" s="28">
        <f t="shared" si="439"/>
        <v>5.797102340171012E-2</v>
      </c>
      <c r="HH230" s="28">
        <f t="shared" si="440"/>
        <v>35.056172102478499</v>
      </c>
      <c r="HI230" s="33"/>
      <c r="HM230" s="31"/>
      <c r="HU230" s="35">
        <f t="shared" si="388"/>
        <v>0</v>
      </c>
      <c r="HV230" s="35">
        <f t="shared" si="406"/>
        <v>0</v>
      </c>
      <c r="HW230" s="15">
        <f t="shared" si="441"/>
        <v>3.8177830683361345E-12</v>
      </c>
      <c r="HX230" s="28">
        <f t="shared" si="442"/>
        <v>2.0373158354612117E-14</v>
      </c>
      <c r="HY230" s="28">
        <f t="shared" si="443"/>
        <v>5.336384490670169E-3</v>
      </c>
      <c r="HZ230" s="33"/>
      <c r="ID230" s="31"/>
      <c r="II230" s="12"/>
      <c r="IL230" s="35">
        <f t="shared" si="389"/>
        <v>0</v>
      </c>
      <c r="IM230" s="35">
        <f t="shared" si="390"/>
        <v>264.69973957456619</v>
      </c>
      <c r="IN230" s="15">
        <f t="shared" si="444"/>
        <v>3.7623097284154215E-4</v>
      </c>
      <c r="IO230" s="28">
        <f t="shared" si="445"/>
        <v>1.5068922209337306E-3</v>
      </c>
      <c r="IP230" s="28">
        <f t="shared" si="446"/>
        <v>4.0052317052811892</v>
      </c>
      <c r="IQ230" s="33"/>
      <c r="IU230" s="31"/>
      <c r="JC230" s="35">
        <f t="shared" si="369"/>
        <v>0</v>
      </c>
      <c r="JD230" s="35">
        <f t="shared" si="391"/>
        <v>312.66448877027051</v>
      </c>
      <c r="JE230" s="15">
        <f t="shared" si="447"/>
        <v>4.5432934958043367E-4</v>
      </c>
      <c r="JF230" s="28">
        <f t="shared" si="448"/>
        <v>1.9233273721147263E-3</v>
      </c>
      <c r="JG230" s="28">
        <f t="shared" si="449"/>
        <v>4.2333328760091993</v>
      </c>
      <c r="JH230" s="33"/>
      <c r="JL230" s="31"/>
      <c r="JR230" s="99"/>
      <c r="JS230" s="99"/>
      <c r="JT230" s="99"/>
      <c r="JU230" s="99"/>
      <c r="JV230" s="99"/>
      <c r="JW230" s="99"/>
      <c r="JX230" s="99"/>
      <c r="JY230" s="99"/>
      <c r="JZ230" s="99"/>
      <c r="KA230" s="99"/>
      <c r="KB230" s="99"/>
      <c r="KC230" s="99"/>
      <c r="KD230" s="99"/>
      <c r="KE230" s="99"/>
      <c r="KF230" s="99"/>
      <c r="KG230" s="99"/>
      <c r="KH230" s="99"/>
      <c r="KI230" s="99"/>
      <c r="KJ230" s="99"/>
      <c r="KK230" s="99"/>
      <c r="KL230" s="99"/>
      <c r="KM230" s="99"/>
      <c r="KN230" s="99"/>
      <c r="KO230" s="99"/>
      <c r="KP230" s="99"/>
      <c r="KQ230" s="99"/>
      <c r="KR230" s="99"/>
      <c r="KS230" s="99"/>
      <c r="KT230" s="99"/>
      <c r="KU230" s="99"/>
      <c r="KV230" s="99"/>
      <c r="KW230" s="99"/>
      <c r="KX230" s="99"/>
      <c r="KY230" s="99"/>
      <c r="KZ230" s="99"/>
      <c r="LA230" s="99"/>
      <c r="LB230" s="99"/>
      <c r="LC230" s="99"/>
      <c r="LD230" s="99"/>
      <c r="LE230" s="99"/>
      <c r="LF230" s="99"/>
      <c r="LG230" s="99"/>
      <c r="LH230" s="99"/>
      <c r="LI230" s="99"/>
      <c r="LJ230" s="99"/>
      <c r="LK230" s="99"/>
      <c r="LL230" s="99"/>
      <c r="LM230" s="99"/>
      <c r="LN230" s="99"/>
      <c r="LO230" s="99"/>
      <c r="LP230" s="99"/>
      <c r="LQ230" s="99"/>
      <c r="LR230" s="99"/>
      <c r="LS230" s="99"/>
      <c r="LT230" s="99"/>
      <c r="LU230" s="99"/>
      <c r="LV230" s="99"/>
      <c r="LW230" s="99"/>
      <c r="LX230" s="99"/>
      <c r="LY230" s="99"/>
      <c r="LZ230" s="99"/>
      <c r="MA230" s="99"/>
      <c r="MB230" s="99"/>
      <c r="MC230" s="99"/>
      <c r="MD230" s="99"/>
      <c r="ME230" s="99"/>
      <c r="MF230" s="99"/>
    </row>
    <row r="231" spans="1:344" ht="17.25" customHeight="1" x14ac:dyDescent="0.25">
      <c r="A231" s="156"/>
      <c r="B231" s="81" t="s">
        <v>4</v>
      </c>
      <c r="C231" s="82">
        <v>45365</v>
      </c>
      <c r="D231" s="49"/>
      <c r="G231" s="89">
        <f t="shared" si="373"/>
        <v>0</v>
      </c>
      <c r="H231" s="35">
        <f t="shared" si="374"/>
        <v>0</v>
      </c>
      <c r="I231" s="39"/>
      <c r="L231" s="89">
        <f t="shared" si="375"/>
        <v>0</v>
      </c>
      <c r="M231" s="35">
        <f t="shared" si="392"/>
        <v>0</v>
      </c>
      <c r="N231" s="35">
        <f t="shared" si="393"/>
        <v>0</v>
      </c>
      <c r="O231" s="97" t="e">
        <f>SUM($Z231,$BH231,$AQ231,$BY231,$CP231,$DG231,$DX231,$EO231,$FF231,$FW231,$GN231)/D231</f>
        <v>#DIV/0!</v>
      </c>
      <c r="P231" s="150"/>
      <c r="Q231" s="132">
        <f t="shared" si="457"/>
        <v>0</v>
      </c>
      <c r="R231" s="134">
        <f t="shared" si="453"/>
        <v>0</v>
      </c>
      <c r="S231" s="136">
        <f t="shared" si="454"/>
        <v>0</v>
      </c>
      <c r="T231" s="138">
        <f t="shared" si="455"/>
        <v>0</v>
      </c>
      <c r="U231" s="144">
        <f t="shared" si="456"/>
        <v>0</v>
      </c>
      <c r="W231" s="11">
        <v>0</v>
      </c>
      <c r="X231" s="1">
        <v>0</v>
      </c>
      <c r="Y231" s="35">
        <f t="shared" si="376"/>
        <v>0</v>
      </c>
      <c r="Z231" s="35">
        <f t="shared" si="394"/>
        <v>0</v>
      </c>
      <c r="AA231" s="15">
        <f t="shared" si="407"/>
        <v>2.7009263515187935E-6</v>
      </c>
      <c r="AB231" s="43">
        <f t="shared" si="451"/>
        <v>2.1133170514030869E-5</v>
      </c>
      <c r="AC231" s="43">
        <f t="shared" si="452"/>
        <v>7.8244156869168968</v>
      </c>
      <c r="AD231" s="33"/>
      <c r="AH231" s="31"/>
      <c r="AP231" s="35">
        <f t="shared" si="377"/>
        <v>0</v>
      </c>
      <c r="AQ231" s="35">
        <f t="shared" si="395"/>
        <v>0</v>
      </c>
      <c r="AR231" s="15">
        <f t="shared" si="408"/>
        <v>8.1565302603975505E-4</v>
      </c>
      <c r="AS231" s="28">
        <f t="shared" si="409"/>
        <v>4.4061367129451107E-2</v>
      </c>
      <c r="AT231" s="28">
        <f t="shared" si="410"/>
        <v>54.019743350162656</v>
      </c>
      <c r="AU231" s="33"/>
      <c r="AY231" s="31"/>
      <c r="BG231" s="35">
        <f t="shared" si="378"/>
        <v>0</v>
      </c>
      <c r="BH231" s="35">
        <f t="shared" si="396"/>
        <v>0</v>
      </c>
      <c r="BI231" s="15">
        <f t="shared" si="411"/>
        <v>1.1233508686527549E-3</v>
      </c>
      <c r="BJ231" s="28">
        <f t="shared" si="412"/>
        <v>6.7687217921353765E-2</v>
      </c>
      <c r="BK231" s="28">
        <f t="shared" si="413"/>
        <v>60.25474302835736</v>
      </c>
      <c r="BL231" s="33"/>
      <c r="BP231" s="31"/>
      <c r="BX231" s="35">
        <f t="shared" si="379"/>
        <v>0</v>
      </c>
      <c r="BY231" s="35">
        <f t="shared" si="397"/>
        <v>0</v>
      </c>
      <c r="BZ231" s="15">
        <f t="shared" si="414"/>
        <v>8.5415893408980511E-4</v>
      </c>
      <c r="CA231" s="28">
        <f t="shared" si="415"/>
        <v>4.2064381011955726E-2</v>
      </c>
      <c r="CB231" s="28">
        <f t="shared" si="416"/>
        <v>49.246550417200382</v>
      </c>
      <c r="CC231" s="33"/>
      <c r="CG231" s="31"/>
      <c r="CO231" s="35">
        <f t="shared" si="380"/>
        <v>0</v>
      </c>
      <c r="CP231" s="35">
        <f t="shared" si="398"/>
        <v>0</v>
      </c>
      <c r="CQ231" s="15">
        <f t="shared" si="417"/>
        <v>9.3583972222723868E-4</v>
      </c>
      <c r="CR231" s="28">
        <f t="shared" si="418"/>
        <v>5.443365732505509E-2</v>
      </c>
      <c r="CS231" s="28">
        <f t="shared" si="419"/>
        <v>58.165576895482133</v>
      </c>
      <c r="CT231" s="33"/>
      <c r="CX231" s="31"/>
      <c r="DF231" s="35">
        <f t="shared" si="381"/>
        <v>0</v>
      </c>
      <c r="DG231" s="35">
        <f t="shared" si="399"/>
        <v>0</v>
      </c>
      <c r="DH231" s="15">
        <f t="shared" si="420"/>
        <v>9.1023695237769529E-4</v>
      </c>
      <c r="DI231" s="28">
        <f t="shared" si="421"/>
        <v>3.3075107569865078E-2</v>
      </c>
      <c r="DJ231" s="28">
        <f t="shared" si="422"/>
        <v>36.336810413450273</v>
      </c>
      <c r="DK231" s="33"/>
      <c r="DO231" s="31"/>
      <c r="DW231" s="35">
        <f t="shared" si="382"/>
        <v>0</v>
      </c>
      <c r="DX231" s="35">
        <f t="shared" si="400"/>
        <v>0</v>
      </c>
      <c r="DY231" s="15">
        <f t="shared" si="423"/>
        <v>9.4241506336551698E-4</v>
      </c>
      <c r="DZ231" s="28">
        <f t="shared" si="424"/>
        <v>3.2291279655128145E-2</v>
      </c>
      <c r="EA231" s="28">
        <f t="shared" si="425"/>
        <v>34.264392527652042</v>
      </c>
      <c r="EB231" s="33"/>
      <c r="EF231" s="31"/>
      <c r="EN231" s="35">
        <f t="shared" si="383"/>
        <v>0</v>
      </c>
      <c r="EO231" s="35">
        <f t="shared" si="401"/>
        <v>0</v>
      </c>
      <c r="EP231" s="15">
        <f t="shared" si="426"/>
        <v>1.0062020260029501E-3</v>
      </c>
      <c r="EQ231" s="28">
        <f t="shared" si="427"/>
        <v>6.3450719357387525E-2</v>
      </c>
      <c r="ER231" s="28">
        <f t="shared" si="428"/>
        <v>63.059621942364771</v>
      </c>
      <c r="ES231" s="33"/>
      <c r="EW231" s="31"/>
      <c r="FE231" s="35">
        <f t="shared" si="384"/>
        <v>0</v>
      </c>
      <c r="FF231" s="35">
        <f t="shared" si="402"/>
        <v>0</v>
      </c>
      <c r="FG231" s="15">
        <f t="shared" si="429"/>
        <v>9.7209698476632023E-4</v>
      </c>
      <c r="FH231" s="28">
        <f t="shared" si="430"/>
        <v>5.8083292700395958E-2</v>
      </c>
      <c r="FI231" s="28">
        <f t="shared" si="431"/>
        <v>59.750512151170227</v>
      </c>
      <c r="FJ231" s="33"/>
      <c r="FN231" s="31"/>
      <c r="FV231" s="35">
        <f t="shared" si="385"/>
        <v>0</v>
      </c>
      <c r="FW231" s="35">
        <f t="shared" si="403"/>
        <v>0</v>
      </c>
      <c r="FX231" s="15">
        <f t="shared" si="432"/>
        <v>9.1512416838009255E-4</v>
      </c>
      <c r="FY231" s="28">
        <f t="shared" si="433"/>
        <v>5.81598176611395E-2</v>
      </c>
      <c r="FZ231" s="28">
        <f t="shared" si="434"/>
        <v>63.554017772354463</v>
      </c>
      <c r="GA231" s="33"/>
      <c r="GE231" s="31"/>
      <c r="GM231" s="35">
        <f t="shared" si="386"/>
        <v>0</v>
      </c>
      <c r="GN231" s="35">
        <f t="shared" si="404"/>
        <v>0</v>
      </c>
      <c r="GO231" s="15">
        <f t="shared" si="435"/>
        <v>9.4563161656196462E-4</v>
      </c>
      <c r="GP231" s="28">
        <f t="shared" si="436"/>
        <v>5.9940017892496894E-2</v>
      </c>
      <c r="GQ231" s="28">
        <f t="shared" si="437"/>
        <v>63.386224447973703</v>
      </c>
      <c r="GR231" s="33"/>
      <c r="GV231" s="31"/>
      <c r="HD231" s="35">
        <f t="shared" si="387"/>
        <v>0</v>
      </c>
      <c r="HE231" s="35">
        <f t="shared" si="405"/>
        <v>0</v>
      </c>
      <c r="HF231" s="15">
        <f t="shared" si="438"/>
        <v>1.3321157776717747E-3</v>
      </c>
      <c r="HG231" s="28">
        <f t="shared" si="439"/>
        <v>4.347826755128259E-2</v>
      </c>
      <c r="HH231" s="28">
        <f t="shared" si="440"/>
        <v>32.638505060928253</v>
      </c>
      <c r="HI231" s="33"/>
      <c r="HM231" s="31"/>
      <c r="HU231" s="35">
        <f t="shared" si="388"/>
        <v>0</v>
      </c>
      <c r="HV231" s="35">
        <f t="shared" si="406"/>
        <v>0</v>
      </c>
      <c r="HW231" s="15">
        <f t="shared" si="441"/>
        <v>3.0754363606041081E-12</v>
      </c>
      <c r="HX231" s="28">
        <f t="shared" si="442"/>
        <v>1.5279868765959087E-14</v>
      </c>
      <c r="HY231" s="28">
        <f t="shared" si="443"/>
        <v>4.9683579740722262E-3</v>
      </c>
      <c r="HZ231" s="33"/>
      <c r="ID231" s="31"/>
      <c r="II231" s="12"/>
      <c r="IL231" s="35">
        <f t="shared" si="389"/>
        <v>0</v>
      </c>
      <c r="IM231" s="35">
        <f t="shared" si="390"/>
        <v>246.40357208685199</v>
      </c>
      <c r="IN231" s="15">
        <f t="shared" si="444"/>
        <v>3.0307495034457562E-4</v>
      </c>
      <c r="IO231" s="28">
        <f t="shared" si="445"/>
        <v>1.130169165700298E-3</v>
      </c>
      <c r="IP231" s="28">
        <f t="shared" si="446"/>
        <v>3.7290088290549002</v>
      </c>
      <c r="IQ231" s="33"/>
      <c r="IU231" s="31"/>
      <c r="JC231" s="35">
        <f t="shared" si="369"/>
        <v>0</v>
      </c>
      <c r="JD231" s="35">
        <f t="shared" si="391"/>
        <v>291.04842662587754</v>
      </c>
      <c r="JE231" s="15">
        <f t="shared" si="447"/>
        <v>3.6598753160646048E-4</v>
      </c>
      <c r="JF231" s="28">
        <f t="shared" si="448"/>
        <v>1.4424955290860447E-3</v>
      </c>
      <c r="JG231" s="28">
        <f t="shared" si="449"/>
        <v>3.9413788845602888</v>
      </c>
      <c r="JH231" s="33"/>
      <c r="JL231" s="31"/>
      <c r="JR231" s="99"/>
      <c r="JS231" s="99"/>
      <c r="JT231" s="99"/>
      <c r="JU231" s="99"/>
      <c r="JV231" s="99"/>
      <c r="JW231" s="99"/>
      <c r="JX231" s="99"/>
      <c r="JY231" s="99"/>
      <c r="JZ231" s="99"/>
      <c r="KA231" s="99"/>
      <c r="KB231" s="99"/>
      <c r="KC231" s="99"/>
      <c r="KD231" s="99"/>
      <c r="KE231" s="99"/>
      <c r="KF231" s="99"/>
      <c r="KG231" s="99"/>
      <c r="KH231" s="99"/>
      <c r="KI231" s="99"/>
      <c r="KJ231" s="99"/>
      <c r="KK231" s="99"/>
      <c r="KL231" s="99"/>
      <c r="KM231" s="99"/>
      <c r="KN231" s="99"/>
      <c r="KO231" s="99"/>
      <c r="KP231" s="99"/>
      <c r="KQ231" s="99"/>
      <c r="KR231" s="99"/>
      <c r="KS231" s="99"/>
      <c r="KT231" s="99"/>
      <c r="KU231" s="99"/>
      <c r="KV231" s="99"/>
      <c r="KW231" s="99"/>
      <c r="KX231" s="99"/>
      <c r="KY231" s="99"/>
      <c r="KZ231" s="99"/>
      <c r="LA231" s="99"/>
      <c r="LB231" s="99"/>
      <c r="LC231" s="99"/>
      <c r="LD231" s="99"/>
      <c r="LE231" s="99"/>
      <c r="LF231" s="99"/>
      <c r="LG231" s="99"/>
      <c r="LH231" s="99"/>
      <c r="LI231" s="99"/>
      <c r="LJ231" s="99"/>
      <c r="LK231" s="99"/>
      <c r="LL231" s="99"/>
      <c r="LM231" s="99"/>
      <c r="LN231" s="99"/>
      <c r="LO231" s="99"/>
      <c r="LP231" s="99"/>
      <c r="LQ231" s="99"/>
      <c r="LR231" s="99"/>
      <c r="LS231" s="99"/>
      <c r="LT231" s="99"/>
      <c r="LU231" s="99"/>
      <c r="LV231" s="99"/>
      <c r="LW231" s="99"/>
      <c r="LX231" s="99"/>
      <c r="LY231" s="99"/>
      <c r="LZ231" s="99"/>
      <c r="MA231" s="99"/>
      <c r="MB231" s="99"/>
      <c r="MC231" s="99"/>
      <c r="MD231" s="99"/>
      <c r="ME231" s="99"/>
      <c r="MF231" s="99"/>
    </row>
    <row r="232" spans="1:344" ht="17.25" customHeight="1" x14ac:dyDescent="0.25">
      <c r="A232" s="156"/>
      <c r="B232" s="81" t="s">
        <v>5</v>
      </c>
      <c r="C232" s="82">
        <v>45366</v>
      </c>
      <c r="D232" s="49"/>
      <c r="G232" s="89">
        <f t="shared" si="373"/>
        <v>0</v>
      </c>
      <c r="H232" s="35">
        <f t="shared" si="374"/>
        <v>0</v>
      </c>
      <c r="I232" s="39"/>
      <c r="L232" s="89">
        <f t="shared" si="375"/>
        <v>0</v>
      </c>
      <c r="M232" s="35">
        <f t="shared" si="392"/>
        <v>0</v>
      </c>
      <c r="N232" s="35">
        <f t="shared" si="393"/>
        <v>0</v>
      </c>
      <c r="O232" s="97" t="e">
        <f>SUM($Z232,$BH232,$AQ232,$BY232,$CP232,$DG232,$DX232,$EO232,$FF232,$FW232,$GN232)/D232</f>
        <v>#DIV/0!</v>
      </c>
      <c r="P232" s="150"/>
      <c r="Q232" s="132">
        <f t="shared" si="457"/>
        <v>0</v>
      </c>
      <c r="R232" s="134">
        <f t="shared" si="453"/>
        <v>0</v>
      </c>
      <c r="S232" s="136">
        <f t="shared" si="454"/>
        <v>0</v>
      </c>
      <c r="T232" s="138">
        <f t="shared" si="455"/>
        <v>0</v>
      </c>
      <c r="U232" s="144">
        <f t="shared" si="456"/>
        <v>0</v>
      </c>
      <c r="W232" s="11">
        <v>0</v>
      </c>
      <c r="X232" s="1">
        <v>0</v>
      </c>
      <c r="Y232" s="35">
        <f t="shared" si="376"/>
        <v>0</v>
      </c>
      <c r="Z232" s="35">
        <f t="shared" si="394"/>
        <v>0</v>
      </c>
      <c r="AA232" s="15">
        <f t="shared" si="407"/>
        <v>2.175746227612361E-6</v>
      </c>
      <c r="AB232" s="43">
        <f t="shared" si="451"/>
        <v>1.584987788552315E-5</v>
      </c>
      <c r="AC232" s="43">
        <f t="shared" si="452"/>
        <v>7.284800811957111</v>
      </c>
      <c r="AD232" s="33"/>
      <c r="AH232" s="31"/>
      <c r="AP232" s="35">
        <f t="shared" si="377"/>
        <v>0</v>
      </c>
      <c r="AQ232" s="35">
        <f t="shared" si="395"/>
        <v>0</v>
      </c>
      <c r="AR232" s="15">
        <f t="shared" si="408"/>
        <v>6.570538265320249E-4</v>
      </c>
      <c r="AS232" s="28">
        <f t="shared" si="409"/>
        <v>3.304602534708833E-2</v>
      </c>
      <c r="AT232" s="28">
        <f t="shared" si="410"/>
        <v>50.29424380877213</v>
      </c>
      <c r="AU232" s="33"/>
      <c r="AY232" s="31"/>
      <c r="BG232" s="35">
        <f t="shared" si="378"/>
        <v>0</v>
      </c>
      <c r="BH232" s="35">
        <f t="shared" si="396"/>
        <v>0</v>
      </c>
      <c r="BI232" s="15">
        <f t="shared" si="411"/>
        <v>9.0492153308138583E-4</v>
      </c>
      <c r="BJ232" s="28">
        <f t="shared" si="412"/>
        <v>5.0765413441015324E-2</v>
      </c>
      <c r="BK232" s="28">
        <f t="shared" si="413"/>
        <v>56.099243509160303</v>
      </c>
      <c r="BL232" s="33"/>
      <c r="BP232" s="31"/>
      <c r="BX232" s="35">
        <f t="shared" si="379"/>
        <v>0</v>
      </c>
      <c r="BY232" s="35">
        <f t="shared" si="397"/>
        <v>0</v>
      </c>
      <c r="BZ232" s="15">
        <f t="shared" si="414"/>
        <v>6.8807247468345419E-4</v>
      </c>
      <c r="CA232" s="28">
        <f t="shared" si="415"/>
        <v>3.1548285758966794E-2</v>
      </c>
      <c r="CB232" s="28">
        <f t="shared" si="416"/>
        <v>45.850236595324489</v>
      </c>
      <c r="CC232" s="33"/>
      <c r="CG232" s="31"/>
      <c r="CO232" s="35">
        <f t="shared" si="380"/>
        <v>0</v>
      </c>
      <c r="CP232" s="35">
        <f t="shared" si="398"/>
        <v>0</v>
      </c>
      <c r="CQ232" s="15">
        <f t="shared" si="417"/>
        <v>7.5387088734971998E-4</v>
      </c>
      <c r="CR232" s="28">
        <f t="shared" si="418"/>
        <v>4.0825242993791318E-2</v>
      </c>
      <c r="CS232" s="28">
        <f t="shared" si="419"/>
        <v>54.154157799241986</v>
      </c>
      <c r="CT232" s="33"/>
      <c r="CX232" s="31"/>
      <c r="DF232" s="35">
        <f t="shared" si="381"/>
        <v>0</v>
      </c>
      <c r="DG232" s="35">
        <f t="shared" si="399"/>
        <v>0</v>
      </c>
      <c r="DH232" s="15">
        <f t="shared" si="420"/>
        <v>7.3324643385981006E-4</v>
      </c>
      <c r="DI232" s="28">
        <f t="shared" si="421"/>
        <v>2.4806330677398809E-2</v>
      </c>
      <c r="DJ232" s="28">
        <f t="shared" si="422"/>
        <v>33.830823488384738</v>
      </c>
      <c r="DK232" s="33"/>
      <c r="DO232" s="31"/>
      <c r="DW232" s="35">
        <f t="shared" si="382"/>
        <v>0</v>
      </c>
      <c r="DX232" s="35">
        <f t="shared" si="400"/>
        <v>0</v>
      </c>
      <c r="DY232" s="15">
        <f t="shared" si="423"/>
        <v>7.5916768993333306E-4</v>
      </c>
      <c r="DZ232" s="28">
        <f t="shared" si="424"/>
        <v>2.4218459741346107E-2</v>
      </c>
      <c r="EA232" s="28">
        <f t="shared" si="425"/>
        <v>31.901330974020865</v>
      </c>
      <c r="EB232" s="33"/>
      <c r="EF232" s="31"/>
      <c r="EN232" s="35">
        <f t="shared" si="383"/>
        <v>0</v>
      </c>
      <c r="EO232" s="35">
        <f t="shared" si="401"/>
        <v>0</v>
      </c>
      <c r="EP232" s="15">
        <f t="shared" si="426"/>
        <v>8.105516320579321E-4</v>
      </c>
      <c r="EQ232" s="28">
        <f t="shared" si="427"/>
        <v>4.7588039518040644E-2</v>
      </c>
      <c r="ER232" s="28">
        <f t="shared" si="428"/>
        <v>58.710682498063754</v>
      </c>
      <c r="ES232" s="33"/>
      <c r="EW232" s="31"/>
      <c r="FE232" s="35">
        <f t="shared" si="384"/>
        <v>0</v>
      </c>
      <c r="FF232" s="35">
        <f t="shared" si="402"/>
        <v>0</v>
      </c>
      <c r="FG232" s="15">
        <f t="shared" si="429"/>
        <v>7.8307812661731352E-4</v>
      </c>
      <c r="FH232" s="28">
        <f t="shared" si="430"/>
        <v>4.3562469525296965E-2</v>
      </c>
      <c r="FI232" s="28">
        <f t="shared" si="431"/>
        <v>55.629787175227449</v>
      </c>
      <c r="FJ232" s="33"/>
      <c r="FN232" s="31"/>
      <c r="FV232" s="35">
        <f t="shared" si="385"/>
        <v>0</v>
      </c>
      <c r="FW232" s="35">
        <f t="shared" si="403"/>
        <v>0</v>
      </c>
      <c r="FX232" s="15">
        <f t="shared" si="432"/>
        <v>7.371833578617412E-4</v>
      </c>
      <c r="FY232" s="28">
        <f t="shared" si="433"/>
        <v>4.3619863245854623E-2</v>
      </c>
      <c r="FZ232" s="28">
        <f t="shared" si="434"/>
        <v>59.17098206391622</v>
      </c>
      <c r="GA232" s="33"/>
      <c r="GE232" s="31"/>
      <c r="GM232" s="35">
        <f t="shared" si="386"/>
        <v>0</v>
      </c>
      <c r="GN232" s="35">
        <f t="shared" si="404"/>
        <v>0</v>
      </c>
      <c r="GO232" s="15">
        <f t="shared" si="435"/>
        <v>7.6175880223047147E-4</v>
      </c>
      <c r="GP232" s="28">
        <f t="shared" si="436"/>
        <v>4.4955013419372671E-2</v>
      </c>
      <c r="GQ232" s="28">
        <f t="shared" si="437"/>
        <v>59.014760692941032</v>
      </c>
      <c r="GR232" s="33"/>
      <c r="GV232" s="31"/>
      <c r="HD232" s="35">
        <f t="shared" si="387"/>
        <v>0</v>
      </c>
      <c r="HE232" s="35">
        <f t="shared" si="405"/>
        <v>0</v>
      </c>
      <c r="HF232" s="15">
        <f t="shared" si="438"/>
        <v>1.0730932653467073E-3</v>
      </c>
      <c r="HG232" s="28">
        <f t="shared" si="439"/>
        <v>3.2608700663461943E-2</v>
      </c>
      <c r="HH232" s="28">
        <f t="shared" si="440"/>
        <v>30.387573677415958</v>
      </c>
      <c r="HI232" s="33"/>
      <c r="HM232" s="31"/>
      <c r="HU232" s="35">
        <f t="shared" si="388"/>
        <v>0</v>
      </c>
      <c r="HV232" s="35">
        <f t="shared" si="406"/>
        <v>0</v>
      </c>
      <c r="HW232" s="15">
        <f t="shared" si="441"/>
        <v>2.4774348460421987E-12</v>
      </c>
      <c r="HX232" s="28">
        <f t="shared" si="442"/>
        <v>1.1459901574469316E-14</v>
      </c>
      <c r="HY232" s="28">
        <f t="shared" si="443"/>
        <v>4.6257125965500035E-3</v>
      </c>
      <c r="HZ232" s="33"/>
      <c r="ID232" s="31"/>
      <c r="II232" s="12"/>
      <c r="IL232" s="35">
        <f t="shared" si="389"/>
        <v>0</v>
      </c>
      <c r="IM232" s="35">
        <f t="shared" si="390"/>
        <v>229.37944033708234</v>
      </c>
      <c r="IN232" s="15">
        <f t="shared" si="444"/>
        <v>2.4414370999979707E-4</v>
      </c>
      <c r="IO232" s="28">
        <f t="shared" si="445"/>
        <v>8.4762687427522348E-4</v>
      </c>
      <c r="IP232" s="28">
        <f t="shared" si="446"/>
        <v>3.4718358063614585</v>
      </c>
      <c r="IQ232" s="33"/>
      <c r="IU232" s="31"/>
      <c r="JC232" s="35">
        <f t="shared" si="369"/>
        <v>0</v>
      </c>
      <c r="JD232" s="35">
        <f t="shared" si="391"/>
        <v>270.93635158084714</v>
      </c>
      <c r="JE232" s="15">
        <f t="shared" si="447"/>
        <v>2.9482328934964878E-4</v>
      </c>
      <c r="JF232" s="28">
        <f t="shared" si="448"/>
        <v>1.0818716468145337E-3</v>
      </c>
      <c r="JG232" s="28">
        <f t="shared" si="449"/>
        <v>3.6695596511423378</v>
      </c>
      <c r="JH232" s="33"/>
      <c r="JL232" s="31"/>
      <c r="JR232" s="99"/>
      <c r="JS232" s="99"/>
      <c r="JT232" s="99"/>
      <c r="JU232" s="99"/>
      <c r="JV232" s="99"/>
      <c r="JW232" s="99"/>
      <c r="JX232" s="99"/>
      <c r="JY232" s="99"/>
      <c r="JZ232" s="99"/>
      <c r="KA232" s="99"/>
      <c r="KB232" s="99"/>
      <c r="KC232" s="99"/>
      <c r="KD232" s="99"/>
      <c r="KE232" s="99"/>
      <c r="KF232" s="99"/>
      <c r="KG232" s="99"/>
      <c r="KH232" s="99"/>
      <c r="KI232" s="99"/>
      <c r="KJ232" s="99"/>
      <c r="KK232" s="99"/>
      <c r="KL232" s="99"/>
      <c r="KM232" s="99"/>
      <c r="KN232" s="99"/>
      <c r="KO232" s="99"/>
      <c r="KP232" s="99"/>
      <c r="KQ232" s="99"/>
      <c r="KR232" s="99"/>
      <c r="KS232" s="99"/>
      <c r="KT232" s="99"/>
      <c r="KU232" s="99"/>
      <c r="KV232" s="99"/>
      <c r="KW232" s="99"/>
      <c r="KX232" s="99"/>
      <c r="KY232" s="99"/>
      <c r="KZ232" s="99"/>
      <c r="LA232" s="99"/>
      <c r="LB232" s="99"/>
      <c r="LC232" s="99"/>
      <c r="LD232" s="99"/>
      <c r="LE232" s="99"/>
      <c r="LF232" s="99"/>
      <c r="LG232" s="99"/>
      <c r="LH232" s="99"/>
      <c r="LI232" s="99"/>
      <c r="LJ232" s="99"/>
      <c r="LK232" s="99"/>
      <c r="LL232" s="99"/>
      <c r="LM232" s="99"/>
      <c r="LN232" s="99"/>
      <c r="LO232" s="99"/>
      <c r="LP232" s="99"/>
      <c r="LQ232" s="99"/>
      <c r="LR232" s="99"/>
      <c r="LS232" s="99"/>
      <c r="LT232" s="99"/>
      <c r="LU232" s="99"/>
      <c r="LV232" s="99"/>
      <c r="LW232" s="99"/>
      <c r="LX232" s="99"/>
      <c r="LY232" s="99"/>
      <c r="LZ232" s="99"/>
      <c r="MA232" s="99"/>
      <c r="MB232" s="99"/>
      <c r="MC232" s="99"/>
      <c r="MD232" s="99"/>
      <c r="ME232" s="99"/>
      <c r="MF232" s="99"/>
    </row>
    <row r="233" spans="1:344" ht="17.25" customHeight="1" x14ac:dyDescent="0.25">
      <c r="A233" s="156"/>
      <c r="B233" s="81" t="s">
        <v>6</v>
      </c>
      <c r="C233" s="82">
        <v>45367</v>
      </c>
      <c r="D233" s="49"/>
      <c r="G233" s="89">
        <f t="shared" si="373"/>
        <v>0</v>
      </c>
      <c r="H233" s="35">
        <f t="shared" si="374"/>
        <v>0</v>
      </c>
      <c r="I233" s="39"/>
      <c r="L233" s="89">
        <f t="shared" si="375"/>
        <v>0</v>
      </c>
      <c r="M233" s="35">
        <f t="shared" si="392"/>
        <v>0</v>
      </c>
      <c r="N233" s="35">
        <f t="shared" si="393"/>
        <v>0</v>
      </c>
      <c r="O233" s="97" t="e">
        <f>SUM($Z233,$BH233,$AQ233,$BY233,$CP233,$DG233,$DX233,$EO233,$FF233,$FW233,$GN233)/D233</f>
        <v>#DIV/0!</v>
      </c>
      <c r="P233" s="150"/>
      <c r="Q233" s="132">
        <f t="shared" si="457"/>
        <v>0</v>
      </c>
      <c r="R233" s="134">
        <f t="shared" si="453"/>
        <v>0</v>
      </c>
      <c r="S233" s="136">
        <f t="shared" si="454"/>
        <v>0</v>
      </c>
      <c r="T233" s="138">
        <f t="shared" si="455"/>
        <v>0</v>
      </c>
      <c r="U233" s="144">
        <f t="shared" si="456"/>
        <v>0</v>
      </c>
      <c r="W233" s="11">
        <v>0</v>
      </c>
      <c r="X233" s="1">
        <v>0</v>
      </c>
      <c r="Y233" s="35">
        <f t="shared" si="376"/>
        <v>0</v>
      </c>
      <c r="Z233" s="35">
        <f t="shared" si="394"/>
        <v>0</v>
      </c>
      <c r="AA233" s="15">
        <f t="shared" si="407"/>
        <v>1.7526844611321799E-6</v>
      </c>
      <c r="AB233" s="43">
        <f t="shared" si="451"/>
        <v>1.1887408414142363E-5</v>
      </c>
      <c r="AC233" s="43">
        <f t="shared" si="452"/>
        <v>6.7824007559600688</v>
      </c>
      <c r="AD233" s="33"/>
      <c r="AH233" s="31"/>
      <c r="AP233" s="35">
        <f t="shared" si="377"/>
        <v>0</v>
      </c>
      <c r="AQ233" s="35">
        <f t="shared" si="395"/>
        <v>0</v>
      </c>
      <c r="AR233" s="15">
        <f t="shared" si="408"/>
        <v>5.2929336026190897E-4</v>
      </c>
      <c r="AS233" s="28">
        <f t="shared" si="409"/>
        <v>2.4784519010316246E-2</v>
      </c>
      <c r="AT233" s="28">
        <f t="shared" si="410"/>
        <v>46.825675270236118</v>
      </c>
      <c r="AU233" s="33"/>
      <c r="AY233" s="31"/>
      <c r="BG233" s="35">
        <f t="shared" si="378"/>
        <v>0</v>
      </c>
      <c r="BH233" s="35">
        <f t="shared" si="396"/>
        <v>0</v>
      </c>
      <c r="BI233" s="15">
        <f t="shared" si="411"/>
        <v>7.2896456831556087E-4</v>
      </c>
      <c r="BJ233" s="28">
        <f t="shared" si="412"/>
        <v>3.8074060080761495E-2</v>
      </c>
      <c r="BK233" s="28">
        <f t="shared" si="413"/>
        <v>52.23033016370097</v>
      </c>
      <c r="BL233" s="33"/>
      <c r="BP233" s="31"/>
      <c r="BX233" s="35">
        <f t="shared" si="379"/>
        <v>0</v>
      </c>
      <c r="BY233" s="35">
        <f t="shared" si="397"/>
        <v>0</v>
      </c>
      <c r="BZ233" s="15">
        <f t="shared" si="414"/>
        <v>5.5428060460611592E-4</v>
      </c>
      <c r="CA233" s="28">
        <f t="shared" si="415"/>
        <v>2.3661214319225098E-2</v>
      </c>
      <c r="CB233" s="28">
        <f t="shared" si="416"/>
        <v>42.688151312888316</v>
      </c>
      <c r="CC233" s="33"/>
      <c r="CG233" s="31"/>
      <c r="CO233" s="35">
        <f t="shared" si="380"/>
        <v>0</v>
      </c>
      <c r="CP233" s="35">
        <f t="shared" si="398"/>
        <v>0</v>
      </c>
      <c r="CQ233" s="15">
        <f t="shared" si="417"/>
        <v>6.0728488147616347E-4</v>
      </c>
      <c r="CR233" s="28">
        <f t="shared" si="418"/>
        <v>3.061893224534349E-2</v>
      </c>
      <c r="CS233" s="28">
        <f t="shared" si="419"/>
        <v>50.419388295845984</v>
      </c>
      <c r="CT233" s="33"/>
      <c r="CX233" s="31"/>
      <c r="DF233" s="35">
        <f t="shared" si="381"/>
        <v>0</v>
      </c>
      <c r="DG233" s="35">
        <f t="shared" si="399"/>
        <v>0</v>
      </c>
      <c r="DH233" s="15">
        <f t="shared" si="420"/>
        <v>5.9067073838706932E-4</v>
      </c>
      <c r="DI233" s="28">
        <f t="shared" si="421"/>
        <v>1.8604748008049107E-2</v>
      </c>
      <c r="DJ233" s="28">
        <f t="shared" si="422"/>
        <v>31.497663247806479</v>
      </c>
      <c r="DK233" s="33"/>
      <c r="DO233" s="31"/>
      <c r="DW233" s="35">
        <f t="shared" si="382"/>
        <v>0</v>
      </c>
      <c r="DX233" s="35">
        <f t="shared" si="400"/>
        <v>0</v>
      </c>
      <c r="DY233" s="15">
        <f t="shared" si="423"/>
        <v>6.1155175022407395E-4</v>
      </c>
      <c r="DZ233" s="28">
        <f t="shared" si="424"/>
        <v>1.816384480600958E-2</v>
      </c>
      <c r="EA233" s="28">
        <f t="shared" si="425"/>
        <v>29.701239182709081</v>
      </c>
      <c r="EB233" s="33"/>
      <c r="EF233" s="31"/>
      <c r="EN233" s="35">
        <f t="shared" si="383"/>
        <v>0</v>
      </c>
      <c r="EO233" s="35">
        <f t="shared" si="401"/>
        <v>0</v>
      </c>
      <c r="EP233" s="15">
        <f t="shared" si="426"/>
        <v>6.529443702688898E-4</v>
      </c>
      <c r="EQ233" s="28">
        <f t="shared" si="427"/>
        <v>3.5691029638530485E-2</v>
      </c>
      <c r="ER233" s="28">
        <f t="shared" si="428"/>
        <v>54.661669911990387</v>
      </c>
      <c r="ES233" s="33"/>
      <c r="EW233" s="31"/>
      <c r="FE233" s="35">
        <f t="shared" si="384"/>
        <v>0</v>
      </c>
      <c r="FF233" s="35">
        <f t="shared" si="402"/>
        <v>0</v>
      </c>
      <c r="FG233" s="15">
        <f t="shared" si="429"/>
        <v>6.3081293533061376E-4</v>
      </c>
      <c r="FH233" s="28">
        <f t="shared" si="430"/>
        <v>3.2671852143972724E-2</v>
      </c>
      <c r="FI233" s="28">
        <f t="shared" si="431"/>
        <v>51.793250128660034</v>
      </c>
      <c r="FJ233" s="33"/>
      <c r="FN233" s="31"/>
      <c r="FV233" s="35">
        <f t="shared" si="385"/>
        <v>0</v>
      </c>
      <c r="FW233" s="35">
        <f t="shared" si="403"/>
        <v>0</v>
      </c>
      <c r="FX233" s="15">
        <f t="shared" si="432"/>
        <v>5.9384214938862498E-4</v>
      </c>
      <c r="FY233" s="28">
        <f t="shared" si="433"/>
        <v>3.2714897434390967E-2</v>
      </c>
      <c r="FZ233" s="28">
        <f t="shared" si="434"/>
        <v>55.090224680197856</v>
      </c>
      <c r="GA233" s="33"/>
      <c r="GE233" s="31"/>
      <c r="GM233" s="35">
        <f t="shared" si="386"/>
        <v>0</v>
      </c>
      <c r="GN233" s="35">
        <f t="shared" si="404"/>
        <v>0</v>
      </c>
      <c r="GO233" s="15">
        <f t="shared" si="435"/>
        <v>6.1363903513010209E-4</v>
      </c>
      <c r="GP233" s="28">
        <f t="shared" si="436"/>
        <v>3.3716260064529505E-2</v>
      </c>
      <c r="GQ233" s="28">
        <f t="shared" si="437"/>
        <v>54.944777196876132</v>
      </c>
      <c r="GR233" s="33"/>
      <c r="GV233" s="31"/>
      <c r="HD233" s="35">
        <f t="shared" si="387"/>
        <v>0</v>
      </c>
      <c r="HE233" s="35">
        <f t="shared" si="405"/>
        <v>0</v>
      </c>
      <c r="HF233" s="15">
        <f t="shared" si="438"/>
        <v>8.6443624152929212E-4</v>
      </c>
      <c r="HG233" s="28">
        <f t="shared" si="439"/>
        <v>2.4456525497596457E-2</v>
      </c>
      <c r="HH233" s="28">
        <f t="shared" si="440"/>
        <v>28.291878941042441</v>
      </c>
      <c r="HI233" s="33"/>
      <c r="HM233" s="31"/>
      <c r="HU233" s="35">
        <f t="shared" si="388"/>
        <v>0</v>
      </c>
      <c r="HV233" s="35">
        <f t="shared" si="406"/>
        <v>0</v>
      </c>
      <c r="HW233" s="15">
        <f t="shared" si="441"/>
        <v>1.9957114037562152E-12</v>
      </c>
      <c r="HX233" s="28">
        <f t="shared" si="442"/>
        <v>8.5949261808519865E-15</v>
      </c>
      <c r="HY233" s="28">
        <f t="shared" si="443"/>
        <v>4.3066979347189688E-3</v>
      </c>
      <c r="HZ233" s="33"/>
      <c r="ID233" s="31"/>
      <c r="II233" s="12"/>
      <c r="IL233" s="35">
        <f t="shared" si="389"/>
        <v>0</v>
      </c>
      <c r="IM233" s="35">
        <f t="shared" si="390"/>
        <v>213.5370642635323</v>
      </c>
      <c r="IN233" s="15">
        <f t="shared" si="444"/>
        <v>1.9667132194428096E-4</v>
      </c>
      <c r="IO233" s="28">
        <f t="shared" si="445"/>
        <v>6.3572015570641759E-4</v>
      </c>
      <c r="IP233" s="28">
        <f t="shared" si="446"/>
        <v>3.2323988541985993</v>
      </c>
      <c r="IQ233" s="33"/>
      <c r="IU233" s="31"/>
      <c r="JC233" s="35">
        <f t="shared" si="369"/>
        <v>0</v>
      </c>
      <c r="JD233" s="35">
        <f t="shared" si="391"/>
        <v>252.22123906285572</v>
      </c>
      <c r="JE233" s="15">
        <f t="shared" si="447"/>
        <v>2.3749653864277263E-4</v>
      </c>
      <c r="JF233" s="28">
        <f t="shared" si="448"/>
        <v>8.1140373511090025E-4</v>
      </c>
      <c r="JG233" s="28">
        <f t="shared" si="449"/>
        <v>3.4164865717532109</v>
      </c>
      <c r="JH233" s="33"/>
      <c r="JL233" s="31"/>
      <c r="JR233" s="99"/>
      <c r="JS233" s="99"/>
      <c r="JT233" s="99"/>
      <c r="JU233" s="99"/>
      <c r="JV233" s="99"/>
      <c r="JW233" s="99"/>
      <c r="JX233" s="99"/>
      <c r="JY233" s="99"/>
      <c r="JZ233" s="99"/>
      <c r="KA233" s="99"/>
      <c r="KB233" s="99"/>
      <c r="KC233" s="99"/>
      <c r="KD233" s="99"/>
      <c r="KE233" s="99"/>
      <c r="KF233" s="99"/>
      <c r="KG233" s="99"/>
      <c r="KH233" s="99"/>
      <c r="KI233" s="99"/>
      <c r="KJ233" s="99"/>
      <c r="KK233" s="99"/>
      <c r="KL233" s="99"/>
      <c r="KM233" s="99"/>
      <c r="KN233" s="99"/>
      <c r="KO233" s="99"/>
      <c r="KP233" s="99"/>
      <c r="KQ233" s="99"/>
      <c r="KR233" s="99"/>
      <c r="KS233" s="99"/>
      <c r="KT233" s="99"/>
      <c r="KU233" s="99"/>
      <c r="KV233" s="99"/>
      <c r="KW233" s="99"/>
      <c r="KX233" s="99"/>
      <c r="KY233" s="99"/>
      <c r="KZ233" s="99"/>
      <c r="LA233" s="99"/>
      <c r="LB233" s="99"/>
      <c r="LC233" s="99"/>
      <c r="LD233" s="99"/>
      <c r="LE233" s="99"/>
      <c r="LF233" s="99"/>
      <c r="LG233" s="99"/>
      <c r="LH233" s="99"/>
      <c r="LI233" s="99"/>
      <c r="LJ233" s="99"/>
      <c r="LK233" s="99"/>
      <c r="LL233" s="99"/>
      <c r="LM233" s="99"/>
      <c r="LN233" s="99"/>
      <c r="LO233" s="99"/>
      <c r="LP233" s="99"/>
      <c r="LQ233" s="99"/>
      <c r="LR233" s="99"/>
      <c r="LS233" s="99"/>
      <c r="LT233" s="99"/>
      <c r="LU233" s="99"/>
      <c r="LV233" s="99"/>
      <c r="LW233" s="99"/>
      <c r="LX233" s="99"/>
      <c r="LY233" s="99"/>
      <c r="LZ233" s="99"/>
      <c r="MA233" s="99"/>
      <c r="MB233" s="99"/>
      <c r="MC233" s="99"/>
      <c r="MD233" s="99"/>
      <c r="ME233" s="99"/>
      <c r="MF233" s="99"/>
    </row>
    <row r="234" spans="1:344" ht="17.25" customHeight="1" x14ac:dyDescent="0.25">
      <c r="A234" s="157"/>
      <c r="B234" s="83" t="s">
        <v>7</v>
      </c>
      <c r="C234" s="84">
        <v>45368</v>
      </c>
      <c r="D234" s="51"/>
      <c r="E234" s="48"/>
      <c r="F234" s="104"/>
      <c r="G234" s="37">
        <f t="shared" si="373"/>
        <v>0</v>
      </c>
      <c r="H234" s="26">
        <f t="shared" si="374"/>
        <v>0</v>
      </c>
      <c r="I234" s="48"/>
      <c r="J234" s="48"/>
      <c r="K234" s="104"/>
      <c r="L234" s="37">
        <f t="shared" si="375"/>
        <v>0</v>
      </c>
      <c r="M234" s="26">
        <f t="shared" si="392"/>
        <v>0</v>
      </c>
      <c r="N234" s="26">
        <f t="shared" si="393"/>
        <v>0</v>
      </c>
      <c r="O234" s="98" t="e">
        <f>SUM($Z234,$BH234,$AQ234,$BY234,$CP234,$DG234,$DX234,$EO234,$FF234,$FW234,$GN234)/D234</f>
        <v>#DIV/0!</v>
      </c>
      <c r="P234" s="151"/>
      <c r="Q234" s="139">
        <f t="shared" si="457"/>
        <v>0</v>
      </c>
      <c r="R234" s="140">
        <f t="shared" si="453"/>
        <v>0</v>
      </c>
      <c r="S234" s="141">
        <f t="shared" si="454"/>
        <v>0</v>
      </c>
      <c r="T234" s="142">
        <f t="shared" si="455"/>
        <v>0</v>
      </c>
      <c r="U234" s="145">
        <f t="shared" si="456"/>
        <v>0</v>
      </c>
      <c r="V234" s="23"/>
      <c r="W234" s="13">
        <v>0</v>
      </c>
      <c r="X234" s="2">
        <v>0</v>
      </c>
      <c r="Y234" s="26">
        <f t="shared" si="376"/>
        <v>0</v>
      </c>
      <c r="Z234" s="26">
        <f t="shared" si="394"/>
        <v>0</v>
      </c>
      <c r="AA234" s="16">
        <f t="shared" si="407"/>
        <v>1.4118847048009228E-6</v>
      </c>
      <c r="AB234" s="44">
        <f t="shared" si="451"/>
        <v>8.9155563106067711E-6</v>
      </c>
      <c r="AC234" s="44">
        <f t="shared" si="452"/>
        <v>6.31464897968696</v>
      </c>
      <c r="AD234" s="34"/>
      <c r="AE234" s="4"/>
      <c r="AF234" s="5"/>
      <c r="AG234" s="6"/>
      <c r="AH234" s="32"/>
      <c r="AI234" s="3"/>
      <c r="AJ234" s="4"/>
      <c r="AK234" s="5"/>
      <c r="AL234" s="6"/>
      <c r="AM234" s="14"/>
      <c r="AN234" s="13"/>
      <c r="AO234" s="2"/>
      <c r="AP234" s="26">
        <f t="shared" si="377"/>
        <v>0</v>
      </c>
      <c r="AQ234" s="26">
        <f t="shared" si="395"/>
        <v>0</v>
      </c>
      <c r="AR234" s="16">
        <f t="shared" si="408"/>
        <v>4.263752068776488E-4</v>
      </c>
      <c r="AS234" s="29">
        <f t="shared" si="409"/>
        <v>1.8588389257737183E-2</v>
      </c>
      <c r="AT234" s="29">
        <f t="shared" si="410"/>
        <v>43.596318355047423</v>
      </c>
      <c r="AU234" s="34"/>
      <c r="AV234" s="4"/>
      <c r="AW234" s="5"/>
      <c r="AX234" s="6"/>
      <c r="AY234" s="32"/>
      <c r="AZ234" s="3"/>
      <c r="BA234" s="4"/>
      <c r="BB234" s="5"/>
      <c r="BC234" s="6"/>
      <c r="BD234" s="14"/>
      <c r="BE234" s="13"/>
      <c r="BF234" s="2"/>
      <c r="BG234" s="26">
        <f t="shared" si="378"/>
        <v>0</v>
      </c>
      <c r="BH234" s="26">
        <f t="shared" si="396"/>
        <v>0</v>
      </c>
      <c r="BI234" s="16">
        <f t="shared" si="411"/>
        <v>5.8722145780975741E-4</v>
      </c>
      <c r="BJ234" s="29">
        <f t="shared" si="412"/>
        <v>2.8555545060571119E-2</v>
      </c>
      <c r="BK234" s="29">
        <f t="shared" si="413"/>
        <v>48.628238428273313</v>
      </c>
      <c r="BL234" s="34"/>
      <c r="BM234" s="4"/>
      <c r="BN234" s="5"/>
      <c r="BO234" s="6"/>
      <c r="BP234" s="32"/>
      <c r="BQ234" s="3"/>
      <c r="BR234" s="4"/>
      <c r="BS234" s="5"/>
      <c r="BT234" s="6"/>
      <c r="BU234" s="14"/>
      <c r="BV234" s="13"/>
      <c r="BW234" s="2"/>
      <c r="BX234" s="26">
        <f t="shared" si="379"/>
        <v>0</v>
      </c>
      <c r="BY234" s="26">
        <f t="shared" si="397"/>
        <v>0</v>
      </c>
      <c r="BZ234" s="16">
        <f t="shared" si="414"/>
        <v>4.4650382037714892E-4</v>
      </c>
      <c r="CA234" s="29">
        <f t="shared" si="415"/>
        <v>1.7745910739418821E-2</v>
      </c>
      <c r="CB234" s="29">
        <f t="shared" si="416"/>
        <v>39.744140877516706</v>
      </c>
      <c r="CC234" s="34"/>
      <c r="CD234" s="4"/>
      <c r="CE234" s="5"/>
      <c r="CF234" s="6"/>
      <c r="CG234" s="32"/>
      <c r="CH234" s="3"/>
      <c r="CI234" s="4"/>
      <c r="CJ234" s="5"/>
      <c r="CK234" s="6"/>
      <c r="CL234" s="14"/>
      <c r="CM234" s="13"/>
      <c r="CN234" s="2"/>
      <c r="CO234" s="26">
        <f t="shared" si="380"/>
        <v>0</v>
      </c>
      <c r="CP234" s="26">
        <f t="shared" si="398"/>
        <v>0</v>
      </c>
      <c r="CQ234" s="16">
        <f t="shared" si="417"/>
        <v>4.8920171007802067E-4</v>
      </c>
      <c r="CR234" s="29">
        <f t="shared" si="418"/>
        <v>2.2964199184007619E-2</v>
      </c>
      <c r="CS234" s="29">
        <f t="shared" si="419"/>
        <v>46.942189103029015</v>
      </c>
      <c r="CT234" s="34"/>
      <c r="CU234" s="4"/>
      <c r="CV234" s="5"/>
      <c r="CW234" s="6"/>
      <c r="CX234" s="32"/>
      <c r="CY234" s="3"/>
      <c r="CZ234" s="4"/>
      <c r="DA234" s="5"/>
      <c r="DB234" s="6"/>
      <c r="DC234" s="14"/>
      <c r="DD234" s="13"/>
      <c r="DE234" s="2"/>
      <c r="DF234" s="26">
        <f t="shared" si="381"/>
        <v>0</v>
      </c>
      <c r="DG234" s="26">
        <f t="shared" si="399"/>
        <v>0</v>
      </c>
      <c r="DH234" s="16">
        <f t="shared" si="420"/>
        <v>4.7581809481180579E-4</v>
      </c>
      <c r="DI234" s="29">
        <f t="shared" si="421"/>
        <v>1.395356100603683E-2</v>
      </c>
      <c r="DJ234" s="29">
        <f t="shared" si="422"/>
        <v>29.325410610026722</v>
      </c>
      <c r="DK234" s="34"/>
      <c r="DL234" s="4"/>
      <c r="DM234" s="5"/>
      <c r="DN234" s="6"/>
      <c r="DO234" s="32"/>
      <c r="DP234" s="3"/>
      <c r="DQ234" s="4"/>
      <c r="DR234" s="5"/>
      <c r="DS234" s="6"/>
      <c r="DT234" s="14"/>
      <c r="DU234" s="13"/>
      <c r="DV234" s="2"/>
      <c r="DW234" s="26">
        <f t="shared" si="382"/>
        <v>0</v>
      </c>
      <c r="DX234" s="26">
        <f t="shared" si="400"/>
        <v>0</v>
      </c>
      <c r="DY234" s="16">
        <f t="shared" si="423"/>
        <v>4.9263890990272619E-4</v>
      </c>
      <c r="DZ234" s="29">
        <f t="shared" si="424"/>
        <v>1.3622883604507186E-2</v>
      </c>
      <c r="EA234" s="29">
        <f t="shared" si="425"/>
        <v>27.652877859763628</v>
      </c>
      <c r="EB234" s="34"/>
      <c r="EC234" s="4"/>
      <c r="ED234" s="5"/>
      <c r="EE234" s="6"/>
      <c r="EF234" s="32"/>
      <c r="EG234" s="3"/>
      <c r="EH234" s="4"/>
      <c r="EI234" s="5"/>
      <c r="EJ234" s="6"/>
      <c r="EK234" s="14"/>
      <c r="EL234" s="13"/>
      <c r="EM234" s="2"/>
      <c r="EN234" s="26">
        <f t="shared" si="383"/>
        <v>0</v>
      </c>
      <c r="EO234" s="26">
        <f t="shared" si="401"/>
        <v>0</v>
      </c>
      <c r="EP234" s="16">
        <f t="shared" si="426"/>
        <v>5.2598296493882788E-4</v>
      </c>
      <c r="EQ234" s="29">
        <f t="shared" si="427"/>
        <v>2.6768272228897862E-2</v>
      </c>
      <c r="ER234" s="29">
        <f t="shared" si="428"/>
        <v>50.891899573232429</v>
      </c>
      <c r="ES234" s="34"/>
      <c r="ET234" s="4"/>
      <c r="EU234" s="5"/>
      <c r="EV234" s="6"/>
      <c r="EW234" s="32"/>
      <c r="EX234" s="3"/>
      <c r="EY234" s="4"/>
      <c r="EZ234" s="5"/>
      <c r="FA234" s="6"/>
      <c r="FB234" s="14"/>
      <c r="FC234" s="13"/>
      <c r="FD234" s="2"/>
      <c r="FE234" s="26">
        <f t="shared" si="384"/>
        <v>0</v>
      </c>
      <c r="FF234" s="26">
        <f t="shared" si="402"/>
        <v>0</v>
      </c>
      <c r="FG234" s="16">
        <f t="shared" si="429"/>
        <v>5.081548645718833E-4</v>
      </c>
      <c r="FH234" s="29">
        <f t="shared" si="430"/>
        <v>2.4503889107979543E-2</v>
      </c>
      <c r="FI234" s="29">
        <f t="shared" si="431"/>
        <v>48.221301843924856</v>
      </c>
      <c r="FJ234" s="34"/>
      <c r="FK234" s="4"/>
      <c r="FL234" s="5"/>
      <c r="FM234" s="6"/>
      <c r="FN234" s="32"/>
      <c r="FO234" s="3"/>
      <c r="FP234" s="4"/>
      <c r="FQ234" s="5"/>
      <c r="FR234" s="6"/>
      <c r="FS234" s="14"/>
      <c r="FT234" s="13"/>
      <c r="FU234" s="2"/>
      <c r="FV234" s="26">
        <f t="shared" si="385"/>
        <v>0</v>
      </c>
      <c r="FW234" s="26">
        <f t="shared" si="403"/>
        <v>0</v>
      </c>
      <c r="FX234" s="16">
        <f t="shared" si="432"/>
        <v>4.78372842563059E-4</v>
      </c>
      <c r="FY234" s="29">
        <f t="shared" si="433"/>
        <v>2.4536173075793227E-2</v>
      </c>
      <c r="FZ234" s="29">
        <f t="shared" si="434"/>
        <v>51.290898840184212</v>
      </c>
      <c r="GA234" s="34"/>
      <c r="GB234" s="4"/>
      <c r="GC234" s="5"/>
      <c r="GD234" s="6"/>
      <c r="GE234" s="32"/>
      <c r="GF234" s="3"/>
      <c r="GG234" s="4"/>
      <c r="GH234" s="5"/>
      <c r="GI234" s="6"/>
      <c r="GJ234" s="14"/>
      <c r="GK234" s="13"/>
      <c r="GL234" s="2"/>
      <c r="GM234" s="26">
        <f t="shared" si="386"/>
        <v>0</v>
      </c>
      <c r="GN234" s="26">
        <f t="shared" si="404"/>
        <v>0</v>
      </c>
      <c r="GO234" s="16">
        <f t="shared" si="435"/>
        <v>4.943203338548045E-4</v>
      </c>
      <c r="GP234" s="29">
        <f t="shared" si="436"/>
        <v>2.5287195048397128E-2</v>
      </c>
      <c r="GQ234" s="29">
        <f t="shared" si="437"/>
        <v>51.155482217781227</v>
      </c>
      <c r="GR234" s="34"/>
      <c r="GS234" s="4"/>
      <c r="GT234" s="5"/>
      <c r="GU234" s="6"/>
      <c r="GV234" s="32"/>
      <c r="GW234" s="3"/>
      <c r="GX234" s="4"/>
      <c r="GY234" s="5"/>
      <c r="GZ234" s="6"/>
      <c r="HA234" s="14"/>
      <c r="HB234" s="13"/>
      <c r="HC234" s="2"/>
      <c r="HD234" s="26">
        <f t="shared" si="387"/>
        <v>0</v>
      </c>
      <c r="HE234" s="26">
        <f t="shared" si="405"/>
        <v>0</v>
      </c>
      <c r="HF234" s="16">
        <f t="shared" si="438"/>
        <v>6.9635141678748539E-4</v>
      </c>
      <c r="HG234" s="29">
        <f t="shared" si="439"/>
        <v>1.8342394123197343E-2</v>
      </c>
      <c r="HH234" s="29">
        <f t="shared" si="440"/>
        <v>26.340714876142961</v>
      </c>
      <c r="HI234" s="34"/>
      <c r="HJ234" s="4"/>
      <c r="HK234" s="5"/>
      <c r="HL234" s="6"/>
      <c r="HM234" s="32"/>
      <c r="HN234" s="3"/>
      <c r="HO234" s="4"/>
      <c r="HP234" s="5"/>
      <c r="HQ234" s="6"/>
      <c r="HR234" s="14"/>
      <c r="HS234" s="13"/>
      <c r="HT234" s="2"/>
      <c r="HU234" s="26">
        <f t="shared" si="388"/>
        <v>0</v>
      </c>
      <c r="HV234" s="26">
        <f t="shared" si="406"/>
        <v>0</v>
      </c>
      <c r="HW234" s="16">
        <f t="shared" si="441"/>
        <v>1.6076564085813958E-12</v>
      </c>
      <c r="HX234" s="29">
        <f t="shared" si="442"/>
        <v>6.4461946356389898E-15</v>
      </c>
      <c r="HY234" s="29">
        <f t="shared" si="443"/>
        <v>4.0096842840486946E-3</v>
      </c>
      <c r="HZ234" s="34"/>
      <c r="IA234" s="4"/>
      <c r="IB234" s="5"/>
      <c r="IC234" s="6"/>
      <c r="ID234" s="32"/>
      <c r="IE234" s="3"/>
      <c r="IF234" s="4"/>
      <c r="IG234" s="5"/>
      <c r="IH234" s="6"/>
      <c r="II234" s="14"/>
      <c r="IJ234" s="13"/>
      <c r="IK234" s="2"/>
      <c r="IL234" s="26">
        <f t="shared" si="389"/>
        <v>0</v>
      </c>
      <c r="IM234" s="26">
        <f t="shared" si="390"/>
        <v>198.79302754200233</v>
      </c>
      <c r="IN234" s="16">
        <f t="shared" si="444"/>
        <v>1.5842967601067075E-4</v>
      </c>
      <c r="IO234" s="29">
        <f t="shared" si="445"/>
        <v>4.7679011677981319E-4</v>
      </c>
      <c r="IP234" s="29">
        <f t="shared" si="446"/>
        <v>3.0094747952883512</v>
      </c>
      <c r="IQ234" s="34"/>
      <c r="IR234" s="4"/>
      <c r="IS234" s="5"/>
      <c r="IT234" s="6"/>
      <c r="IU234" s="32"/>
      <c r="IV234" s="3"/>
      <c r="IW234" s="4"/>
      <c r="IX234" s="5"/>
      <c r="IY234" s="6"/>
      <c r="IZ234" s="14"/>
      <c r="JA234" s="13"/>
      <c r="JB234" s="2"/>
      <c r="JC234" s="26">
        <f t="shared" si="369"/>
        <v>0</v>
      </c>
      <c r="JD234" s="26">
        <f t="shared" si="391"/>
        <v>234.80426991701134</v>
      </c>
      <c r="JE234" s="16">
        <f t="shared" si="447"/>
        <v>1.913166561289002E-4</v>
      </c>
      <c r="JF234" s="29">
        <f t="shared" si="448"/>
        <v>6.0855280133317521E-4</v>
      </c>
      <c r="JG234" s="29">
        <f t="shared" si="449"/>
        <v>3.1808668081840237</v>
      </c>
      <c r="JH234" s="34"/>
      <c r="JI234" s="4"/>
      <c r="JJ234" s="5"/>
      <c r="JK234" s="6"/>
      <c r="JL234" s="32"/>
      <c r="JM234" s="3"/>
      <c r="JN234" s="4"/>
      <c r="JO234" s="5"/>
      <c r="JP234" s="6"/>
      <c r="JQ234" s="14"/>
      <c r="JR234" s="99"/>
      <c r="JS234" s="99"/>
      <c r="JT234" s="99"/>
      <c r="JU234" s="99"/>
      <c r="JV234" s="99"/>
      <c r="JW234" s="99"/>
      <c r="JX234" s="99"/>
      <c r="JY234" s="99"/>
      <c r="JZ234" s="99"/>
      <c r="KA234" s="99"/>
      <c r="KB234" s="99"/>
      <c r="KC234" s="99"/>
      <c r="KD234" s="99"/>
      <c r="KE234" s="99"/>
      <c r="KF234" s="99"/>
      <c r="KG234" s="99"/>
      <c r="KH234" s="99"/>
      <c r="KI234" s="99"/>
      <c r="KJ234" s="99"/>
      <c r="KK234" s="99"/>
      <c r="KL234" s="99"/>
      <c r="KM234" s="99"/>
      <c r="KN234" s="99"/>
      <c r="KO234" s="99"/>
      <c r="KP234" s="99"/>
      <c r="KQ234" s="99"/>
      <c r="KR234" s="99"/>
      <c r="KS234" s="99"/>
      <c r="KT234" s="99"/>
      <c r="KU234" s="99"/>
      <c r="KV234" s="99"/>
      <c r="KW234" s="99"/>
      <c r="KX234" s="99"/>
      <c r="KY234" s="99"/>
      <c r="KZ234" s="99"/>
      <c r="LA234" s="99"/>
      <c r="LB234" s="99"/>
      <c r="LC234" s="99"/>
      <c r="LD234" s="99"/>
      <c r="LE234" s="99"/>
      <c r="LF234" s="99"/>
      <c r="LG234" s="99"/>
      <c r="LH234" s="99"/>
      <c r="LI234" s="99"/>
      <c r="LJ234" s="99"/>
      <c r="LK234" s="99"/>
      <c r="LL234" s="99"/>
      <c r="LM234" s="99"/>
      <c r="LN234" s="99"/>
      <c r="LO234" s="99"/>
      <c r="LP234" s="99"/>
      <c r="LQ234" s="99"/>
      <c r="LR234" s="99"/>
      <c r="LS234" s="99"/>
      <c r="LT234" s="99"/>
      <c r="LU234" s="99"/>
      <c r="LV234" s="99"/>
      <c r="LW234" s="99"/>
      <c r="LX234" s="99"/>
      <c r="LY234" s="99"/>
      <c r="LZ234" s="99"/>
      <c r="MA234" s="99"/>
      <c r="MB234" s="99"/>
      <c r="MC234" s="99"/>
      <c r="MD234" s="99"/>
      <c r="ME234" s="99"/>
      <c r="MF234" s="99"/>
    </row>
    <row r="235" spans="1:344" ht="17.25" customHeight="1" x14ac:dyDescent="0.25">
      <c r="A235" s="155" t="s">
        <v>39</v>
      </c>
      <c r="B235" s="79" t="s">
        <v>1</v>
      </c>
      <c r="C235" s="80">
        <v>45369</v>
      </c>
      <c r="D235" s="50"/>
      <c r="G235" s="36">
        <f t="shared" si="373"/>
        <v>0</v>
      </c>
      <c r="H235" s="27">
        <f t="shared" si="374"/>
        <v>0</v>
      </c>
      <c r="I235" s="47"/>
      <c r="K235" s="105"/>
      <c r="L235" s="89">
        <f t="shared" si="375"/>
        <v>0</v>
      </c>
      <c r="M235" s="27">
        <f t="shared" si="392"/>
        <v>0</v>
      </c>
      <c r="N235" s="35">
        <f t="shared" si="393"/>
        <v>0</v>
      </c>
      <c r="O235" s="97" t="e">
        <f>SUM($Z235,$BH235,$AQ235,$BY235,$CP235,$DG235,$DX235,$EO235,$FF235,$FW235,$GN235)/I235</f>
        <v>#DIV/0!</v>
      </c>
      <c r="P235" s="149">
        <f t="shared" si="450"/>
        <v>0</v>
      </c>
      <c r="Q235" s="131">
        <f t="shared" si="457"/>
        <v>0</v>
      </c>
      <c r="R235" s="133">
        <f t="shared" si="453"/>
        <v>0</v>
      </c>
      <c r="S235" s="135">
        <f t="shared" si="454"/>
        <v>0</v>
      </c>
      <c r="T235" s="137">
        <f t="shared" si="455"/>
        <v>0</v>
      </c>
      <c r="U235" s="143">
        <f t="shared" si="456"/>
        <v>0</v>
      </c>
      <c r="W235" s="11">
        <v>0</v>
      </c>
      <c r="X235" s="1">
        <v>0</v>
      </c>
      <c r="Y235" s="27">
        <f t="shared" si="376"/>
        <v>0</v>
      </c>
      <c r="Z235" s="27">
        <f t="shared" si="394"/>
        <v>0</v>
      </c>
      <c r="AA235" s="15">
        <f t="shared" si="407"/>
        <v>1.1373515677562989E-6</v>
      </c>
      <c r="AB235" s="43">
        <f t="shared" si="451"/>
        <v>6.6866672329550784E-6</v>
      </c>
      <c r="AC235" s="43">
        <f t="shared" si="452"/>
        <v>5.8791559466051009</v>
      </c>
      <c r="AD235" s="33"/>
      <c r="AH235" s="31"/>
      <c r="AP235" s="27">
        <f t="shared" si="377"/>
        <v>0</v>
      </c>
      <c r="AQ235" s="27">
        <f t="shared" si="395"/>
        <v>0</v>
      </c>
      <c r="AR235" s="15">
        <f t="shared" si="408"/>
        <v>3.4346891665143936E-4</v>
      </c>
      <c r="AS235" s="28">
        <f t="shared" si="409"/>
        <v>1.3941291943302887E-2</v>
      </c>
      <c r="AT235" s="28">
        <f t="shared" si="410"/>
        <v>40.589675709871734</v>
      </c>
      <c r="AU235" s="33"/>
      <c r="AY235" s="31"/>
      <c r="BG235" s="27">
        <f t="shared" si="378"/>
        <v>0</v>
      </c>
      <c r="BH235" s="27">
        <f t="shared" si="396"/>
        <v>0</v>
      </c>
      <c r="BI235" s="15">
        <f t="shared" si="411"/>
        <v>4.7303950768008235E-4</v>
      </c>
      <c r="BJ235" s="28">
        <f t="shared" si="412"/>
        <v>2.1416658795428339E-2</v>
      </c>
      <c r="BK235" s="28">
        <f t="shared" si="413"/>
        <v>45.274566812530324</v>
      </c>
      <c r="BL235" s="33"/>
      <c r="BP235" s="31"/>
      <c r="BX235" s="27">
        <f t="shared" si="379"/>
        <v>0</v>
      </c>
      <c r="BY235" s="27">
        <f t="shared" si="397"/>
        <v>0</v>
      </c>
      <c r="BZ235" s="15">
        <f t="shared" si="414"/>
        <v>3.5968363308159216E-4</v>
      </c>
      <c r="CA235" s="28">
        <f t="shared" si="415"/>
        <v>1.3309433054564116E-2</v>
      </c>
      <c r="CB235" s="28">
        <f t="shared" si="416"/>
        <v>37.00316564458452</v>
      </c>
      <c r="CC235" s="33"/>
      <c r="CG235" s="31"/>
      <c r="CO235" s="27">
        <f t="shared" si="380"/>
        <v>0</v>
      </c>
      <c r="CP235" s="27">
        <f t="shared" si="398"/>
        <v>0</v>
      </c>
      <c r="CQ235" s="15">
        <f t="shared" si="417"/>
        <v>3.9407915534062776E-4</v>
      </c>
      <c r="CR235" s="28">
        <f t="shared" si="418"/>
        <v>1.7223149388005714E-2</v>
      </c>
      <c r="CS235" s="28">
        <f t="shared" si="419"/>
        <v>43.704796751095977</v>
      </c>
      <c r="CT235" s="33"/>
      <c r="CX235" s="31"/>
      <c r="DF235" s="27">
        <f t="shared" si="381"/>
        <v>0</v>
      </c>
      <c r="DG235" s="27">
        <f t="shared" si="399"/>
        <v>0</v>
      </c>
      <c r="DH235" s="15">
        <f t="shared" si="420"/>
        <v>3.8329790970951025E-4</v>
      </c>
      <c r="DI235" s="28">
        <f t="shared" si="421"/>
        <v>1.0465170754527624E-2</v>
      </c>
      <c r="DJ235" s="28">
        <f t="shared" si="422"/>
        <v>27.302968498990396</v>
      </c>
      <c r="DK235" s="33"/>
      <c r="DO235" s="31"/>
      <c r="DW235" s="27">
        <f t="shared" si="382"/>
        <v>0</v>
      </c>
      <c r="DX235" s="27">
        <f t="shared" si="400"/>
        <v>0</v>
      </c>
      <c r="DY235" s="15">
        <f t="shared" si="423"/>
        <v>3.9684801075497389E-4</v>
      </c>
      <c r="DZ235" s="28">
        <f t="shared" si="424"/>
        <v>1.0217162703380391E-2</v>
      </c>
      <c r="EA235" s="28">
        <f t="shared" si="425"/>
        <v>25.745782834952344</v>
      </c>
      <c r="EB235" s="33"/>
      <c r="EF235" s="31"/>
      <c r="EN235" s="27">
        <f t="shared" si="383"/>
        <v>0</v>
      </c>
      <c r="EO235" s="27">
        <f t="shared" si="401"/>
        <v>0</v>
      </c>
      <c r="EP235" s="15">
        <f t="shared" si="426"/>
        <v>4.2370849953405585E-4</v>
      </c>
      <c r="EQ235" s="28">
        <f t="shared" si="427"/>
        <v>2.0076204171673398E-2</v>
      </c>
      <c r="ER235" s="28">
        <f t="shared" si="428"/>
        <v>47.382113395768123</v>
      </c>
      <c r="ES235" s="33"/>
      <c r="EW235" s="31"/>
      <c r="FE235" s="27">
        <f t="shared" si="384"/>
        <v>0</v>
      </c>
      <c r="FF235" s="27">
        <f t="shared" si="402"/>
        <v>0</v>
      </c>
      <c r="FG235" s="15">
        <f t="shared" si="429"/>
        <v>4.093469742384616E-4</v>
      </c>
      <c r="FH235" s="28">
        <f t="shared" si="430"/>
        <v>1.8377916830984657E-2</v>
      </c>
      <c r="FI235" s="28">
        <f t="shared" si="431"/>
        <v>44.895694820205897</v>
      </c>
      <c r="FJ235" s="33"/>
      <c r="FN235" s="31"/>
      <c r="FV235" s="27">
        <f t="shared" si="385"/>
        <v>0</v>
      </c>
      <c r="FW235" s="27">
        <f t="shared" si="403"/>
        <v>0</v>
      </c>
      <c r="FX235" s="15">
        <f t="shared" si="432"/>
        <v>3.8535590095357535E-4</v>
      </c>
      <c r="FY235" s="28">
        <f t="shared" si="433"/>
        <v>1.840212980684492E-2</v>
      </c>
      <c r="FZ235" s="28">
        <f t="shared" si="434"/>
        <v>47.753595471895643</v>
      </c>
      <c r="GA235" s="33"/>
      <c r="GE235" s="31"/>
      <c r="GM235" s="27">
        <f t="shared" si="386"/>
        <v>0</v>
      </c>
      <c r="GN235" s="27">
        <f t="shared" si="404"/>
        <v>0</v>
      </c>
      <c r="GO235" s="15">
        <f t="shared" si="435"/>
        <v>3.9820249116081466E-4</v>
      </c>
      <c r="GP235" s="28">
        <f t="shared" si="436"/>
        <v>1.8965396286297845E-2</v>
      </c>
      <c r="GQ235" s="28">
        <f t="shared" si="437"/>
        <v>47.627517926899763</v>
      </c>
      <c r="GR235" s="33"/>
      <c r="GV235" s="31"/>
      <c r="HD235" s="27">
        <f t="shared" si="387"/>
        <v>0</v>
      </c>
      <c r="HE235" s="27">
        <f t="shared" si="405"/>
        <v>0</v>
      </c>
      <c r="HF235" s="15">
        <f t="shared" si="438"/>
        <v>5.6094975241214099E-4</v>
      </c>
      <c r="HG235" s="28">
        <f t="shared" si="439"/>
        <v>1.3756795592398008E-2</v>
      </c>
      <c r="HH235" s="28">
        <f t="shared" si="440"/>
        <v>24.524113850202067</v>
      </c>
      <c r="HI235" s="33"/>
      <c r="HM235" s="31"/>
      <c r="HU235" s="27">
        <f t="shared" si="388"/>
        <v>0</v>
      </c>
      <c r="HV235" s="27">
        <f t="shared" si="406"/>
        <v>0</v>
      </c>
      <c r="HW235" s="15">
        <f t="shared" si="441"/>
        <v>1.2950565513572355E-12</v>
      </c>
      <c r="HX235" s="28">
        <f t="shared" si="442"/>
        <v>4.834645976729242E-15</v>
      </c>
      <c r="HY235" s="28">
        <f t="shared" si="443"/>
        <v>3.7331543334246466E-3</v>
      </c>
      <c r="HZ235" s="33"/>
      <c r="ID235" s="31"/>
      <c r="II235" s="12"/>
      <c r="IL235" s="27">
        <f t="shared" si="389"/>
        <v>0</v>
      </c>
      <c r="IM235" s="27">
        <f t="shared" si="390"/>
        <v>185.07014500604012</v>
      </c>
      <c r="IN235" s="15">
        <f t="shared" si="444"/>
        <v>1.2762390567526256E-4</v>
      </c>
      <c r="IO235" s="28">
        <f t="shared" si="445"/>
        <v>3.5759258758485989E-4</v>
      </c>
      <c r="IP235" s="28">
        <f t="shared" si="446"/>
        <v>2.8019248094063958</v>
      </c>
      <c r="IQ235" s="33"/>
      <c r="IU235" s="31"/>
      <c r="JC235" s="27">
        <f t="shared" si="369"/>
        <v>0</v>
      </c>
      <c r="JD235" s="27">
        <f t="shared" si="391"/>
        <v>218.59405859049792</v>
      </c>
      <c r="JE235" s="15">
        <f t="shared" si="447"/>
        <v>1.5411619521494741E-4</v>
      </c>
      <c r="JF235" s="28">
        <f t="shared" si="448"/>
        <v>4.5641460099988141E-4</v>
      </c>
      <c r="JG235" s="28">
        <f t="shared" si="449"/>
        <v>2.9614966834816769</v>
      </c>
      <c r="JH235" s="33"/>
      <c r="JL235" s="31"/>
      <c r="JR235" s="99"/>
      <c r="JS235" s="99"/>
      <c r="JT235" s="99"/>
      <c r="JU235" s="99"/>
      <c r="JV235" s="99"/>
      <c r="JW235" s="99"/>
      <c r="JX235" s="99"/>
      <c r="JY235" s="99"/>
      <c r="JZ235" s="99"/>
      <c r="KA235" s="99"/>
      <c r="KB235" s="99"/>
      <c r="KC235" s="99"/>
      <c r="KD235" s="99"/>
      <c r="KE235" s="99"/>
      <c r="KF235" s="99"/>
      <c r="KG235" s="99"/>
      <c r="KH235" s="99"/>
      <c r="KI235" s="99"/>
      <c r="KJ235" s="99"/>
      <c r="KK235" s="99"/>
      <c r="KL235" s="99"/>
      <c r="KM235" s="99"/>
      <c r="KN235" s="99"/>
      <c r="KO235" s="99"/>
      <c r="KP235" s="99"/>
      <c r="KQ235" s="99"/>
      <c r="KR235" s="99"/>
      <c r="KS235" s="99"/>
      <c r="KT235" s="99"/>
      <c r="KU235" s="99"/>
      <c r="KV235" s="99"/>
      <c r="KW235" s="99"/>
      <c r="KX235" s="99"/>
      <c r="KY235" s="99"/>
      <c r="KZ235" s="99"/>
      <c r="LA235" s="99"/>
      <c r="LB235" s="99"/>
      <c r="LC235" s="99"/>
      <c r="LD235" s="99"/>
      <c r="LE235" s="99"/>
      <c r="LF235" s="99"/>
      <c r="LG235" s="99"/>
      <c r="LH235" s="99"/>
      <c r="LI235" s="99"/>
      <c r="LJ235" s="99"/>
      <c r="LK235" s="99"/>
      <c r="LL235" s="99"/>
      <c r="LM235" s="99"/>
      <c r="LN235" s="99"/>
      <c r="LO235" s="99"/>
      <c r="LP235" s="99"/>
      <c r="LQ235" s="99"/>
      <c r="LR235" s="99"/>
      <c r="LS235" s="99"/>
      <c r="LT235" s="99"/>
      <c r="LU235" s="99"/>
      <c r="LV235" s="99"/>
      <c r="LW235" s="99"/>
      <c r="LX235" s="99"/>
      <c r="LY235" s="99"/>
      <c r="LZ235" s="99"/>
      <c r="MA235" s="99"/>
      <c r="MB235" s="99"/>
      <c r="MC235" s="99"/>
      <c r="MD235" s="99"/>
      <c r="ME235" s="99"/>
      <c r="MF235" s="99"/>
    </row>
    <row r="236" spans="1:344" ht="17.25" customHeight="1" x14ac:dyDescent="0.25">
      <c r="A236" s="156"/>
      <c r="B236" s="81" t="s">
        <v>2</v>
      </c>
      <c r="C236" s="82">
        <v>45370</v>
      </c>
      <c r="D236" s="49"/>
      <c r="G236" s="89">
        <f t="shared" si="373"/>
        <v>0</v>
      </c>
      <c r="H236" s="35">
        <f t="shared" si="374"/>
        <v>0</v>
      </c>
      <c r="I236" s="39"/>
      <c r="L236" s="89">
        <f t="shared" si="375"/>
        <v>0</v>
      </c>
      <c r="M236" s="35">
        <f t="shared" si="392"/>
        <v>0</v>
      </c>
      <c r="N236" s="35">
        <f t="shared" si="393"/>
        <v>0</v>
      </c>
      <c r="O236" s="97" t="e">
        <f>SUM($Z236,$BH236,$AQ236,$BY236,$CP236,$DG236,$DX236,$EO236,$FF236,$FW236,$GN236)/I236</f>
        <v>#DIV/0!</v>
      </c>
      <c r="P236" s="150"/>
      <c r="Q236" s="132">
        <f t="shared" si="457"/>
        <v>0</v>
      </c>
      <c r="R236" s="134">
        <f t="shared" si="453"/>
        <v>0</v>
      </c>
      <c r="S236" s="136">
        <f t="shared" si="454"/>
        <v>0</v>
      </c>
      <c r="T236" s="138">
        <f t="shared" si="455"/>
        <v>0</v>
      </c>
      <c r="U236" s="144">
        <f t="shared" si="456"/>
        <v>0</v>
      </c>
      <c r="W236" s="11">
        <v>0</v>
      </c>
      <c r="X236" s="1">
        <v>0</v>
      </c>
      <c r="Y236" s="35">
        <f t="shared" si="376"/>
        <v>0</v>
      </c>
      <c r="Z236" s="35">
        <f t="shared" si="394"/>
        <v>0</v>
      </c>
      <c r="AA236" s="15">
        <f t="shared" si="407"/>
        <v>9.1619987402590743E-7</v>
      </c>
      <c r="AB236" s="43">
        <f t="shared" si="451"/>
        <v>5.0150004247163088E-6</v>
      </c>
      <c r="AC236" s="43">
        <f t="shared" si="452"/>
        <v>5.4736969158047488</v>
      </c>
      <c r="AD236" s="33"/>
      <c r="AH236" s="31"/>
      <c r="AP236" s="35">
        <f t="shared" si="377"/>
        <v>0</v>
      </c>
      <c r="AQ236" s="35">
        <f t="shared" si="395"/>
        <v>0</v>
      </c>
      <c r="AR236" s="15">
        <f t="shared" si="408"/>
        <v>2.7668329396921503E-4</v>
      </c>
      <c r="AS236" s="28">
        <f t="shared" si="409"/>
        <v>1.0455968957477165E-2</v>
      </c>
      <c r="AT236" s="28">
        <f t="shared" si="410"/>
        <v>37.790387729880578</v>
      </c>
      <c r="AU236" s="33"/>
      <c r="AY236" s="31"/>
      <c r="BG236" s="35">
        <f t="shared" si="378"/>
        <v>0</v>
      </c>
      <c r="BH236" s="35">
        <f t="shared" si="396"/>
        <v>0</v>
      </c>
      <c r="BI236" s="15">
        <f t="shared" si="411"/>
        <v>3.8105960340895523E-4</v>
      </c>
      <c r="BJ236" s="28">
        <f t="shared" si="412"/>
        <v>1.6062494096571255E-2</v>
      </c>
      <c r="BK236" s="28">
        <f t="shared" si="413"/>
        <v>42.152182894424783</v>
      </c>
      <c r="BL236" s="33"/>
      <c r="BP236" s="31"/>
      <c r="BX236" s="35">
        <f t="shared" si="379"/>
        <v>0</v>
      </c>
      <c r="BY236" s="35">
        <f t="shared" si="397"/>
        <v>0</v>
      </c>
      <c r="BZ236" s="15">
        <f t="shared" si="414"/>
        <v>2.8974514887128265E-4</v>
      </c>
      <c r="CA236" s="28">
        <f t="shared" si="415"/>
        <v>9.9820747909230879E-3</v>
      </c>
      <c r="CB236" s="28">
        <f t="shared" si="416"/>
        <v>34.451223186337309</v>
      </c>
      <c r="CC236" s="33"/>
      <c r="CG236" s="31"/>
      <c r="CO236" s="35">
        <f t="shared" si="380"/>
        <v>0</v>
      </c>
      <c r="CP236" s="35">
        <f t="shared" si="398"/>
        <v>0</v>
      </c>
      <c r="CQ236" s="15">
        <f t="shared" si="417"/>
        <v>3.1745265291328347E-4</v>
      </c>
      <c r="CR236" s="28">
        <f t="shared" si="418"/>
        <v>1.2917362041004285E-2</v>
      </c>
      <c r="CS236" s="28">
        <f t="shared" si="419"/>
        <v>40.690672837227289</v>
      </c>
      <c r="CT236" s="33"/>
      <c r="CX236" s="31"/>
      <c r="DF236" s="35">
        <f t="shared" si="381"/>
        <v>0</v>
      </c>
      <c r="DG236" s="35">
        <f t="shared" si="399"/>
        <v>0</v>
      </c>
      <c r="DH236" s="15">
        <f t="shared" si="420"/>
        <v>3.0876776059932771E-4</v>
      </c>
      <c r="DI236" s="28">
        <f t="shared" si="421"/>
        <v>7.8488780658957178E-3</v>
      </c>
      <c r="DJ236" s="28">
        <f t="shared" si="422"/>
        <v>25.420005154232438</v>
      </c>
      <c r="DK236" s="33"/>
      <c r="DO236" s="31"/>
      <c r="DW236" s="35">
        <f t="shared" si="382"/>
        <v>0</v>
      </c>
      <c r="DX236" s="35">
        <f t="shared" si="400"/>
        <v>0</v>
      </c>
      <c r="DY236" s="15">
        <f t="shared" si="423"/>
        <v>3.1968311977484013E-4</v>
      </c>
      <c r="DZ236" s="28">
        <f t="shared" si="424"/>
        <v>7.6628720275352929E-3</v>
      </c>
      <c r="EA236" s="28">
        <f t="shared" si="425"/>
        <v>23.97021160495563</v>
      </c>
      <c r="EB236" s="33"/>
      <c r="EF236" s="31"/>
      <c r="EN236" s="35">
        <f t="shared" si="383"/>
        <v>0</v>
      </c>
      <c r="EO236" s="35">
        <f t="shared" si="401"/>
        <v>0</v>
      </c>
      <c r="EP236" s="15">
        <f t="shared" si="426"/>
        <v>3.4132073573576722E-4</v>
      </c>
      <c r="EQ236" s="28">
        <f t="shared" si="427"/>
        <v>1.5057153128755048E-2</v>
      </c>
      <c r="ER236" s="28">
        <f t="shared" si="428"/>
        <v>44.114381437439285</v>
      </c>
      <c r="ES236" s="33"/>
      <c r="EW236" s="31"/>
      <c r="FE236" s="35">
        <f t="shared" si="384"/>
        <v>0</v>
      </c>
      <c r="FF236" s="35">
        <f t="shared" si="402"/>
        <v>0</v>
      </c>
      <c r="FG236" s="15">
        <f t="shared" si="429"/>
        <v>3.2975172924764961E-4</v>
      </c>
      <c r="FH236" s="28">
        <f t="shared" si="430"/>
        <v>1.3783437623238493E-2</v>
      </c>
      <c r="FI236" s="28">
        <f t="shared" si="431"/>
        <v>41.799440005019285</v>
      </c>
      <c r="FJ236" s="33"/>
      <c r="FN236" s="31"/>
      <c r="FV236" s="35">
        <f t="shared" si="385"/>
        <v>0</v>
      </c>
      <c r="FW236" s="35">
        <f t="shared" si="403"/>
        <v>0</v>
      </c>
      <c r="FX236" s="15">
        <f t="shared" si="432"/>
        <v>3.10425586879269E-4</v>
      </c>
      <c r="FY236" s="28">
        <f t="shared" si="433"/>
        <v>1.380159735513369E-2</v>
      </c>
      <c r="FZ236" s="28">
        <f t="shared" si="434"/>
        <v>44.460244060040772</v>
      </c>
      <c r="GA236" s="33"/>
      <c r="GE236" s="31"/>
      <c r="GM236" s="35">
        <f t="shared" si="386"/>
        <v>0</v>
      </c>
      <c r="GN236" s="35">
        <f t="shared" si="404"/>
        <v>0</v>
      </c>
      <c r="GO236" s="15">
        <f t="shared" si="435"/>
        <v>3.2077422899065631E-4</v>
      </c>
      <c r="GP236" s="28">
        <f t="shared" si="436"/>
        <v>1.4224047214723385E-2</v>
      </c>
      <c r="GQ236" s="28">
        <f t="shared" si="437"/>
        <v>44.342861518148055</v>
      </c>
      <c r="GR236" s="33"/>
      <c r="GV236" s="31"/>
      <c r="HD236" s="35">
        <f t="shared" si="387"/>
        <v>0</v>
      </c>
      <c r="HE236" s="35">
        <f t="shared" si="405"/>
        <v>0</v>
      </c>
      <c r="HF236" s="15">
        <f t="shared" si="438"/>
        <v>4.5187618944311363E-4</v>
      </c>
      <c r="HG236" s="28">
        <f t="shared" si="439"/>
        <v>1.0317596694298506E-2</v>
      </c>
      <c r="HH236" s="28">
        <f t="shared" si="440"/>
        <v>22.832795653636406</v>
      </c>
      <c r="HI236" s="33"/>
      <c r="HM236" s="31"/>
      <c r="HU236" s="35">
        <f t="shared" si="388"/>
        <v>0</v>
      </c>
      <c r="HV236" s="35">
        <f t="shared" si="406"/>
        <v>0</v>
      </c>
      <c r="HW236" s="15">
        <f t="shared" si="441"/>
        <v>1.0432399997044397E-12</v>
      </c>
      <c r="HX236" s="28">
        <f t="shared" si="442"/>
        <v>3.6259844825469319E-15</v>
      </c>
      <c r="HY236" s="28">
        <f t="shared" si="443"/>
        <v>3.4756954138781193E-3</v>
      </c>
      <c r="HZ236" s="33"/>
      <c r="ID236" s="31"/>
      <c r="II236" s="12"/>
      <c r="IL236" s="35">
        <f t="shared" si="389"/>
        <v>0</v>
      </c>
      <c r="IM236" s="35">
        <f t="shared" si="390"/>
        <v>172.29691346629684</v>
      </c>
      <c r="IN236" s="15">
        <f t="shared" si="444"/>
        <v>1.0280814623840594E-4</v>
      </c>
      <c r="IO236" s="28">
        <f t="shared" si="445"/>
        <v>2.6819444068864489E-4</v>
      </c>
      <c r="IP236" s="28">
        <f t="shared" si="446"/>
        <v>2.6086886156542306</v>
      </c>
      <c r="IQ236" s="33"/>
      <c r="IU236" s="31"/>
      <c r="JC236" s="35">
        <f t="shared" si="369"/>
        <v>0</v>
      </c>
      <c r="JD236" s="35">
        <f t="shared" si="391"/>
        <v>203.50598599225918</v>
      </c>
      <c r="JE236" s="15">
        <f t="shared" si="447"/>
        <v>1.2414915725648541E-4</v>
      </c>
      <c r="JF236" s="28">
        <f t="shared" si="448"/>
        <v>3.4231095074991106E-4</v>
      </c>
      <c r="JG236" s="28">
        <f t="shared" si="449"/>
        <v>2.7572555328967336</v>
      </c>
      <c r="JH236" s="33"/>
      <c r="JL236" s="31"/>
      <c r="JR236" s="99"/>
      <c r="JS236" s="99"/>
      <c r="JT236" s="99"/>
      <c r="JU236" s="99"/>
      <c r="JV236" s="99"/>
      <c r="JW236" s="99"/>
      <c r="JX236" s="99"/>
      <c r="JY236" s="99"/>
      <c r="JZ236" s="99"/>
      <c r="KA236" s="99"/>
      <c r="KB236" s="99"/>
      <c r="KC236" s="99"/>
      <c r="KD236" s="99"/>
      <c r="KE236" s="99"/>
      <c r="KF236" s="99"/>
      <c r="KG236" s="99"/>
      <c r="KH236" s="99"/>
      <c r="KI236" s="99"/>
      <c r="KJ236" s="99"/>
      <c r="KK236" s="99"/>
      <c r="KL236" s="99"/>
      <c r="KM236" s="99"/>
      <c r="KN236" s="99"/>
      <c r="KO236" s="99"/>
      <c r="KP236" s="99"/>
      <c r="KQ236" s="99"/>
      <c r="KR236" s="99"/>
      <c r="KS236" s="99"/>
      <c r="KT236" s="99"/>
      <c r="KU236" s="99"/>
      <c r="KV236" s="99"/>
      <c r="KW236" s="99"/>
      <c r="KX236" s="99"/>
      <c r="KY236" s="99"/>
      <c r="KZ236" s="99"/>
      <c r="LA236" s="99"/>
      <c r="LB236" s="99"/>
      <c r="LC236" s="99"/>
      <c r="LD236" s="99"/>
      <c r="LE236" s="99"/>
      <c r="LF236" s="99"/>
      <c r="LG236" s="99"/>
      <c r="LH236" s="99"/>
      <c r="LI236" s="99"/>
      <c r="LJ236" s="99"/>
      <c r="LK236" s="99"/>
      <c r="LL236" s="99"/>
      <c r="LM236" s="99"/>
      <c r="LN236" s="99"/>
      <c r="LO236" s="99"/>
      <c r="LP236" s="99"/>
      <c r="LQ236" s="99"/>
      <c r="LR236" s="99"/>
      <c r="LS236" s="99"/>
      <c r="LT236" s="99"/>
      <c r="LU236" s="99"/>
      <c r="LV236" s="99"/>
      <c r="LW236" s="99"/>
      <c r="LX236" s="99"/>
      <c r="LY236" s="99"/>
      <c r="LZ236" s="99"/>
      <c r="MA236" s="99"/>
      <c r="MB236" s="99"/>
      <c r="MC236" s="99"/>
      <c r="MD236" s="99"/>
      <c r="ME236" s="99"/>
      <c r="MF236" s="99"/>
    </row>
    <row r="237" spans="1:344" ht="17.25" customHeight="1" x14ac:dyDescent="0.25">
      <c r="A237" s="156"/>
      <c r="B237" s="81" t="s">
        <v>3</v>
      </c>
      <c r="C237" s="82">
        <v>45371</v>
      </c>
      <c r="D237" s="49"/>
      <c r="G237" s="89">
        <f t="shared" si="373"/>
        <v>0</v>
      </c>
      <c r="H237" s="35">
        <f t="shared" si="374"/>
        <v>0</v>
      </c>
      <c r="I237" s="39"/>
      <c r="L237" s="89">
        <f t="shared" si="375"/>
        <v>0</v>
      </c>
      <c r="M237" s="35">
        <f t="shared" si="392"/>
        <v>0</v>
      </c>
      <c r="N237" s="35">
        <f t="shared" si="393"/>
        <v>0</v>
      </c>
      <c r="O237" s="97" t="e">
        <f>SUM($Z237,$BH237,$AQ237,$BY237,$CP237,$DG237,$DX237,$EO237,$FF237,$FW237,$GN237)/D237</f>
        <v>#DIV/0!</v>
      </c>
      <c r="P237" s="150"/>
      <c r="Q237" s="132">
        <f t="shared" si="457"/>
        <v>0</v>
      </c>
      <c r="R237" s="134">
        <f t="shared" si="453"/>
        <v>0</v>
      </c>
      <c r="S237" s="136">
        <f t="shared" si="454"/>
        <v>0</v>
      </c>
      <c r="T237" s="138">
        <f t="shared" si="455"/>
        <v>0</v>
      </c>
      <c r="U237" s="144">
        <f t="shared" si="456"/>
        <v>0</v>
      </c>
      <c r="W237" s="11">
        <v>0</v>
      </c>
      <c r="X237" s="1">
        <v>0</v>
      </c>
      <c r="Y237" s="35">
        <f t="shared" si="376"/>
        <v>0</v>
      </c>
      <c r="Z237" s="35">
        <f t="shared" si="394"/>
        <v>0</v>
      </c>
      <c r="AA237" s="15">
        <f t="shared" si="407"/>
        <v>7.3804989852086991E-7</v>
      </c>
      <c r="AB237" s="43">
        <f t="shared" si="451"/>
        <v>3.7612503185372318E-6</v>
      </c>
      <c r="AC237" s="43">
        <f t="shared" si="452"/>
        <v>5.0962005767837315</v>
      </c>
      <c r="AD237" s="33"/>
      <c r="AH237" s="31"/>
      <c r="AP237" s="35">
        <f t="shared" si="377"/>
        <v>0</v>
      </c>
      <c r="AQ237" s="35">
        <f t="shared" si="395"/>
        <v>0</v>
      </c>
      <c r="AR237" s="15">
        <f t="shared" si="408"/>
        <v>2.228837645863121E-4</v>
      </c>
      <c r="AS237" s="28">
        <f t="shared" si="409"/>
        <v>7.841976718107874E-3</v>
      </c>
      <c r="AT237" s="28">
        <f t="shared" si="410"/>
        <v>35.184154093337092</v>
      </c>
      <c r="AU237" s="33"/>
      <c r="AY237" s="31"/>
      <c r="BG237" s="35">
        <f t="shared" si="378"/>
        <v>0</v>
      </c>
      <c r="BH237" s="35">
        <f t="shared" si="396"/>
        <v>0</v>
      </c>
      <c r="BI237" s="15">
        <f t="shared" si="411"/>
        <v>3.0696468052388058E-4</v>
      </c>
      <c r="BJ237" s="28">
        <f t="shared" si="412"/>
        <v>1.2046870572428441E-2</v>
      </c>
      <c r="BK237" s="28">
        <f t="shared" si="413"/>
        <v>39.245135798257557</v>
      </c>
      <c r="BL237" s="33"/>
      <c r="BP237" s="31"/>
      <c r="BX237" s="35">
        <f t="shared" si="379"/>
        <v>0</v>
      </c>
      <c r="BY237" s="35">
        <f t="shared" si="397"/>
        <v>0</v>
      </c>
      <c r="BZ237" s="15">
        <f t="shared" si="414"/>
        <v>2.3340581436853328E-4</v>
      </c>
      <c r="CA237" s="28">
        <f t="shared" si="415"/>
        <v>7.486556093192316E-3</v>
      </c>
      <c r="CB237" s="28">
        <f t="shared" si="416"/>
        <v>32.075276759693352</v>
      </c>
      <c r="CC237" s="33"/>
      <c r="CG237" s="31"/>
      <c r="CO237" s="35">
        <f t="shared" si="380"/>
        <v>0</v>
      </c>
      <c r="CP237" s="35">
        <f t="shared" si="398"/>
        <v>0</v>
      </c>
      <c r="CQ237" s="15">
        <f t="shared" si="417"/>
        <v>2.55725748180145E-4</v>
      </c>
      <c r="CR237" s="28">
        <f t="shared" si="418"/>
        <v>9.6880215307532137E-3</v>
      </c>
      <c r="CS237" s="28">
        <f t="shared" si="419"/>
        <v>37.884419538108162</v>
      </c>
      <c r="CT237" s="33"/>
      <c r="CX237" s="31"/>
      <c r="DF237" s="35">
        <f t="shared" si="381"/>
        <v>0</v>
      </c>
      <c r="DG237" s="35">
        <f t="shared" si="399"/>
        <v>0</v>
      </c>
      <c r="DH237" s="15">
        <f t="shared" si="420"/>
        <v>2.487295849272362E-4</v>
      </c>
      <c r="DI237" s="28">
        <f t="shared" si="421"/>
        <v>5.8866585494217888E-3</v>
      </c>
      <c r="DJ237" s="28">
        <f t="shared" si="422"/>
        <v>23.666901350492271</v>
      </c>
      <c r="DK237" s="33"/>
      <c r="DO237" s="31"/>
      <c r="DW237" s="35">
        <f t="shared" si="382"/>
        <v>0</v>
      </c>
      <c r="DX237" s="35">
        <f t="shared" si="400"/>
        <v>0</v>
      </c>
      <c r="DY237" s="15">
        <f t="shared" si="423"/>
        <v>2.5752251315195451E-4</v>
      </c>
      <c r="DZ237" s="28">
        <f t="shared" si="424"/>
        <v>5.7471540206514692E-3</v>
      </c>
      <c r="EA237" s="28">
        <f t="shared" si="425"/>
        <v>22.31709356323455</v>
      </c>
      <c r="EB237" s="33"/>
      <c r="EF237" s="31"/>
      <c r="EN237" s="35">
        <f t="shared" si="383"/>
        <v>0</v>
      </c>
      <c r="EO237" s="35">
        <f t="shared" si="401"/>
        <v>0</v>
      </c>
      <c r="EP237" s="15">
        <f t="shared" si="426"/>
        <v>2.7495281489825691E-4</v>
      </c>
      <c r="EQ237" s="28">
        <f t="shared" si="427"/>
        <v>1.1292864846566286E-2</v>
      </c>
      <c r="ER237" s="28">
        <f t="shared" si="428"/>
        <v>41.072010303822779</v>
      </c>
      <c r="ES237" s="33"/>
      <c r="EW237" s="31"/>
      <c r="FE237" s="35">
        <f t="shared" si="384"/>
        <v>0</v>
      </c>
      <c r="FF237" s="35">
        <f t="shared" si="402"/>
        <v>0</v>
      </c>
      <c r="FG237" s="15">
        <f t="shared" si="429"/>
        <v>2.6563333744949558E-4</v>
      </c>
      <c r="FH237" s="28">
        <f t="shared" si="430"/>
        <v>1.033757821742887E-2</v>
      </c>
      <c r="FI237" s="28">
        <f t="shared" si="431"/>
        <v>38.916720004673124</v>
      </c>
      <c r="FJ237" s="33"/>
      <c r="FN237" s="31"/>
      <c r="FV237" s="35">
        <f t="shared" si="385"/>
        <v>0</v>
      </c>
      <c r="FW237" s="35">
        <f t="shared" si="403"/>
        <v>0</v>
      </c>
      <c r="FX237" s="15">
        <f t="shared" si="432"/>
        <v>2.500650560971889E-4</v>
      </c>
      <c r="FY237" s="28">
        <f t="shared" si="433"/>
        <v>1.0351198016350267E-2</v>
      </c>
      <c r="FZ237" s="28">
        <f t="shared" si="434"/>
        <v>41.3940203317621</v>
      </c>
      <c r="GA237" s="33"/>
      <c r="GE237" s="31"/>
      <c r="GM237" s="35">
        <f t="shared" si="386"/>
        <v>0</v>
      </c>
      <c r="GN237" s="35">
        <f t="shared" si="404"/>
        <v>0</v>
      </c>
      <c r="GO237" s="15">
        <f t="shared" si="435"/>
        <v>2.5840146224247315E-4</v>
      </c>
      <c r="GP237" s="28">
        <f t="shared" si="436"/>
        <v>1.066803541104254E-2</v>
      </c>
      <c r="GQ237" s="28">
        <f t="shared" si="437"/>
        <v>41.284733137586116</v>
      </c>
      <c r="GR237" s="33"/>
      <c r="GV237" s="31"/>
      <c r="HD237" s="35">
        <f t="shared" si="387"/>
        <v>0</v>
      </c>
      <c r="HE237" s="35">
        <f t="shared" si="405"/>
        <v>0</v>
      </c>
      <c r="HF237" s="15">
        <f t="shared" si="438"/>
        <v>3.6401137482917488E-4</v>
      </c>
      <c r="HG237" s="28">
        <f t="shared" si="439"/>
        <v>7.7381975207238794E-3</v>
      </c>
      <c r="HH237" s="28">
        <f t="shared" si="440"/>
        <v>21.258120091316652</v>
      </c>
      <c r="HI237" s="33"/>
      <c r="HM237" s="31"/>
      <c r="HU237" s="35">
        <f t="shared" si="388"/>
        <v>0</v>
      </c>
      <c r="HV237" s="35">
        <f t="shared" si="406"/>
        <v>0</v>
      </c>
      <c r="HW237" s="15">
        <f t="shared" si="441"/>
        <v>8.4038777753968767E-13</v>
      </c>
      <c r="HX237" s="28">
        <f t="shared" si="442"/>
        <v>2.7194883619101989E-15</v>
      </c>
      <c r="HY237" s="28">
        <f t="shared" si="443"/>
        <v>3.2359922818865246E-3</v>
      </c>
      <c r="HZ237" s="33"/>
      <c r="ID237" s="31"/>
      <c r="II237" s="12"/>
      <c r="IL237" s="35">
        <f t="shared" si="389"/>
        <v>0</v>
      </c>
      <c r="IM237" s="35">
        <f t="shared" si="390"/>
        <v>160.40703024028261</v>
      </c>
      <c r="IN237" s="15">
        <f t="shared" si="444"/>
        <v>8.2817673358715903E-5</v>
      </c>
      <c r="IO237" s="28">
        <f t="shared" si="445"/>
        <v>2.0114583051648367E-4</v>
      </c>
      <c r="IP237" s="28">
        <f t="shared" si="446"/>
        <v>2.4287790559539388</v>
      </c>
      <c r="IQ237" s="33"/>
      <c r="IU237" s="31"/>
      <c r="JC237" s="35">
        <f t="shared" si="369"/>
        <v>0</v>
      </c>
      <c r="JD237" s="35">
        <f t="shared" si="391"/>
        <v>189.46161695390836</v>
      </c>
      <c r="JE237" s="15">
        <f t="shared" si="447"/>
        <v>1.0000904334550213E-4</v>
      </c>
      <c r="JF237" s="28">
        <f t="shared" si="448"/>
        <v>2.5673321306243329E-4</v>
      </c>
      <c r="JG237" s="28">
        <f t="shared" si="449"/>
        <v>2.5670999789038556</v>
      </c>
      <c r="JH237" s="33"/>
      <c r="JL237" s="31"/>
      <c r="JR237" s="99"/>
      <c r="JS237" s="99"/>
      <c r="JT237" s="99"/>
      <c r="JU237" s="99"/>
      <c r="JV237" s="99"/>
      <c r="JW237" s="99"/>
      <c r="JX237" s="99"/>
      <c r="JY237" s="99"/>
      <c r="JZ237" s="99"/>
      <c r="KA237" s="99"/>
      <c r="KB237" s="99"/>
      <c r="KC237" s="99"/>
      <c r="KD237" s="99"/>
      <c r="KE237" s="99"/>
      <c r="KF237" s="99"/>
      <c r="KG237" s="99"/>
      <c r="KH237" s="99"/>
      <c r="KI237" s="99"/>
      <c r="KJ237" s="99"/>
      <c r="KK237" s="99"/>
      <c r="KL237" s="99"/>
      <c r="KM237" s="99"/>
      <c r="KN237" s="99"/>
      <c r="KO237" s="99"/>
      <c r="KP237" s="99"/>
      <c r="KQ237" s="99"/>
      <c r="KR237" s="99"/>
      <c r="KS237" s="99"/>
      <c r="KT237" s="99"/>
      <c r="KU237" s="99"/>
      <c r="KV237" s="99"/>
      <c r="KW237" s="99"/>
      <c r="KX237" s="99"/>
      <c r="KY237" s="99"/>
      <c r="KZ237" s="99"/>
      <c r="LA237" s="99"/>
      <c r="LB237" s="99"/>
      <c r="LC237" s="99"/>
      <c r="LD237" s="99"/>
      <c r="LE237" s="99"/>
      <c r="LF237" s="99"/>
      <c r="LG237" s="99"/>
      <c r="LH237" s="99"/>
      <c r="LI237" s="99"/>
      <c r="LJ237" s="99"/>
      <c r="LK237" s="99"/>
      <c r="LL237" s="99"/>
      <c r="LM237" s="99"/>
      <c r="LN237" s="99"/>
      <c r="LO237" s="99"/>
      <c r="LP237" s="99"/>
      <c r="LQ237" s="99"/>
      <c r="LR237" s="99"/>
      <c r="LS237" s="99"/>
      <c r="LT237" s="99"/>
      <c r="LU237" s="99"/>
      <c r="LV237" s="99"/>
      <c r="LW237" s="99"/>
      <c r="LX237" s="99"/>
      <c r="LY237" s="99"/>
      <c r="LZ237" s="99"/>
      <c r="MA237" s="99"/>
      <c r="MB237" s="99"/>
      <c r="MC237" s="99"/>
      <c r="MD237" s="99"/>
      <c r="ME237" s="99"/>
      <c r="MF237" s="99"/>
    </row>
    <row r="238" spans="1:344" ht="17.25" customHeight="1" x14ac:dyDescent="0.25">
      <c r="A238" s="156"/>
      <c r="B238" s="81" t="s">
        <v>4</v>
      </c>
      <c r="C238" s="82">
        <v>45372</v>
      </c>
      <c r="D238" s="49"/>
      <c r="G238" s="89">
        <f t="shared" si="373"/>
        <v>0</v>
      </c>
      <c r="H238" s="35">
        <f t="shared" si="374"/>
        <v>0</v>
      </c>
      <c r="I238" s="39"/>
      <c r="L238" s="89">
        <f t="shared" si="375"/>
        <v>0</v>
      </c>
      <c r="M238" s="35">
        <f t="shared" si="392"/>
        <v>0</v>
      </c>
      <c r="N238" s="35">
        <f t="shared" si="393"/>
        <v>0</v>
      </c>
      <c r="O238" s="97" t="e">
        <f>SUM($Z238,$BH238,$AQ238,$BY238,$CP238,$DG238,$DX238,$EO238,$FF238,$FW238,$GN238)/D238</f>
        <v>#DIV/0!</v>
      </c>
      <c r="P238" s="150"/>
      <c r="Q238" s="132">
        <f t="shared" si="457"/>
        <v>0</v>
      </c>
      <c r="R238" s="134">
        <f t="shared" si="453"/>
        <v>0</v>
      </c>
      <c r="S238" s="136">
        <f t="shared" si="454"/>
        <v>0</v>
      </c>
      <c r="T238" s="138">
        <f t="shared" si="455"/>
        <v>0</v>
      </c>
      <c r="U238" s="144">
        <f t="shared" si="456"/>
        <v>0</v>
      </c>
      <c r="W238" s="11">
        <v>0</v>
      </c>
      <c r="X238" s="1">
        <v>0</v>
      </c>
      <c r="Y238" s="35">
        <f t="shared" si="376"/>
        <v>0</v>
      </c>
      <c r="Z238" s="35">
        <f t="shared" si="394"/>
        <v>0</v>
      </c>
      <c r="AA238" s="15">
        <f t="shared" si="407"/>
        <v>5.9454019603070071E-7</v>
      </c>
      <c r="AB238" s="43">
        <f t="shared" si="451"/>
        <v>2.8209377389029238E-6</v>
      </c>
      <c r="AC238" s="43">
        <f t="shared" si="452"/>
        <v>4.7447384680400262</v>
      </c>
      <c r="AD238" s="33"/>
      <c r="AH238" s="31"/>
      <c r="AP238" s="35">
        <f t="shared" si="377"/>
        <v>0</v>
      </c>
      <c r="AQ238" s="35">
        <f t="shared" si="395"/>
        <v>0</v>
      </c>
      <c r="AR238" s="15">
        <f t="shared" si="408"/>
        <v>1.7954525480564032E-4</v>
      </c>
      <c r="AS238" s="28">
        <f t="shared" si="409"/>
        <v>5.8814825385809059E-3</v>
      </c>
      <c r="AT238" s="28">
        <f t="shared" si="410"/>
        <v>32.757660707589707</v>
      </c>
      <c r="AU238" s="33"/>
      <c r="AY238" s="31"/>
      <c r="BG238" s="35">
        <f t="shared" si="378"/>
        <v>0</v>
      </c>
      <c r="BH238" s="35">
        <f t="shared" si="396"/>
        <v>0</v>
      </c>
      <c r="BI238" s="15">
        <f t="shared" si="411"/>
        <v>2.4727710375534829E-4</v>
      </c>
      <c r="BJ238" s="28">
        <f t="shared" si="412"/>
        <v>9.0351529293213311E-3</v>
      </c>
      <c r="BK238" s="28">
        <f t="shared" si="413"/>
        <v>36.53857470872255</v>
      </c>
      <c r="BL238" s="33"/>
      <c r="BP238" s="31"/>
      <c r="BX238" s="35">
        <f t="shared" si="379"/>
        <v>0</v>
      </c>
      <c r="BY238" s="35">
        <f t="shared" si="397"/>
        <v>0</v>
      </c>
      <c r="BZ238" s="15">
        <f t="shared" si="414"/>
        <v>1.8802135046354067E-4</v>
      </c>
      <c r="CA238" s="28">
        <f t="shared" si="415"/>
        <v>5.6149170698942368E-3</v>
      </c>
      <c r="CB238" s="28">
        <f t="shared" si="416"/>
        <v>29.863188707300708</v>
      </c>
      <c r="CC238" s="33"/>
      <c r="CG238" s="31"/>
      <c r="CO238" s="35">
        <f t="shared" si="380"/>
        <v>0</v>
      </c>
      <c r="CP238" s="35">
        <f t="shared" si="398"/>
        <v>0</v>
      </c>
      <c r="CQ238" s="15">
        <f t="shared" si="417"/>
        <v>2.0600129714511682E-4</v>
      </c>
      <c r="CR238" s="28">
        <f t="shared" si="418"/>
        <v>7.2660161480649103E-3</v>
      </c>
      <c r="CS238" s="28">
        <f t="shared" si="419"/>
        <v>35.271700949273118</v>
      </c>
      <c r="CT238" s="33"/>
      <c r="CX238" s="31"/>
      <c r="DF238" s="35">
        <f t="shared" si="381"/>
        <v>0</v>
      </c>
      <c r="DG238" s="35">
        <f t="shared" si="399"/>
        <v>0</v>
      </c>
      <c r="DH238" s="15">
        <f t="shared" si="420"/>
        <v>2.0036549896916252E-4</v>
      </c>
      <c r="DI238" s="28">
        <f t="shared" si="421"/>
        <v>4.4149939120663416E-3</v>
      </c>
      <c r="DJ238" s="28">
        <f t="shared" si="422"/>
        <v>22.034701257354872</v>
      </c>
      <c r="DK238" s="33"/>
      <c r="DO238" s="31"/>
      <c r="DW238" s="35">
        <f t="shared" si="382"/>
        <v>0</v>
      </c>
      <c r="DX238" s="35">
        <f t="shared" si="400"/>
        <v>0</v>
      </c>
      <c r="DY238" s="15">
        <f t="shared" si="423"/>
        <v>2.0744869115018556E-4</v>
      </c>
      <c r="DZ238" s="28">
        <f t="shared" si="424"/>
        <v>4.3103655154886015E-3</v>
      </c>
      <c r="EA238" s="28">
        <f t="shared" si="425"/>
        <v>20.777983662321823</v>
      </c>
      <c r="EB238" s="33"/>
      <c r="EF238" s="31"/>
      <c r="EN238" s="35">
        <f t="shared" si="383"/>
        <v>0</v>
      </c>
      <c r="EO238" s="35">
        <f t="shared" si="401"/>
        <v>0</v>
      </c>
      <c r="EP238" s="15">
        <f t="shared" si="426"/>
        <v>2.2148976755692915E-4</v>
      </c>
      <c r="EQ238" s="28">
        <f t="shared" si="427"/>
        <v>8.4696486349247133E-3</v>
      </c>
      <c r="ER238" s="28">
        <f t="shared" si="428"/>
        <v>38.239457869076382</v>
      </c>
      <c r="ES238" s="33"/>
      <c r="EW238" s="31"/>
      <c r="FE238" s="35">
        <f t="shared" si="384"/>
        <v>0</v>
      </c>
      <c r="FF238" s="35">
        <f t="shared" si="402"/>
        <v>0</v>
      </c>
      <c r="FG238" s="15">
        <f t="shared" si="429"/>
        <v>2.1398241072320475E-4</v>
      </c>
      <c r="FH238" s="28">
        <f t="shared" si="430"/>
        <v>7.7531836630716526E-3</v>
      </c>
      <c r="FI238" s="28">
        <f t="shared" si="431"/>
        <v>36.232808280212907</v>
      </c>
      <c r="FJ238" s="33"/>
      <c r="FN238" s="31"/>
      <c r="FV238" s="35">
        <f t="shared" si="385"/>
        <v>0</v>
      </c>
      <c r="FW238" s="35">
        <f t="shared" si="403"/>
        <v>0</v>
      </c>
      <c r="FX238" s="15">
        <f t="shared" si="432"/>
        <v>2.0144129518940215E-4</v>
      </c>
      <c r="FY238" s="28">
        <f t="shared" si="433"/>
        <v>7.7633985122627005E-3</v>
      </c>
      <c r="FZ238" s="28">
        <f t="shared" si="434"/>
        <v>38.539260308881957</v>
      </c>
      <c r="GA238" s="33"/>
      <c r="GE238" s="31"/>
      <c r="GM238" s="35">
        <f t="shared" si="386"/>
        <v>0</v>
      </c>
      <c r="GN238" s="35">
        <f t="shared" si="404"/>
        <v>0</v>
      </c>
      <c r="GO238" s="15">
        <f t="shared" si="435"/>
        <v>2.0815673347310341E-4</v>
      </c>
      <c r="GP238" s="28">
        <f t="shared" si="436"/>
        <v>8.0010265582819047E-3</v>
      </c>
      <c r="GQ238" s="28">
        <f t="shared" si="437"/>
        <v>38.437510162580175</v>
      </c>
      <c r="GR238" s="33"/>
      <c r="GV238" s="31"/>
      <c r="HD238" s="35">
        <f t="shared" si="387"/>
        <v>0</v>
      </c>
      <c r="HE238" s="35">
        <f t="shared" si="405"/>
        <v>0</v>
      </c>
      <c r="HF238" s="15">
        <f t="shared" si="438"/>
        <v>2.9323138527905754E-4</v>
      </c>
      <c r="HG238" s="28">
        <f t="shared" si="439"/>
        <v>5.8036481405429096E-3</v>
      </c>
      <c r="HH238" s="28">
        <f t="shared" si="440"/>
        <v>19.792042843639642</v>
      </c>
      <c r="HI238" s="33"/>
      <c r="HM238" s="31"/>
      <c r="HU238" s="35">
        <f t="shared" si="388"/>
        <v>0</v>
      </c>
      <c r="HV238" s="35">
        <f t="shared" si="406"/>
        <v>0</v>
      </c>
      <c r="HW238" s="15">
        <f t="shared" si="441"/>
        <v>6.7697904301808174E-13</v>
      </c>
      <c r="HX238" s="28">
        <f t="shared" si="442"/>
        <v>2.0396162714326492E-15</v>
      </c>
      <c r="HY238" s="28">
        <f t="shared" si="443"/>
        <v>3.0128204003771089E-3</v>
      </c>
      <c r="HZ238" s="33"/>
      <c r="ID238" s="31"/>
      <c r="II238" s="12"/>
      <c r="IL238" s="35">
        <f t="shared" si="389"/>
        <v>0</v>
      </c>
      <c r="IM238" s="35">
        <f t="shared" si="390"/>
        <v>149.33896726883449</v>
      </c>
      <c r="IN238" s="15">
        <f t="shared" si="444"/>
        <v>6.6714236872298914E-5</v>
      </c>
      <c r="IO238" s="28">
        <f t="shared" si="445"/>
        <v>1.5085937288736274E-4</v>
      </c>
      <c r="IP238" s="28">
        <f t="shared" si="446"/>
        <v>2.2612770520950463</v>
      </c>
      <c r="IQ238" s="33"/>
      <c r="IU238" s="31"/>
      <c r="JC238" s="35">
        <f t="shared" si="369"/>
        <v>0</v>
      </c>
      <c r="JD238" s="35">
        <f t="shared" si="391"/>
        <v>176.38818681484929</v>
      </c>
      <c r="JE238" s="15">
        <f t="shared" si="447"/>
        <v>8.0562840472765622E-5</v>
      </c>
      <c r="JF238" s="28">
        <f t="shared" si="448"/>
        <v>1.9254990979682498E-4</v>
      </c>
      <c r="JG238" s="28">
        <f t="shared" si="449"/>
        <v>2.3900586010484171</v>
      </c>
      <c r="JH238" s="33"/>
      <c r="JL238" s="31"/>
      <c r="JR238" s="99"/>
      <c r="JS238" s="99"/>
      <c r="JT238" s="99"/>
      <c r="JU238" s="99"/>
      <c r="JV238" s="99"/>
      <c r="JW238" s="99"/>
      <c r="JX238" s="99"/>
      <c r="JY238" s="99"/>
      <c r="JZ238" s="99"/>
      <c r="KA238" s="99"/>
      <c r="KB238" s="99"/>
      <c r="KC238" s="99"/>
      <c r="KD238" s="99"/>
      <c r="KE238" s="99"/>
      <c r="KF238" s="99"/>
      <c r="KG238" s="99"/>
      <c r="KH238" s="99"/>
      <c r="KI238" s="99"/>
      <c r="KJ238" s="99"/>
      <c r="KK238" s="99"/>
      <c r="KL238" s="99"/>
      <c r="KM238" s="99"/>
      <c r="KN238" s="99"/>
      <c r="KO238" s="99"/>
      <c r="KP238" s="99"/>
      <c r="KQ238" s="99"/>
      <c r="KR238" s="99"/>
      <c r="KS238" s="99"/>
      <c r="KT238" s="99"/>
      <c r="KU238" s="99"/>
      <c r="KV238" s="99"/>
      <c r="KW238" s="99"/>
      <c r="KX238" s="99"/>
      <c r="KY238" s="99"/>
      <c r="KZ238" s="99"/>
      <c r="LA238" s="99"/>
      <c r="LB238" s="99"/>
      <c r="LC238" s="99"/>
      <c r="LD238" s="99"/>
      <c r="LE238" s="99"/>
      <c r="LF238" s="99"/>
      <c r="LG238" s="99"/>
      <c r="LH238" s="99"/>
      <c r="LI238" s="99"/>
      <c r="LJ238" s="99"/>
      <c r="LK238" s="99"/>
      <c r="LL238" s="99"/>
      <c r="LM238" s="99"/>
      <c r="LN238" s="99"/>
      <c r="LO238" s="99"/>
      <c r="LP238" s="99"/>
      <c r="LQ238" s="99"/>
      <c r="LR238" s="99"/>
      <c r="LS238" s="99"/>
      <c r="LT238" s="99"/>
      <c r="LU238" s="99"/>
      <c r="LV238" s="99"/>
      <c r="LW238" s="99"/>
      <c r="LX238" s="99"/>
      <c r="LY238" s="99"/>
      <c r="LZ238" s="99"/>
      <c r="MA238" s="99"/>
      <c r="MB238" s="99"/>
      <c r="MC238" s="99"/>
      <c r="MD238" s="99"/>
      <c r="ME238" s="99"/>
      <c r="MF238" s="99"/>
    </row>
    <row r="239" spans="1:344" ht="17.25" customHeight="1" x14ac:dyDescent="0.25">
      <c r="A239" s="156"/>
      <c r="B239" s="81" t="s">
        <v>5</v>
      </c>
      <c r="C239" s="82">
        <v>45373</v>
      </c>
      <c r="D239" s="49"/>
      <c r="G239" s="89">
        <f t="shared" si="373"/>
        <v>0</v>
      </c>
      <c r="H239" s="35">
        <f t="shared" si="374"/>
        <v>0</v>
      </c>
      <c r="I239" s="39"/>
      <c r="L239" s="89">
        <f t="shared" si="375"/>
        <v>0</v>
      </c>
      <c r="M239" s="35">
        <f t="shared" si="392"/>
        <v>0</v>
      </c>
      <c r="N239" s="35">
        <f t="shared" si="393"/>
        <v>0</v>
      </c>
      <c r="O239" s="97" t="e">
        <f>SUM($Z239,$BH239,$AQ239,$BY239,$CP239,$DG239,$DX239,$EO239,$FF239,$FW239,$GN239)/D239</f>
        <v>#DIV/0!</v>
      </c>
      <c r="P239" s="150"/>
      <c r="Q239" s="132">
        <f t="shared" si="457"/>
        <v>0</v>
      </c>
      <c r="R239" s="134">
        <f t="shared" si="453"/>
        <v>0</v>
      </c>
      <c r="S239" s="136">
        <f t="shared" si="454"/>
        <v>0</v>
      </c>
      <c r="T239" s="138">
        <f t="shared" si="455"/>
        <v>0</v>
      </c>
      <c r="U239" s="144">
        <f t="shared" si="456"/>
        <v>0</v>
      </c>
      <c r="W239" s="11">
        <v>0</v>
      </c>
      <c r="X239" s="1">
        <v>0</v>
      </c>
      <c r="Y239" s="35">
        <f t="shared" si="376"/>
        <v>0</v>
      </c>
      <c r="Z239" s="35">
        <f t="shared" si="394"/>
        <v>0</v>
      </c>
      <c r="AA239" s="15">
        <f t="shared" si="407"/>
        <v>4.7893515791362015E-7</v>
      </c>
      <c r="AB239" s="43">
        <f t="shared" si="451"/>
        <v>2.115703304177193E-6</v>
      </c>
      <c r="AC239" s="43">
        <f t="shared" si="452"/>
        <v>4.4175151254165756</v>
      </c>
      <c r="AD239" s="33"/>
      <c r="AH239" s="31"/>
      <c r="AP239" s="35">
        <f t="shared" si="377"/>
        <v>0</v>
      </c>
      <c r="AQ239" s="35">
        <f t="shared" si="395"/>
        <v>0</v>
      </c>
      <c r="AR239" s="15">
        <f t="shared" si="408"/>
        <v>1.4463367748232138E-4</v>
      </c>
      <c r="AS239" s="28">
        <f t="shared" si="409"/>
        <v>4.4111119039356795E-3</v>
      </c>
      <c r="AT239" s="28">
        <f t="shared" si="410"/>
        <v>30.498511693273176</v>
      </c>
      <c r="AU239" s="33"/>
      <c r="AY239" s="31"/>
      <c r="BG239" s="35">
        <f t="shared" si="378"/>
        <v>0</v>
      </c>
      <c r="BH239" s="35">
        <f t="shared" si="396"/>
        <v>0</v>
      </c>
      <c r="BI239" s="15">
        <f t="shared" si="411"/>
        <v>1.9919544469180833E-4</v>
      </c>
      <c r="BJ239" s="28">
        <f t="shared" si="412"/>
        <v>6.7763646969909979E-3</v>
      </c>
      <c r="BK239" s="28">
        <f t="shared" si="413"/>
        <v>34.018673004672721</v>
      </c>
      <c r="BL239" s="33"/>
      <c r="BP239" s="31"/>
      <c r="BX239" s="35">
        <f t="shared" si="379"/>
        <v>0</v>
      </c>
      <c r="BY239" s="35">
        <f t="shared" si="397"/>
        <v>0</v>
      </c>
      <c r="BZ239" s="15">
        <f t="shared" si="414"/>
        <v>1.5146164342896333E-4</v>
      </c>
      <c r="CA239" s="28">
        <f t="shared" si="415"/>
        <v>4.2111878024206776E-3</v>
      </c>
      <c r="CB239" s="28">
        <f t="shared" si="416"/>
        <v>27.803658451624795</v>
      </c>
      <c r="CC239" s="33"/>
      <c r="CG239" s="31"/>
      <c r="CO239" s="35">
        <f t="shared" si="380"/>
        <v>0</v>
      </c>
      <c r="CP239" s="35">
        <f t="shared" si="398"/>
        <v>0</v>
      </c>
      <c r="CQ239" s="15">
        <f t="shared" si="417"/>
        <v>1.6594548936689965E-4</v>
      </c>
      <c r="CR239" s="28">
        <f t="shared" si="418"/>
        <v>5.4495121110486825E-3</v>
      </c>
      <c r="CS239" s="28">
        <f t="shared" si="419"/>
        <v>32.839169849323248</v>
      </c>
      <c r="CT239" s="33"/>
      <c r="CX239" s="31"/>
      <c r="DF239" s="35">
        <f t="shared" si="381"/>
        <v>0</v>
      </c>
      <c r="DG239" s="35">
        <f t="shared" si="399"/>
        <v>0</v>
      </c>
      <c r="DH239" s="15">
        <f t="shared" si="420"/>
        <v>1.614055408362698E-4</v>
      </c>
      <c r="DI239" s="28">
        <f t="shared" si="421"/>
        <v>3.3112454340497562E-3</v>
      </c>
      <c r="DJ239" s="28">
        <f t="shared" si="422"/>
        <v>20.515066687882122</v>
      </c>
      <c r="DK239" s="33"/>
      <c r="DO239" s="31"/>
      <c r="DW239" s="35">
        <f t="shared" si="382"/>
        <v>0</v>
      </c>
      <c r="DX239" s="35">
        <f t="shared" si="400"/>
        <v>0</v>
      </c>
      <c r="DY239" s="15">
        <f t="shared" si="423"/>
        <v>1.671114456487606E-4</v>
      </c>
      <c r="DZ239" s="28">
        <f t="shared" si="424"/>
        <v>3.2327741366164511E-3</v>
      </c>
      <c r="EA239" s="28">
        <f t="shared" si="425"/>
        <v>19.34501927181687</v>
      </c>
      <c r="EB239" s="33"/>
      <c r="EF239" s="31"/>
      <c r="EN239" s="35">
        <f t="shared" si="383"/>
        <v>0</v>
      </c>
      <c r="EO239" s="35">
        <f t="shared" si="401"/>
        <v>0</v>
      </c>
      <c r="EP239" s="15">
        <f t="shared" si="426"/>
        <v>1.7842231275419295E-4</v>
      </c>
      <c r="EQ239" s="28">
        <f t="shared" si="427"/>
        <v>6.3522364761935349E-3</v>
      </c>
      <c r="ER239" s="28">
        <f t="shared" si="428"/>
        <v>35.602253878105593</v>
      </c>
      <c r="ES239" s="33"/>
      <c r="EW239" s="31"/>
      <c r="FE239" s="35">
        <f t="shared" si="384"/>
        <v>0</v>
      </c>
      <c r="FF239" s="35">
        <f t="shared" si="402"/>
        <v>0</v>
      </c>
      <c r="FG239" s="15">
        <f t="shared" si="429"/>
        <v>1.7237471974924828E-4</v>
      </c>
      <c r="FH239" s="28">
        <f t="shared" si="430"/>
        <v>5.8148877473037392E-3</v>
      </c>
      <c r="FI239" s="28">
        <f t="shared" si="431"/>
        <v>33.733993916060292</v>
      </c>
      <c r="FJ239" s="33"/>
      <c r="FN239" s="31"/>
      <c r="FV239" s="35">
        <f t="shared" si="385"/>
        <v>0</v>
      </c>
      <c r="FW239" s="35">
        <f t="shared" si="403"/>
        <v>0</v>
      </c>
      <c r="FX239" s="15">
        <f t="shared" si="432"/>
        <v>1.6227215445812951E-4</v>
      </c>
      <c r="FY239" s="28">
        <f t="shared" si="433"/>
        <v>5.8225488841970249E-3</v>
      </c>
      <c r="FZ239" s="28">
        <f t="shared" si="434"/>
        <v>35.881380287579752</v>
      </c>
      <c r="GA239" s="33"/>
      <c r="GE239" s="31"/>
      <c r="GM239" s="35">
        <f t="shared" si="386"/>
        <v>0</v>
      </c>
      <c r="GN239" s="35">
        <f t="shared" si="404"/>
        <v>0</v>
      </c>
      <c r="GO239" s="15">
        <f t="shared" si="435"/>
        <v>1.6768181307555552E-4</v>
      </c>
      <c r="GP239" s="28">
        <f t="shared" si="436"/>
        <v>6.0007699187114285E-3</v>
      </c>
      <c r="GQ239" s="28">
        <f t="shared" si="437"/>
        <v>35.786647392747057</v>
      </c>
      <c r="GR239" s="33"/>
      <c r="GV239" s="31"/>
      <c r="HD239" s="35">
        <f t="shared" si="387"/>
        <v>0</v>
      </c>
      <c r="HE239" s="35">
        <f t="shared" si="405"/>
        <v>0</v>
      </c>
      <c r="HF239" s="15">
        <f t="shared" si="438"/>
        <v>2.3621417147479638E-4</v>
      </c>
      <c r="HG239" s="28">
        <f t="shared" si="439"/>
        <v>4.3527361054071824E-3</v>
      </c>
      <c r="HH239" s="28">
        <f t="shared" si="440"/>
        <v>18.427074371664492</v>
      </c>
      <c r="HI239" s="33"/>
      <c r="HM239" s="31"/>
      <c r="HU239" s="35">
        <f t="shared" si="388"/>
        <v>0</v>
      </c>
      <c r="HV239" s="35">
        <f t="shared" si="406"/>
        <v>0</v>
      </c>
      <c r="HW239" s="15">
        <f t="shared" si="441"/>
        <v>5.4534422909789919E-13</v>
      </c>
      <c r="HX239" s="28">
        <f t="shared" si="442"/>
        <v>1.5297122035744869E-15</v>
      </c>
      <c r="HY239" s="28">
        <f t="shared" si="443"/>
        <v>2.8050396831097221E-3</v>
      </c>
      <c r="HZ239" s="33"/>
      <c r="ID239" s="31"/>
      <c r="II239" s="12"/>
      <c r="IL239" s="35">
        <f t="shared" si="389"/>
        <v>0</v>
      </c>
      <c r="IM239" s="35">
        <f t="shared" si="390"/>
        <v>139.03559139426395</v>
      </c>
      <c r="IN239" s="15">
        <f t="shared" si="444"/>
        <v>5.3742024147129691E-5</v>
      </c>
      <c r="IO239" s="28">
        <f t="shared" si="445"/>
        <v>1.1314452966552205E-4</v>
      </c>
      <c r="IP239" s="28">
        <f t="shared" si="446"/>
        <v>2.1053269105712498</v>
      </c>
      <c r="IQ239" s="33"/>
      <c r="IU239" s="31"/>
      <c r="JC239" s="35">
        <f t="shared" si="369"/>
        <v>0</v>
      </c>
      <c r="JD239" s="35">
        <f t="shared" si="391"/>
        <v>164.21814513152853</v>
      </c>
      <c r="JE239" s="15">
        <f t="shared" si="447"/>
        <v>6.4897843714172311E-5</v>
      </c>
      <c r="JF239" s="28">
        <f t="shared" si="448"/>
        <v>1.4441243234761874E-4</v>
      </c>
      <c r="JG239" s="28">
        <f t="shared" si="449"/>
        <v>2.2252269733899053</v>
      </c>
      <c r="JH239" s="33"/>
      <c r="JL239" s="31"/>
      <c r="JR239" s="99"/>
      <c r="JS239" s="99"/>
      <c r="JT239" s="99"/>
      <c r="JU239" s="99"/>
      <c r="JV239" s="99"/>
      <c r="JW239" s="99"/>
      <c r="JX239" s="99"/>
      <c r="JY239" s="99"/>
      <c r="JZ239" s="99"/>
      <c r="KA239" s="99"/>
      <c r="KB239" s="99"/>
      <c r="KC239" s="99"/>
      <c r="KD239" s="99"/>
      <c r="KE239" s="99"/>
      <c r="KF239" s="99"/>
      <c r="KG239" s="99"/>
      <c r="KH239" s="99"/>
      <c r="KI239" s="99"/>
      <c r="KJ239" s="99"/>
      <c r="KK239" s="99"/>
      <c r="KL239" s="99"/>
      <c r="KM239" s="99"/>
      <c r="KN239" s="99"/>
      <c r="KO239" s="99"/>
      <c r="KP239" s="99"/>
      <c r="KQ239" s="99"/>
      <c r="KR239" s="99"/>
      <c r="KS239" s="99"/>
      <c r="KT239" s="99"/>
      <c r="KU239" s="99"/>
      <c r="KV239" s="99"/>
      <c r="KW239" s="99"/>
      <c r="KX239" s="99"/>
      <c r="KY239" s="99"/>
      <c r="KZ239" s="99"/>
      <c r="LA239" s="99"/>
      <c r="LB239" s="99"/>
      <c r="LC239" s="99"/>
      <c r="LD239" s="99"/>
      <c r="LE239" s="99"/>
      <c r="LF239" s="99"/>
      <c r="LG239" s="99"/>
      <c r="LH239" s="99"/>
      <c r="LI239" s="99"/>
      <c r="LJ239" s="99"/>
      <c r="LK239" s="99"/>
      <c r="LL239" s="99"/>
      <c r="LM239" s="99"/>
      <c r="LN239" s="99"/>
      <c r="LO239" s="99"/>
      <c r="LP239" s="99"/>
      <c r="LQ239" s="99"/>
      <c r="LR239" s="99"/>
      <c r="LS239" s="99"/>
      <c r="LT239" s="99"/>
      <c r="LU239" s="99"/>
      <c r="LV239" s="99"/>
      <c r="LW239" s="99"/>
      <c r="LX239" s="99"/>
      <c r="LY239" s="99"/>
      <c r="LZ239" s="99"/>
      <c r="MA239" s="99"/>
      <c r="MB239" s="99"/>
      <c r="MC239" s="99"/>
      <c r="MD239" s="99"/>
      <c r="ME239" s="99"/>
      <c r="MF239" s="99"/>
    </row>
    <row r="240" spans="1:344" ht="17.25" customHeight="1" x14ac:dyDescent="0.25">
      <c r="A240" s="156"/>
      <c r="B240" s="81" t="s">
        <v>6</v>
      </c>
      <c r="C240" s="82">
        <v>45374</v>
      </c>
      <c r="D240" s="49"/>
      <c r="G240" s="89">
        <f t="shared" si="373"/>
        <v>0</v>
      </c>
      <c r="H240" s="35">
        <f t="shared" si="374"/>
        <v>0</v>
      </c>
      <c r="I240" s="39"/>
      <c r="L240" s="89">
        <f t="shared" si="375"/>
        <v>0</v>
      </c>
      <c r="M240" s="35">
        <f t="shared" si="392"/>
        <v>0</v>
      </c>
      <c r="N240" s="35">
        <f t="shared" si="393"/>
        <v>0</v>
      </c>
      <c r="O240" s="97" t="e">
        <f>SUM($Z240,$BH240,$AQ240,$BY240,$CP240,$DG240,$DX240,$EO240,$FF240,$FW240,$GN240)/D240</f>
        <v>#DIV/0!</v>
      </c>
      <c r="P240" s="150"/>
      <c r="Q240" s="132">
        <f t="shared" si="457"/>
        <v>0</v>
      </c>
      <c r="R240" s="134">
        <f t="shared" si="453"/>
        <v>0</v>
      </c>
      <c r="S240" s="136">
        <f t="shared" si="454"/>
        <v>0</v>
      </c>
      <c r="T240" s="138">
        <f t="shared" si="455"/>
        <v>0</v>
      </c>
      <c r="U240" s="144">
        <f t="shared" si="456"/>
        <v>0</v>
      </c>
      <c r="W240" s="11">
        <v>0</v>
      </c>
      <c r="X240" s="1">
        <v>0</v>
      </c>
      <c r="Y240" s="35">
        <f t="shared" si="376"/>
        <v>0</v>
      </c>
      <c r="Z240" s="35">
        <f t="shared" si="394"/>
        <v>0</v>
      </c>
      <c r="AA240" s="15">
        <f t="shared" si="407"/>
        <v>3.8580887720819402E-7</v>
      </c>
      <c r="AB240" s="43">
        <f t="shared" si="451"/>
        <v>1.5867774781328948E-6</v>
      </c>
      <c r="AC240" s="43">
        <f t="shared" si="452"/>
        <v>4.1128589098706048</v>
      </c>
      <c r="AD240" s="33"/>
      <c r="AH240" s="31"/>
      <c r="AP240" s="35">
        <f t="shared" si="377"/>
        <v>0</v>
      </c>
      <c r="AQ240" s="35">
        <f t="shared" si="395"/>
        <v>0</v>
      </c>
      <c r="AR240" s="15">
        <f t="shared" si="408"/>
        <v>1.1651046241631445E-4</v>
      </c>
      <c r="AS240" s="28">
        <f t="shared" si="409"/>
        <v>3.3083339279517598E-3</v>
      </c>
      <c r="AT240" s="28">
        <f t="shared" si="410"/>
        <v>28.395166059254336</v>
      </c>
      <c r="AU240" s="33"/>
      <c r="AY240" s="31"/>
      <c r="BG240" s="35">
        <f t="shared" si="378"/>
        <v>0</v>
      </c>
      <c r="BH240" s="35">
        <f t="shared" si="396"/>
        <v>0</v>
      </c>
      <c r="BI240" s="15">
        <f t="shared" si="411"/>
        <v>1.604629971128456E-4</v>
      </c>
      <c r="BJ240" s="28">
        <f t="shared" si="412"/>
        <v>5.082273522743248E-3</v>
      </c>
      <c r="BK240" s="28">
        <f t="shared" si="413"/>
        <v>31.672557625040117</v>
      </c>
      <c r="BL240" s="33"/>
      <c r="BP240" s="31"/>
      <c r="BX240" s="35">
        <f t="shared" si="379"/>
        <v>0</v>
      </c>
      <c r="BY240" s="35">
        <f t="shared" si="397"/>
        <v>0</v>
      </c>
      <c r="BZ240" s="15">
        <f t="shared" si="414"/>
        <v>1.2201076831777604E-4</v>
      </c>
      <c r="CA240" s="28">
        <f t="shared" si="415"/>
        <v>3.1583908518155084E-3</v>
      </c>
      <c r="CB240" s="28">
        <f t="shared" si="416"/>
        <v>25.886164765305843</v>
      </c>
      <c r="CC240" s="33"/>
      <c r="CG240" s="31"/>
      <c r="CO240" s="35">
        <f t="shared" si="380"/>
        <v>0</v>
      </c>
      <c r="CP240" s="35">
        <f t="shared" si="398"/>
        <v>0</v>
      </c>
      <c r="CQ240" s="15">
        <f t="shared" si="417"/>
        <v>1.336783108788914E-4</v>
      </c>
      <c r="CR240" s="28">
        <f t="shared" si="418"/>
        <v>4.0871340832865123E-3</v>
      </c>
      <c r="CS240" s="28">
        <f t="shared" si="419"/>
        <v>30.574399514887162</v>
      </c>
      <c r="CT240" s="33"/>
      <c r="CX240" s="31"/>
      <c r="DF240" s="35">
        <f t="shared" si="381"/>
        <v>0</v>
      </c>
      <c r="DG240" s="35">
        <f t="shared" si="399"/>
        <v>0</v>
      </c>
      <c r="DH240" s="15">
        <f t="shared" si="420"/>
        <v>1.3002113011810625E-4</v>
      </c>
      <c r="DI240" s="28">
        <f t="shared" si="421"/>
        <v>2.4834340755373174E-3</v>
      </c>
      <c r="DJ240" s="28">
        <f t="shared" si="422"/>
        <v>19.10023450251094</v>
      </c>
      <c r="DK240" s="33"/>
      <c r="DO240" s="31"/>
      <c r="DW240" s="35">
        <f t="shared" si="382"/>
        <v>0</v>
      </c>
      <c r="DX240" s="35">
        <f t="shared" si="400"/>
        <v>0</v>
      </c>
      <c r="DY240" s="15">
        <f t="shared" si="423"/>
        <v>1.3461755343927937E-4</v>
      </c>
      <c r="DZ240" s="28">
        <f t="shared" si="424"/>
        <v>2.4245806024623382E-3</v>
      </c>
      <c r="EA240" s="28">
        <f t="shared" si="425"/>
        <v>18.010880011691569</v>
      </c>
      <c r="EB240" s="33"/>
      <c r="EF240" s="31"/>
      <c r="EN240" s="35">
        <f t="shared" si="383"/>
        <v>0</v>
      </c>
      <c r="EO240" s="35">
        <f t="shared" si="401"/>
        <v>0</v>
      </c>
      <c r="EP240" s="15">
        <f t="shared" si="426"/>
        <v>1.43729085274211E-4</v>
      </c>
      <c r="EQ240" s="28">
        <f t="shared" si="427"/>
        <v>4.7641773571451516E-3</v>
      </c>
      <c r="ER240" s="28">
        <f t="shared" si="428"/>
        <v>33.14692602444314</v>
      </c>
      <c r="ES240" s="33"/>
      <c r="EW240" s="31"/>
      <c r="FE240" s="35">
        <f t="shared" si="384"/>
        <v>0</v>
      </c>
      <c r="FF240" s="35">
        <f t="shared" si="402"/>
        <v>0</v>
      </c>
      <c r="FG240" s="15">
        <f t="shared" si="429"/>
        <v>1.3885741313133891E-4</v>
      </c>
      <c r="FH240" s="28">
        <f t="shared" si="430"/>
        <v>4.3611658104778048E-3</v>
      </c>
      <c r="FI240" s="28">
        <f t="shared" si="431"/>
        <v>31.407511577021651</v>
      </c>
      <c r="FJ240" s="33"/>
      <c r="FN240" s="31"/>
      <c r="FV240" s="35">
        <f t="shared" si="385"/>
        <v>0</v>
      </c>
      <c r="FW240" s="35">
        <f t="shared" si="403"/>
        <v>0</v>
      </c>
      <c r="FX240" s="15">
        <f t="shared" si="432"/>
        <v>1.3071923553571545E-4</v>
      </c>
      <c r="FY240" s="28">
        <f t="shared" si="433"/>
        <v>4.3669116631477687E-3</v>
      </c>
      <c r="FZ240" s="28">
        <f t="shared" si="434"/>
        <v>33.406802336712182</v>
      </c>
      <c r="GA240" s="33"/>
      <c r="GE240" s="31"/>
      <c r="GM240" s="35">
        <f t="shared" si="386"/>
        <v>0</v>
      </c>
      <c r="GN240" s="35">
        <f t="shared" si="404"/>
        <v>0</v>
      </c>
      <c r="GO240" s="15">
        <f t="shared" si="435"/>
        <v>1.3507701608864197E-4</v>
      </c>
      <c r="GP240" s="28">
        <f t="shared" si="436"/>
        <v>4.5005774390335712E-3</v>
      </c>
      <c r="GQ240" s="28">
        <f t="shared" si="437"/>
        <v>33.318602744971393</v>
      </c>
      <c r="GR240" s="33"/>
      <c r="GV240" s="31"/>
      <c r="HD240" s="35">
        <f t="shared" si="387"/>
        <v>0</v>
      </c>
      <c r="HE240" s="35">
        <f t="shared" si="405"/>
        <v>0</v>
      </c>
      <c r="HF240" s="15">
        <f t="shared" si="438"/>
        <v>1.9028363813247486E-4</v>
      </c>
      <c r="HG240" s="28">
        <f t="shared" si="439"/>
        <v>3.2645520790553868E-3</v>
      </c>
      <c r="HH240" s="28">
        <f t="shared" si="440"/>
        <v>17.156241656377286</v>
      </c>
      <c r="HI240" s="33"/>
      <c r="HM240" s="31"/>
      <c r="HU240" s="35">
        <f t="shared" si="388"/>
        <v>0</v>
      </c>
      <c r="HV240" s="35">
        <f t="shared" si="406"/>
        <v>0</v>
      </c>
      <c r="HW240" s="15">
        <f t="shared" si="441"/>
        <v>4.3930507343997438E-13</v>
      </c>
      <c r="HX240" s="28">
        <f t="shared" si="442"/>
        <v>1.1472841526808651E-15</v>
      </c>
      <c r="HY240" s="28">
        <f t="shared" si="443"/>
        <v>2.6115886704814652E-3</v>
      </c>
      <c r="HZ240" s="33"/>
      <c r="ID240" s="31"/>
      <c r="II240" s="12"/>
      <c r="IL240" s="35">
        <f t="shared" si="389"/>
        <v>0</v>
      </c>
      <c r="IM240" s="35">
        <f t="shared" si="390"/>
        <v>129.44382342224142</v>
      </c>
      <c r="IN240" s="15">
        <f t="shared" si="444"/>
        <v>4.329218611852114E-5</v>
      </c>
      <c r="IO240" s="28">
        <f t="shared" si="445"/>
        <v>8.4858397249141533E-5</v>
      </c>
      <c r="IP240" s="28">
        <f t="shared" si="446"/>
        <v>1.9601319512215083</v>
      </c>
      <c r="IQ240" s="33"/>
      <c r="IU240" s="31"/>
      <c r="JC240" s="35">
        <f t="shared" si="369"/>
        <v>0</v>
      </c>
      <c r="JD240" s="35">
        <f t="shared" si="391"/>
        <v>152.88874714570159</v>
      </c>
      <c r="JE240" s="15">
        <f t="shared" si="447"/>
        <v>5.2278818547527695E-5</v>
      </c>
      <c r="JF240" s="28">
        <f t="shared" si="448"/>
        <v>1.0830932426071405E-4</v>
      </c>
      <c r="JG240" s="28">
        <f t="shared" si="449"/>
        <v>2.0717630441906012</v>
      </c>
      <c r="JH240" s="33"/>
      <c r="JL240" s="31"/>
      <c r="JR240" s="99"/>
      <c r="JS240" s="99"/>
      <c r="JT240" s="99"/>
      <c r="JU240" s="99"/>
      <c r="JV240" s="99"/>
      <c r="JW240" s="99"/>
      <c r="JX240" s="99"/>
      <c r="JY240" s="99"/>
      <c r="JZ240" s="99"/>
      <c r="KA240" s="99"/>
      <c r="KB240" s="99"/>
      <c r="KC240" s="99"/>
      <c r="KD240" s="99"/>
      <c r="KE240" s="99"/>
      <c r="KF240" s="99"/>
      <c r="KG240" s="99"/>
      <c r="KH240" s="99"/>
      <c r="KI240" s="99"/>
      <c r="KJ240" s="99"/>
      <c r="KK240" s="99"/>
      <c r="KL240" s="99"/>
      <c r="KM240" s="99"/>
      <c r="KN240" s="99"/>
      <c r="KO240" s="99"/>
      <c r="KP240" s="99"/>
      <c r="KQ240" s="99"/>
      <c r="KR240" s="99"/>
      <c r="KS240" s="99"/>
      <c r="KT240" s="99"/>
      <c r="KU240" s="99"/>
      <c r="KV240" s="99"/>
      <c r="KW240" s="99"/>
      <c r="KX240" s="99"/>
      <c r="KY240" s="99"/>
      <c r="KZ240" s="99"/>
      <c r="LA240" s="99"/>
      <c r="LB240" s="99"/>
      <c r="LC240" s="99"/>
      <c r="LD240" s="99"/>
      <c r="LE240" s="99"/>
      <c r="LF240" s="99"/>
      <c r="LG240" s="99"/>
      <c r="LH240" s="99"/>
      <c r="LI240" s="99"/>
      <c r="LJ240" s="99"/>
      <c r="LK240" s="99"/>
      <c r="LL240" s="99"/>
      <c r="LM240" s="99"/>
      <c r="LN240" s="99"/>
      <c r="LO240" s="99"/>
      <c r="LP240" s="99"/>
      <c r="LQ240" s="99"/>
      <c r="LR240" s="99"/>
      <c r="LS240" s="99"/>
      <c r="LT240" s="99"/>
      <c r="LU240" s="99"/>
      <c r="LV240" s="99"/>
      <c r="LW240" s="99"/>
      <c r="LX240" s="99"/>
      <c r="LY240" s="99"/>
      <c r="LZ240" s="99"/>
      <c r="MA240" s="99"/>
      <c r="MB240" s="99"/>
      <c r="MC240" s="99"/>
      <c r="MD240" s="99"/>
      <c r="ME240" s="99"/>
      <c r="MF240" s="99"/>
    </row>
    <row r="241" spans="1:344" ht="17.25" customHeight="1" x14ac:dyDescent="0.25">
      <c r="A241" s="157"/>
      <c r="B241" s="83" t="s">
        <v>7</v>
      </c>
      <c r="C241" s="84">
        <v>45375</v>
      </c>
      <c r="D241" s="51"/>
      <c r="E241" s="48"/>
      <c r="F241" s="104"/>
      <c r="G241" s="37">
        <f t="shared" si="373"/>
        <v>0</v>
      </c>
      <c r="H241" s="26">
        <f t="shared" si="374"/>
        <v>0</v>
      </c>
      <c r="I241" s="48"/>
      <c r="J241" s="48"/>
      <c r="K241" s="104"/>
      <c r="L241" s="37">
        <f t="shared" si="375"/>
        <v>0</v>
      </c>
      <c r="M241" s="26">
        <f t="shared" si="392"/>
        <v>0</v>
      </c>
      <c r="N241" s="26">
        <f t="shared" si="393"/>
        <v>0</v>
      </c>
      <c r="O241" s="98" t="e">
        <f>SUM($Z241,$BH241,$AQ241,$BY241,$CP241,$DG241,$DX241,$EO241,$FF241,$FW241,$GN241)/D241</f>
        <v>#DIV/0!</v>
      </c>
      <c r="P241" s="151"/>
      <c r="Q241" s="139">
        <f t="shared" si="457"/>
        <v>0</v>
      </c>
      <c r="R241" s="140">
        <f t="shared" si="453"/>
        <v>0</v>
      </c>
      <c r="S241" s="141">
        <f t="shared" si="454"/>
        <v>0</v>
      </c>
      <c r="T241" s="142">
        <f t="shared" si="455"/>
        <v>0</v>
      </c>
      <c r="U241" s="145">
        <f t="shared" si="456"/>
        <v>0</v>
      </c>
      <c r="V241" s="23"/>
      <c r="W241" s="13">
        <v>0</v>
      </c>
      <c r="X241" s="2">
        <v>0</v>
      </c>
      <c r="Y241" s="26">
        <f t="shared" si="376"/>
        <v>0</v>
      </c>
      <c r="Z241" s="26">
        <f t="shared" si="394"/>
        <v>0</v>
      </c>
      <c r="AA241" s="16">
        <f t="shared" si="407"/>
        <v>3.1079048441771186E-7</v>
      </c>
      <c r="AB241" s="44">
        <f t="shared" si="451"/>
        <v>1.1900831085996711E-6</v>
      </c>
      <c r="AC241" s="44">
        <f t="shared" si="452"/>
        <v>3.8292134678105629</v>
      </c>
      <c r="AD241" s="34"/>
      <c r="AE241" s="4"/>
      <c r="AF241" s="5"/>
      <c r="AG241" s="6"/>
      <c r="AH241" s="32"/>
      <c r="AI241" s="3"/>
      <c r="AJ241" s="4"/>
      <c r="AK241" s="5"/>
      <c r="AL241" s="6"/>
      <c r="AM241" s="14"/>
      <c r="AN241" s="13"/>
      <c r="AO241" s="2"/>
      <c r="AP241" s="26">
        <f t="shared" si="377"/>
        <v>0</v>
      </c>
      <c r="AQ241" s="26">
        <f t="shared" si="395"/>
        <v>0</v>
      </c>
      <c r="AR241" s="16">
        <f t="shared" si="408"/>
        <v>9.3855650279808857E-5</v>
      </c>
      <c r="AS241" s="29">
        <f t="shared" si="409"/>
        <v>2.4812504459638196E-3</v>
      </c>
      <c r="AT241" s="29">
        <f t="shared" si="410"/>
        <v>26.436878744823002</v>
      </c>
      <c r="AU241" s="34"/>
      <c r="AV241" s="4"/>
      <c r="AW241" s="5"/>
      <c r="AX241" s="6"/>
      <c r="AY241" s="32"/>
      <c r="AZ241" s="3"/>
      <c r="BA241" s="4"/>
      <c r="BB241" s="5"/>
      <c r="BC241" s="6"/>
      <c r="BD241" s="14"/>
      <c r="BE241" s="13"/>
      <c r="BF241" s="2"/>
      <c r="BG241" s="26">
        <f t="shared" si="378"/>
        <v>0</v>
      </c>
      <c r="BH241" s="26">
        <f t="shared" si="396"/>
        <v>0</v>
      </c>
      <c r="BI241" s="16">
        <f t="shared" si="411"/>
        <v>1.2926185878534783E-4</v>
      </c>
      <c r="BJ241" s="29">
        <f t="shared" si="412"/>
        <v>3.811705142057436E-3</v>
      </c>
      <c r="BK241" s="29">
        <f t="shared" si="413"/>
        <v>29.488243306071833</v>
      </c>
      <c r="BL241" s="34"/>
      <c r="BM241" s="4"/>
      <c r="BN241" s="5"/>
      <c r="BO241" s="6"/>
      <c r="BP241" s="32"/>
      <c r="BQ241" s="3"/>
      <c r="BR241" s="4"/>
      <c r="BS241" s="5"/>
      <c r="BT241" s="6"/>
      <c r="BU241" s="14"/>
      <c r="BV241" s="13"/>
      <c r="BW241" s="2"/>
      <c r="BX241" s="26">
        <f t="shared" si="379"/>
        <v>0</v>
      </c>
      <c r="BY241" s="26">
        <f t="shared" si="397"/>
        <v>0</v>
      </c>
      <c r="BZ241" s="16">
        <f t="shared" si="414"/>
        <v>9.8286452255986256E-5</v>
      </c>
      <c r="CA241" s="29">
        <f t="shared" si="415"/>
        <v>2.3687931388616315E-3</v>
      </c>
      <c r="CB241" s="29">
        <f t="shared" si="416"/>
        <v>24.100912022870958</v>
      </c>
      <c r="CC241" s="34"/>
      <c r="CD241" s="4"/>
      <c r="CE241" s="5"/>
      <c r="CF241" s="6"/>
      <c r="CG241" s="32"/>
      <c r="CH241" s="3"/>
      <c r="CI241" s="4"/>
      <c r="CJ241" s="5"/>
      <c r="CK241" s="6"/>
      <c r="CL241" s="14"/>
      <c r="CM241" s="13"/>
      <c r="CN241" s="2"/>
      <c r="CO241" s="26">
        <f t="shared" si="380"/>
        <v>0</v>
      </c>
      <c r="CP241" s="26">
        <f t="shared" si="398"/>
        <v>0</v>
      </c>
      <c r="CQ241" s="16">
        <f t="shared" si="417"/>
        <v>1.0768530598577363E-4</v>
      </c>
      <c r="CR241" s="29">
        <f t="shared" si="418"/>
        <v>3.0653505624648842E-3</v>
      </c>
      <c r="CS241" s="29">
        <f t="shared" si="419"/>
        <v>28.46582023799839</v>
      </c>
      <c r="CT241" s="34"/>
      <c r="CU241" s="4"/>
      <c r="CV241" s="5"/>
      <c r="CW241" s="6"/>
      <c r="CX241" s="32"/>
      <c r="CY241" s="3"/>
      <c r="CZ241" s="4"/>
      <c r="DA241" s="5"/>
      <c r="DB241" s="6"/>
      <c r="DC241" s="14"/>
      <c r="DD241" s="13"/>
      <c r="DE241" s="2"/>
      <c r="DF241" s="26">
        <f t="shared" si="381"/>
        <v>0</v>
      </c>
      <c r="DG241" s="26">
        <f t="shared" si="399"/>
        <v>0</v>
      </c>
      <c r="DH241" s="16">
        <f t="shared" si="420"/>
        <v>1.0473924370625226E-4</v>
      </c>
      <c r="DI241" s="29">
        <f t="shared" si="421"/>
        <v>1.862575556652988E-3</v>
      </c>
      <c r="DJ241" s="29">
        <f t="shared" si="422"/>
        <v>17.782976950613634</v>
      </c>
      <c r="DK241" s="34"/>
      <c r="DL241" s="4"/>
      <c r="DM241" s="5"/>
      <c r="DN241" s="6"/>
      <c r="DO241" s="32"/>
      <c r="DP241" s="3"/>
      <c r="DQ241" s="4"/>
      <c r="DR241" s="5"/>
      <c r="DS241" s="6"/>
      <c r="DT241" s="14"/>
      <c r="DU241" s="13"/>
      <c r="DV241" s="2"/>
      <c r="DW241" s="26">
        <f t="shared" si="382"/>
        <v>0</v>
      </c>
      <c r="DX241" s="26">
        <f t="shared" si="400"/>
        <v>0</v>
      </c>
      <c r="DY241" s="16">
        <f t="shared" si="423"/>
        <v>1.0844191804830838E-4</v>
      </c>
      <c r="DZ241" s="29">
        <f t="shared" si="424"/>
        <v>1.8184354518467538E-3</v>
      </c>
      <c r="EA241" s="29">
        <f t="shared" si="425"/>
        <v>16.768750355712839</v>
      </c>
      <c r="EB241" s="34"/>
      <c r="EC241" s="4"/>
      <c r="ED241" s="5"/>
      <c r="EE241" s="6"/>
      <c r="EF241" s="32"/>
      <c r="EG241" s="3"/>
      <c r="EH241" s="4"/>
      <c r="EI241" s="5"/>
      <c r="EJ241" s="6"/>
      <c r="EK241" s="14"/>
      <c r="EL241" s="13"/>
      <c r="EM241" s="2"/>
      <c r="EN241" s="26">
        <f t="shared" si="383"/>
        <v>0</v>
      </c>
      <c r="EO241" s="26">
        <f t="shared" si="401"/>
        <v>0</v>
      </c>
      <c r="EP241" s="16">
        <f t="shared" si="426"/>
        <v>1.1578176313755886E-4</v>
      </c>
      <c r="EQ241" s="29">
        <f t="shared" si="427"/>
        <v>3.5731330178588637E-3</v>
      </c>
      <c r="ER241" s="29">
        <f t="shared" si="428"/>
        <v>30.860931126205681</v>
      </c>
      <c r="ES241" s="34"/>
      <c r="ET241" s="4"/>
      <c r="EU241" s="5"/>
      <c r="EV241" s="6"/>
      <c r="EW241" s="32"/>
      <c r="EX241" s="3"/>
      <c r="EY241" s="4"/>
      <c r="EZ241" s="5"/>
      <c r="FA241" s="6"/>
      <c r="FB241" s="14"/>
      <c r="FC241" s="13"/>
      <c r="FD241" s="2"/>
      <c r="FE241" s="26">
        <f t="shared" si="384"/>
        <v>0</v>
      </c>
      <c r="FF241" s="26">
        <f t="shared" si="402"/>
        <v>0</v>
      </c>
      <c r="FG241" s="16">
        <f t="shared" si="429"/>
        <v>1.11857360578023E-4</v>
      </c>
      <c r="FH241" s="29">
        <f t="shared" si="430"/>
        <v>3.2708743578583536E-3</v>
      </c>
      <c r="FI241" s="29">
        <f t="shared" si="431"/>
        <v>29.241476295847743</v>
      </c>
      <c r="FJ241" s="34"/>
      <c r="FK241" s="4"/>
      <c r="FL241" s="5"/>
      <c r="FM241" s="6"/>
      <c r="FN241" s="32"/>
      <c r="FO241" s="3"/>
      <c r="FP241" s="4"/>
      <c r="FQ241" s="5"/>
      <c r="FR241" s="6"/>
      <c r="FS241" s="14"/>
      <c r="FT241" s="13"/>
      <c r="FU241" s="2"/>
      <c r="FV241" s="26">
        <f t="shared" si="385"/>
        <v>0</v>
      </c>
      <c r="FW241" s="26">
        <f t="shared" si="403"/>
        <v>0</v>
      </c>
      <c r="FX241" s="16">
        <f t="shared" si="432"/>
        <v>1.0530160640377077E-4</v>
      </c>
      <c r="FY241" s="29">
        <f t="shared" si="433"/>
        <v>3.2751837473608265E-3</v>
      </c>
      <c r="FZ241" s="29">
        <f t="shared" si="434"/>
        <v>31.102884934180306</v>
      </c>
      <c r="GA241" s="34"/>
      <c r="GB241" s="4"/>
      <c r="GC241" s="5"/>
      <c r="GD241" s="6"/>
      <c r="GE241" s="32"/>
      <c r="GF241" s="3"/>
      <c r="GG241" s="4"/>
      <c r="GH241" s="5"/>
      <c r="GI241" s="6"/>
      <c r="GJ241" s="14"/>
      <c r="GK241" s="13"/>
      <c r="GL241" s="2"/>
      <c r="GM241" s="26">
        <f t="shared" si="386"/>
        <v>0</v>
      </c>
      <c r="GN241" s="26">
        <f t="shared" si="404"/>
        <v>0</v>
      </c>
      <c r="GO241" s="16">
        <f t="shared" si="435"/>
        <v>1.0881204073807269E-4</v>
      </c>
      <c r="GP241" s="29">
        <f t="shared" si="436"/>
        <v>3.3754330792751782E-3</v>
      </c>
      <c r="GQ241" s="29">
        <f t="shared" si="437"/>
        <v>31.020768072904399</v>
      </c>
      <c r="GR241" s="34"/>
      <c r="GS241" s="4"/>
      <c r="GT241" s="5"/>
      <c r="GU241" s="6"/>
      <c r="GV241" s="32"/>
      <c r="GW241" s="3"/>
      <c r="GX241" s="4"/>
      <c r="GY241" s="5"/>
      <c r="GZ241" s="6"/>
      <c r="HA241" s="14"/>
      <c r="HB241" s="13"/>
      <c r="HC241" s="2"/>
      <c r="HD241" s="26">
        <f t="shared" si="387"/>
        <v>0</v>
      </c>
      <c r="HE241" s="26">
        <f t="shared" si="405"/>
        <v>0</v>
      </c>
      <c r="HF241" s="16">
        <f t="shared" si="438"/>
        <v>1.5328404182893808E-4</v>
      </c>
      <c r="HG241" s="29">
        <f t="shared" si="439"/>
        <v>2.4484140592915399E-3</v>
      </c>
      <c r="HH241" s="29">
        <f t="shared" si="440"/>
        <v>15.973052576627127</v>
      </c>
      <c r="HI241" s="34"/>
      <c r="HJ241" s="4"/>
      <c r="HK241" s="5"/>
      <c r="HL241" s="6"/>
      <c r="HM241" s="32"/>
      <c r="HN241" s="3"/>
      <c r="HO241" s="4"/>
      <c r="HP241" s="5"/>
      <c r="HQ241" s="6"/>
      <c r="HR241" s="14"/>
      <c r="HS241" s="13"/>
      <c r="HT241" s="2"/>
      <c r="HU241" s="26">
        <f t="shared" si="388"/>
        <v>0</v>
      </c>
      <c r="HV241" s="26">
        <f t="shared" si="406"/>
        <v>0</v>
      </c>
      <c r="HW241" s="16">
        <f t="shared" si="441"/>
        <v>3.5388464249331273E-13</v>
      </c>
      <c r="HX241" s="29">
        <f t="shared" si="442"/>
        <v>8.6046311451064889E-16</v>
      </c>
      <c r="HY241" s="29">
        <f t="shared" si="443"/>
        <v>2.4314791069999847E-3</v>
      </c>
      <c r="HZ241" s="34"/>
      <c r="IA241" s="4"/>
      <c r="IB241" s="5"/>
      <c r="IC241" s="6"/>
      <c r="ID241" s="32"/>
      <c r="IE241" s="3"/>
      <c r="IF241" s="4"/>
      <c r="IG241" s="5"/>
      <c r="IH241" s="6"/>
      <c r="II241" s="14"/>
      <c r="IJ241" s="13"/>
      <c r="IK241" s="2"/>
      <c r="IL241" s="26">
        <f t="shared" si="389"/>
        <v>0</v>
      </c>
      <c r="IM241" s="26">
        <f t="shared" si="390"/>
        <v>120.514330146267</v>
      </c>
      <c r="IN241" s="16">
        <f t="shared" si="444"/>
        <v>3.4874261039919815E-5</v>
      </c>
      <c r="IO241" s="29">
        <f t="shared" si="445"/>
        <v>6.3643797936856157E-5</v>
      </c>
      <c r="IP241" s="29">
        <f t="shared" si="446"/>
        <v>1.8249504373441627</v>
      </c>
      <c r="IQ241" s="34"/>
      <c r="IR241" s="4"/>
      <c r="IS241" s="5"/>
      <c r="IT241" s="6"/>
      <c r="IU241" s="32"/>
      <c r="IV241" s="3"/>
      <c r="IW241" s="4"/>
      <c r="IX241" s="5"/>
      <c r="IY241" s="6"/>
      <c r="IZ241" s="14"/>
      <c r="JA241" s="13"/>
      <c r="JB241" s="2"/>
      <c r="JC241" s="26">
        <f t="shared" si="369"/>
        <v>0</v>
      </c>
      <c r="JD241" s="26">
        <f t="shared" si="391"/>
        <v>142.34168564815977</v>
      </c>
      <c r="JE241" s="16">
        <f t="shared" si="447"/>
        <v>4.2113492718841755E-5</v>
      </c>
      <c r="JF241" s="29">
        <f t="shared" si="448"/>
        <v>8.1231993195535535E-5</v>
      </c>
      <c r="JG241" s="29">
        <f t="shared" si="449"/>
        <v>1.9288828342464217</v>
      </c>
      <c r="JH241" s="34"/>
      <c r="JI241" s="4"/>
      <c r="JJ241" s="5"/>
      <c r="JK241" s="6"/>
      <c r="JL241" s="32"/>
      <c r="JM241" s="3"/>
      <c r="JN241" s="4"/>
      <c r="JO241" s="5"/>
      <c r="JP241" s="6"/>
      <c r="JQ241" s="14"/>
      <c r="JR241" s="99"/>
      <c r="JS241" s="99"/>
      <c r="JT241" s="99"/>
      <c r="JU241" s="99"/>
      <c r="JV241" s="99"/>
      <c r="JW241" s="99"/>
      <c r="JX241" s="99"/>
      <c r="JY241" s="99"/>
      <c r="JZ241" s="99"/>
      <c r="KA241" s="99"/>
      <c r="KB241" s="99"/>
      <c r="KC241" s="99"/>
      <c r="KD241" s="99"/>
      <c r="KE241" s="99"/>
      <c r="KF241" s="99"/>
      <c r="KG241" s="99"/>
      <c r="KH241" s="99"/>
      <c r="KI241" s="99"/>
      <c r="KJ241" s="99"/>
      <c r="KK241" s="99"/>
      <c r="KL241" s="99"/>
      <c r="KM241" s="99"/>
      <c r="KN241" s="99"/>
      <c r="KO241" s="99"/>
      <c r="KP241" s="99"/>
      <c r="KQ241" s="99"/>
      <c r="KR241" s="99"/>
      <c r="KS241" s="99"/>
      <c r="KT241" s="99"/>
      <c r="KU241" s="99"/>
      <c r="KV241" s="99"/>
      <c r="KW241" s="99"/>
      <c r="KX241" s="99"/>
      <c r="KY241" s="99"/>
      <c r="KZ241" s="99"/>
      <c r="LA241" s="99"/>
      <c r="LB241" s="99"/>
      <c r="LC241" s="99"/>
      <c r="LD241" s="99"/>
      <c r="LE241" s="99"/>
      <c r="LF241" s="99"/>
      <c r="LG241" s="99"/>
      <c r="LH241" s="99"/>
      <c r="LI241" s="99"/>
      <c r="LJ241" s="99"/>
      <c r="LK241" s="99"/>
      <c r="LL241" s="99"/>
      <c r="LM241" s="99"/>
      <c r="LN241" s="99"/>
      <c r="LO241" s="99"/>
      <c r="LP241" s="99"/>
      <c r="LQ241" s="99"/>
      <c r="LR241" s="99"/>
      <c r="LS241" s="99"/>
      <c r="LT241" s="99"/>
      <c r="LU241" s="99"/>
      <c r="LV241" s="99"/>
      <c r="LW241" s="99"/>
      <c r="LX241" s="99"/>
      <c r="LY241" s="99"/>
      <c r="LZ241" s="99"/>
      <c r="MA241" s="99"/>
      <c r="MB241" s="99"/>
      <c r="MC241" s="99"/>
      <c r="MD241" s="99"/>
      <c r="ME241" s="99"/>
      <c r="MF241" s="99"/>
    </row>
    <row r="242" spans="1:344" ht="17.25" customHeight="1" x14ac:dyDescent="0.25">
      <c r="A242" s="155" t="s">
        <v>40</v>
      </c>
      <c r="B242" s="79" t="s">
        <v>1</v>
      </c>
      <c r="C242" s="80">
        <v>45376</v>
      </c>
      <c r="D242" s="50"/>
      <c r="G242" s="36">
        <f t="shared" si="373"/>
        <v>0</v>
      </c>
      <c r="H242" s="27">
        <f t="shared" si="374"/>
        <v>0</v>
      </c>
      <c r="I242" s="47"/>
      <c r="K242" s="105"/>
      <c r="L242" s="89">
        <f t="shared" si="375"/>
        <v>0</v>
      </c>
      <c r="M242" s="27">
        <f t="shared" si="392"/>
        <v>0</v>
      </c>
      <c r="N242" s="35">
        <f t="shared" si="393"/>
        <v>0</v>
      </c>
      <c r="O242" s="97" t="e">
        <f>SUM($Z242,$BH242,$AQ242,$BY242,$CP242,$DG242,$DX242,$EO242,$FF242,$FW242,$GN242)/I242</f>
        <v>#DIV/0!</v>
      </c>
      <c r="P242" s="149">
        <f t="shared" si="450"/>
        <v>0</v>
      </c>
      <c r="Q242" s="131">
        <f t="shared" si="457"/>
        <v>0</v>
      </c>
      <c r="R242" s="133">
        <f t="shared" si="453"/>
        <v>0</v>
      </c>
      <c r="S242" s="135">
        <f t="shared" si="454"/>
        <v>0</v>
      </c>
      <c r="T242" s="137">
        <f t="shared" si="455"/>
        <v>0</v>
      </c>
      <c r="U242" s="143">
        <f t="shared" si="456"/>
        <v>0</v>
      </c>
      <c r="W242" s="11">
        <v>0</v>
      </c>
      <c r="X242" s="1">
        <v>0</v>
      </c>
      <c r="Y242" s="27">
        <f t="shared" si="376"/>
        <v>0</v>
      </c>
      <c r="Z242" s="27">
        <f t="shared" si="394"/>
        <v>0</v>
      </c>
      <c r="AA242" s="15">
        <f t="shared" si="407"/>
        <v>2.5035900133649009E-7</v>
      </c>
      <c r="AB242" s="43">
        <f t="shared" si="451"/>
        <v>8.925623314497533E-7</v>
      </c>
      <c r="AC242" s="43">
        <f t="shared" si="452"/>
        <v>3.5651297803753517</v>
      </c>
      <c r="AD242" s="33"/>
      <c r="AH242" s="31"/>
      <c r="AP242" s="27">
        <f t="shared" si="377"/>
        <v>0</v>
      </c>
      <c r="AQ242" s="27">
        <f t="shared" si="395"/>
        <v>0</v>
      </c>
      <c r="AR242" s="15">
        <f t="shared" si="408"/>
        <v>7.5605940503179357E-5</v>
      </c>
      <c r="AS242" s="28">
        <f t="shared" si="409"/>
        <v>1.8609378344728647E-3</v>
      </c>
      <c r="AT242" s="28">
        <f t="shared" si="410"/>
        <v>24.613645727938657</v>
      </c>
      <c r="AU242" s="33"/>
      <c r="AY242" s="31"/>
      <c r="BG242" s="27">
        <f t="shared" si="378"/>
        <v>0</v>
      </c>
      <c r="BH242" s="27">
        <f t="shared" si="396"/>
        <v>0</v>
      </c>
      <c r="BI242" s="15">
        <f t="shared" si="411"/>
        <v>1.0412760846597465E-4</v>
      </c>
      <c r="BJ242" s="28">
        <f t="shared" si="412"/>
        <v>2.8587788565430771E-3</v>
      </c>
      <c r="BK242" s="28">
        <f t="shared" si="413"/>
        <v>27.454571353928948</v>
      </c>
      <c r="BL242" s="33"/>
      <c r="BP242" s="31"/>
      <c r="BX242" s="27">
        <f t="shared" si="379"/>
        <v>0</v>
      </c>
      <c r="BY242" s="27">
        <f t="shared" si="397"/>
        <v>0</v>
      </c>
      <c r="BZ242" s="15">
        <f t="shared" si="414"/>
        <v>7.9175197650655594E-5</v>
      </c>
      <c r="CA242" s="28">
        <f t="shared" si="415"/>
        <v>1.7765948541462236E-3</v>
      </c>
      <c r="CB242" s="28">
        <f t="shared" si="416"/>
        <v>22.438780159224684</v>
      </c>
      <c r="CC242" s="33"/>
      <c r="CG242" s="31"/>
      <c r="CO242" s="27">
        <f t="shared" si="380"/>
        <v>0</v>
      </c>
      <c r="CP242" s="27">
        <f t="shared" si="398"/>
        <v>0</v>
      </c>
      <c r="CQ242" s="15">
        <f t="shared" si="417"/>
        <v>8.6746496488539855E-5</v>
      </c>
      <c r="CR242" s="28">
        <f t="shared" si="418"/>
        <v>2.299012921848663E-3</v>
      </c>
      <c r="CS242" s="28">
        <f t="shared" si="419"/>
        <v>26.502660221584708</v>
      </c>
      <c r="CT242" s="33"/>
      <c r="CX242" s="31"/>
      <c r="DF242" s="27">
        <f t="shared" si="381"/>
        <v>0</v>
      </c>
      <c r="DG242" s="27">
        <f t="shared" si="399"/>
        <v>0</v>
      </c>
      <c r="DH242" s="15">
        <f t="shared" si="420"/>
        <v>8.4373279652258775E-5</v>
      </c>
      <c r="DI242" s="28">
        <f t="shared" si="421"/>
        <v>1.3969316674897411E-3</v>
      </c>
      <c r="DJ242" s="28">
        <f t="shared" si="422"/>
        <v>16.556564747123037</v>
      </c>
      <c r="DK242" s="33"/>
      <c r="DO242" s="31"/>
      <c r="DW242" s="27">
        <f t="shared" si="382"/>
        <v>0</v>
      </c>
      <c r="DX242" s="27">
        <f t="shared" si="400"/>
        <v>0</v>
      </c>
      <c r="DY242" s="15">
        <f t="shared" si="423"/>
        <v>8.7355989538915089E-5</v>
      </c>
      <c r="DZ242" s="28">
        <f t="shared" si="424"/>
        <v>1.3638265888850653E-3</v>
      </c>
      <c r="EA242" s="28">
        <f t="shared" si="425"/>
        <v>15.61228481393954</v>
      </c>
      <c r="EB242" s="33"/>
      <c r="EF242" s="31"/>
      <c r="EN242" s="27">
        <f t="shared" si="383"/>
        <v>0</v>
      </c>
      <c r="EO242" s="27">
        <f t="shared" si="401"/>
        <v>0</v>
      </c>
      <c r="EP242" s="15">
        <f t="shared" si="426"/>
        <v>9.3268642527477975E-5</v>
      </c>
      <c r="EQ242" s="28">
        <f t="shared" si="427"/>
        <v>2.679849763394148E-3</v>
      </c>
      <c r="ER242" s="28">
        <f t="shared" si="428"/>
        <v>28.732591048536325</v>
      </c>
      <c r="ES242" s="33"/>
      <c r="EW242" s="31"/>
      <c r="FE242" s="27">
        <f t="shared" si="384"/>
        <v>0</v>
      </c>
      <c r="FF242" s="27">
        <f t="shared" si="402"/>
        <v>0</v>
      </c>
      <c r="FG242" s="15">
        <f t="shared" si="429"/>
        <v>9.0107318243407412E-5</v>
      </c>
      <c r="FH242" s="28">
        <f t="shared" si="430"/>
        <v>2.4531557683937651E-3</v>
      </c>
      <c r="FI242" s="28">
        <f t="shared" si="431"/>
        <v>27.224822758203072</v>
      </c>
      <c r="FJ242" s="33"/>
      <c r="FN242" s="31"/>
      <c r="FV242" s="27">
        <f t="shared" si="385"/>
        <v>0</v>
      </c>
      <c r="FW242" s="27">
        <f t="shared" si="403"/>
        <v>0</v>
      </c>
      <c r="FX242" s="15">
        <f t="shared" si="432"/>
        <v>8.4826294047482006E-5</v>
      </c>
      <c r="FY242" s="28">
        <f t="shared" si="433"/>
        <v>2.4563878105206198E-3</v>
      </c>
      <c r="FZ242" s="28">
        <f t="shared" si="434"/>
        <v>28.957858386995458</v>
      </c>
      <c r="GA242" s="33"/>
      <c r="GE242" s="31"/>
      <c r="GM242" s="27">
        <f t="shared" si="386"/>
        <v>0</v>
      </c>
      <c r="GN242" s="27">
        <f t="shared" si="404"/>
        <v>0</v>
      </c>
      <c r="GO242" s="15">
        <f t="shared" si="435"/>
        <v>8.7654143927891901E-5</v>
      </c>
      <c r="GP242" s="28">
        <f t="shared" si="436"/>
        <v>2.5315748094563838E-3</v>
      </c>
      <c r="GQ242" s="28">
        <f t="shared" si="437"/>
        <v>28.88140475753168</v>
      </c>
      <c r="GR242" s="33"/>
      <c r="GV242" s="31"/>
      <c r="HD242" s="27">
        <f t="shared" si="387"/>
        <v>0</v>
      </c>
      <c r="HE242" s="27">
        <f t="shared" si="405"/>
        <v>0</v>
      </c>
      <c r="HF242" s="15">
        <f t="shared" si="438"/>
        <v>1.2347881147331123E-4</v>
      </c>
      <c r="HG242" s="28">
        <f t="shared" si="439"/>
        <v>1.8363105444686549E-3</v>
      </c>
      <c r="HH242" s="28">
        <f t="shared" si="440"/>
        <v>14.871462743756291</v>
      </c>
      <c r="HI242" s="33"/>
      <c r="HM242" s="31"/>
      <c r="HU242" s="27">
        <f t="shared" si="388"/>
        <v>0</v>
      </c>
      <c r="HV242" s="27">
        <f t="shared" si="406"/>
        <v>0</v>
      </c>
      <c r="HW242" s="15">
        <f t="shared" si="441"/>
        <v>2.8507373978627966E-13</v>
      </c>
      <c r="HX242" s="28">
        <f t="shared" si="442"/>
        <v>6.4534733588298662E-16</v>
      </c>
      <c r="HY242" s="28">
        <f t="shared" si="443"/>
        <v>2.2637908927241237E-3</v>
      </c>
      <c r="HZ242" s="33"/>
      <c r="ID242" s="31"/>
      <c r="II242" s="12"/>
      <c r="IL242" s="27">
        <f t="shared" si="389"/>
        <v>0</v>
      </c>
      <c r="IM242" s="27">
        <f t="shared" si="390"/>
        <v>112.20124470113295</v>
      </c>
      <c r="IN242" s="15">
        <f t="shared" si="444"/>
        <v>2.8093154726602072E-5</v>
      </c>
      <c r="IO242" s="28">
        <f t="shared" si="445"/>
        <v>4.7732848452642118E-5</v>
      </c>
      <c r="IP242" s="28">
        <f t="shared" si="446"/>
        <v>1.6990917864928412</v>
      </c>
      <c r="IQ242" s="33"/>
      <c r="IU242" s="31"/>
      <c r="JC242" s="27">
        <f t="shared" si="369"/>
        <v>0</v>
      </c>
      <c r="JD242" s="27">
        <f t="shared" si="391"/>
        <v>132.52275739910041</v>
      </c>
      <c r="JE242" s="15">
        <f t="shared" si="447"/>
        <v>3.3924758023511415E-5</v>
      </c>
      <c r="JF242" s="28">
        <f t="shared" si="448"/>
        <v>6.0923994896651648E-5</v>
      </c>
      <c r="JG242" s="28">
        <f t="shared" si="449"/>
        <v>1.7958564318845995</v>
      </c>
      <c r="JH242" s="33"/>
      <c r="JL242" s="31"/>
      <c r="JR242" s="99"/>
      <c r="JS242" s="99"/>
      <c r="JT242" s="99"/>
      <c r="JU242" s="99"/>
      <c r="JV242" s="99"/>
      <c r="JW242" s="99"/>
      <c r="JX242" s="99"/>
      <c r="JY242" s="99"/>
      <c r="JZ242" s="99"/>
      <c r="KA242" s="99"/>
      <c r="KB242" s="99"/>
      <c r="KC242" s="99"/>
      <c r="KD242" s="99"/>
      <c r="KE242" s="99"/>
      <c r="KF242" s="99"/>
      <c r="KG242" s="99"/>
      <c r="KH242" s="99"/>
      <c r="KI242" s="99"/>
      <c r="KJ242" s="99"/>
      <c r="KK242" s="99"/>
      <c r="KL242" s="99"/>
      <c r="KM242" s="99"/>
      <c r="KN242" s="99"/>
      <c r="KO242" s="99"/>
      <c r="KP242" s="99"/>
      <c r="KQ242" s="99"/>
      <c r="KR242" s="99"/>
      <c r="KS242" s="99"/>
      <c r="KT242" s="99"/>
      <c r="KU242" s="99"/>
      <c r="KV242" s="99"/>
      <c r="KW242" s="99"/>
      <c r="KX242" s="99"/>
      <c r="KY242" s="99"/>
      <c r="KZ242" s="99"/>
      <c r="LA242" s="99"/>
      <c r="LB242" s="99"/>
      <c r="LC242" s="99"/>
      <c r="LD242" s="99"/>
      <c r="LE242" s="99"/>
      <c r="LF242" s="99"/>
      <c r="LG242" s="99"/>
      <c r="LH242" s="99"/>
      <c r="LI242" s="99"/>
      <c r="LJ242" s="99"/>
      <c r="LK242" s="99"/>
      <c r="LL242" s="99"/>
      <c r="LM242" s="99"/>
      <c r="LN242" s="99"/>
      <c r="LO242" s="99"/>
      <c r="LP242" s="99"/>
      <c r="LQ242" s="99"/>
      <c r="LR242" s="99"/>
      <c r="LS242" s="99"/>
      <c r="LT242" s="99"/>
      <c r="LU242" s="99"/>
      <c r="LV242" s="99"/>
      <c r="LW242" s="99"/>
      <c r="LX242" s="99"/>
      <c r="LY242" s="99"/>
      <c r="LZ242" s="99"/>
      <c r="MA242" s="99"/>
      <c r="MB242" s="99"/>
      <c r="MC242" s="99"/>
      <c r="MD242" s="99"/>
      <c r="ME242" s="99"/>
      <c r="MF242" s="99"/>
    </row>
    <row r="243" spans="1:344" ht="17.25" customHeight="1" x14ac:dyDescent="0.25">
      <c r="A243" s="156"/>
      <c r="B243" s="81" t="s">
        <v>2</v>
      </c>
      <c r="C243" s="82">
        <v>45377</v>
      </c>
      <c r="D243" s="49"/>
      <c r="G243" s="89">
        <f t="shared" si="373"/>
        <v>0</v>
      </c>
      <c r="H243" s="35">
        <f t="shared" si="374"/>
        <v>0</v>
      </c>
      <c r="I243" s="39"/>
      <c r="L243" s="89">
        <f t="shared" si="375"/>
        <v>0</v>
      </c>
      <c r="M243" s="35">
        <f t="shared" si="392"/>
        <v>0</v>
      </c>
      <c r="N243" s="35">
        <f t="shared" si="393"/>
        <v>0</v>
      </c>
      <c r="O243" s="97" t="e">
        <f>SUM($Z243,$BH243,$AQ243,$BY243,$CP243,$DG243,$DX243,$EO243,$FF243,$FW243,$GN243)/I243</f>
        <v>#DIV/0!</v>
      </c>
      <c r="P243" s="150"/>
      <c r="Q243" s="132">
        <f t="shared" si="457"/>
        <v>0</v>
      </c>
      <c r="R243" s="134">
        <f t="shared" si="453"/>
        <v>0</v>
      </c>
      <c r="S243" s="136">
        <f t="shared" si="454"/>
        <v>0</v>
      </c>
      <c r="T243" s="138">
        <f t="shared" si="455"/>
        <v>0</v>
      </c>
      <c r="U243" s="144">
        <f t="shared" si="456"/>
        <v>0</v>
      </c>
      <c r="W243" s="11">
        <v>0</v>
      </c>
      <c r="X243" s="1">
        <v>0</v>
      </c>
      <c r="Y243" s="35">
        <f t="shared" si="376"/>
        <v>0</v>
      </c>
      <c r="Z243" s="35">
        <f t="shared" si="394"/>
        <v>0</v>
      </c>
      <c r="AA243" s="15">
        <f t="shared" si="407"/>
        <v>2.0167808440995037E-7</v>
      </c>
      <c r="AB243" s="43">
        <f t="shared" si="451"/>
        <v>6.6942174858731497E-7</v>
      </c>
      <c r="AC243" s="43">
        <f t="shared" si="452"/>
        <v>3.3192587610391202</v>
      </c>
      <c r="AD243" s="33"/>
      <c r="AH243" s="31"/>
      <c r="AP243" s="35">
        <f t="shared" si="377"/>
        <v>0</v>
      </c>
      <c r="AQ243" s="35">
        <f t="shared" si="395"/>
        <v>0</v>
      </c>
      <c r="AR243" s="15">
        <f t="shared" si="408"/>
        <v>6.0904785405338922E-5</v>
      </c>
      <c r="AS243" s="28">
        <f t="shared" si="409"/>
        <v>1.3957033758546485E-3</v>
      </c>
      <c r="AT243" s="28">
        <f t="shared" si="410"/>
        <v>22.916152919115302</v>
      </c>
      <c r="AU243" s="33"/>
      <c r="AY243" s="31"/>
      <c r="BG243" s="35">
        <f t="shared" si="378"/>
        <v>0</v>
      </c>
      <c r="BH243" s="35">
        <f t="shared" si="396"/>
        <v>0</v>
      </c>
      <c r="BI243" s="15">
        <f t="shared" si="411"/>
        <v>8.3880573486479581E-5</v>
      </c>
      <c r="BJ243" s="28">
        <f t="shared" si="412"/>
        <v>2.1440841424073078E-3</v>
      </c>
      <c r="BK243" s="28">
        <f t="shared" si="413"/>
        <v>25.561152639864883</v>
      </c>
      <c r="BL243" s="33"/>
      <c r="BP243" s="31"/>
      <c r="BX243" s="35">
        <f t="shared" si="379"/>
        <v>0</v>
      </c>
      <c r="BY243" s="35">
        <f t="shared" si="397"/>
        <v>0</v>
      </c>
      <c r="BZ243" s="15">
        <f t="shared" si="414"/>
        <v>6.3780020329694785E-5</v>
      </c>
      <c r="CA243" s="28">
        <f t="shared" si="415"/>
        <v>1.3324461406096677E-3</v>
      </c>
      <c r="CB243" s="28">
        <f t="shared" si="416"/>
        <v>20.891278079278155</v>
      </c>
      <c r="CC243" s="33"/>
      <c r="CG243" s="31"/>
      <c r="CO243" s="35">
        <f t="shared" si="380"/>
        <v>0</v>
      </c>
      <c r="CP243" s="35">
        <f t="shared" si="398"/>
        <v>0</v>
      </c>
      <c r="CQ243" s="15">
        <f t="shared" si="417"/>
        <v>6.9879122171323771E-5</v>
      </c>
      <c r="CR243" s="28">
        <f t="shared" si="418"/>
        <v>1.7242596913864972E-3</v>
      </c>
      <c r="CS243" s="28">
        <f t="shared" si="419"/>
        <v>24.674890551130591</v>
      </c>
      <c r="CT243" s="33"/>
      <c r="CX243" s="31"/>
      <c r="DF243" s="35">
        <f t="shared" si="381"/>
        <v>0</v>
      </c>
      <c r="DG243" s="35">
        <f t="shared" si="399"/>
        <v>0</v>
      </c>
      <c r="DH243" s="15">
        <f t="shared" si="420"/>
        <v>6.7967364164319571E-5</v>
      </c>
      <c r="DI243" s="28">
        <f t="shared" si="421"/>
        <v>1.0476987506173058E-3</v>
      </c>
      <c r="DJ243" s="28">
        <f t="shared" si="422"/>
        <v>15.41473269559731</v>
      </c>
      <c r="DK243" s="33"/>
      <c r="DO243" s="31"/>
      <c r="DW243" s="35">
        <f t="shared" si="382"/>
        <v>0</v>
      </c>
      <c r="DX243" s="35">
        <f t="shared" si="400"/>
        <v>0</v>
      </c>
      <c r="DY243" s="15">
        <f t="shared" si="423"/>
        <v>7.0370102684126046E-5</v>
      </c>
      <c r="DZ243" s="28">
        <f t="shared" si="424"/>
        <v>1.0228699416637991E-3</v>
      </c>
      <c r="EA243" s="28">
        <f t="shared" si="425"/>
        <v>14.535575516426468</v>
      </c>
      <c r="EB243" s="33"/>
      <c r="EF243" s="31"/>
      <c r="EN243" s="35">
        <f t="shared" si="383"/>
        <v>0</v>
      </c>
      <c r="EO243" s="35">
        <f t="shared" si="401"/>
        <v>0</v>
      </c>
      <c r="EP243" s="15">
        <f t="shared" si="426"/>
        <v>7.5133073147135037E-5</v>
      </c>
      <c r="EQ243" s="28">
        <f t="shared" si="427"/>
        <v>2.009887322545611E-3</v>
      </c>
      <c r="ER243" s="28">
        <f t="shared" si="428"/>
        <v>26.75103304518899</v>
      </c>
      <c r="ES243" s="33"/>
      <c r="EW243" s="31"/>
      <c r="FE243" s="35">
        <f t="shared" si="384"/>
        <v>0</v>
      </c>
      <c r="FF243" s="35">
        <f t="shared" si="402"/>
        <v>0</v>
      </c>
      <c r="FG243" s="15">
        <f t="shared" si="429"/>
        <v>7.2586450807189307E-5</v>
      </c>
      <c r="FH243" s="28">
        <f t="shared" si="430"/>
        <v>1.8398668262953237E-3</v>
      </c>
      <c r="FI243" s="28">
        <f t="shared" si="431"/>
        <v>25.347248774878722</v>
      </c>
      <c r="FJ243" s="33"/>
      <c r="FN243" s="31"/>
      <c r="FV243" s="35">
        <f t="shared" si="385"/>
        <v>0</v>
      </c>
      <c r="FW243" s="35">
        <f t="shared" si="403"/>
        <v>0</v>
      </c>
      <c r="FX243" s="15">
        <f t="shared" si="432"/>
        <v>6.8332292427138286E-5</v>
      </c>
      <c r="FY243" s="28">
        <f t="shared" si="433"/>
        <v>1.8422908578904647E-3</v>
      </c>
      <c r="FZ243" s="28">
        <f t="shared" si="434"/>
        <v>26.960764705133702</v>
      </c>
      <c r="GA243" s="33"/>
      <c r="GE243" s="31"/>
      <c r="GM243" s="35">
        <f t="shared" si="386"/>
        <v>0</v>
      </c>
      <c r="GN243" s="35">
        <f t="shared" si="404"/>
        <v>0</v>
      </c>
      <c r="GO243" s="15">
        <f t="shared" si="435"/>
        <v>7.0610282608579594E-5</v>
      </c>
      <c r="GP243" s="28">
        <f t="shared" si="436"/>
        <v>1.8986811070922879E-3</v>
      </c>
      <c r="GQ243" s="28">
        <f t="shared" si="437"/>
        <v>26.889583739770874</v>
      </c>
      <c r="GR243" s="33"/>
      <c r="GV243" s="31"/>
      <c r="HD243" s="35">
        <f t="shared" si="387"/>
        <v>0</v>
      </c>
      <c r="HE243" s="35">
        <f t="shared" si="405"/>
        <v>0</v>
      </c>
      <c r="HF243" s="15">
        <f t="shared" si="438"/>
        <v>9.9469042575722942E-5</v>
      </c>
      <c r="HG243" s="28">
        <f t="shared" si="439"/>
        <v>1.3772329083514912E-3</v>
      </c>
      <c r="HH243" s="28">
        <f t="shared" si="440"/>
        <v>13.845844623497236</v>
      </c>
      <c r="HI243" s="33"/>
      <c r="HM243" s="31"/>
      <c r="HU243" s="35">
        <f t="shared" si="388"/>
        <v>0</v>
      </c>
      <c r="HV243" s="35">
        <f t="shared" si="406"/>
        <v>0</v>
      </c>
      <c r="HW243" s="15">
        <f t="shared" si="441"/>
        <v>2.2964273482783638E-13</v>
      </c>
      <c r="HX243" s="28">
        <f t="shared" si="442"/>
        <v>4.8401050191223991E-16</v>
      </c>
      <c r="HY243" s="28">
        <f t="shared" si="443"/>
        <v>2.1076673828810807E-3</v>
      </c>
      <c r="HZ243" s="33"/>
      <c r="ID243" s="31"/>
      <c r="II243" s="12"/>
      <c r="IL243" s="35">
        <f t="shared" si="389"/>
        <v>0</v>
      </c>
      <c r="IM243" s="35">
        <f t="shared" si="390"/>
        <v>104.4619115210142</v>
      </c>
      <c r="IN243" s="15">
        <f t="shared" si="444"/>
        <v>2.2630596863096113E-5</v>
      </c>
      <c r="IO243" s="28">
        <f t="shared" si="445"/>
        <v>3.579963633948159E-5</v>
      </c>
      <c r="IP243" s="28">
        <f t="shared" si="446"/>
        <v>1.5819130425967831</v>
      </c>
      <c r="IQ243" s="33"/>
      <c r="IU243" s="31"/>
      <c r="JC243" s="35">
        <f t="shared" si="369"/>
        <v>0</v>
      </c>
      <c r="JD243" s="35">
        <f t="shared" si="391"/>
        <v>123.38155943178501</v>
      </c>
      <c r="JE243" s="15">
        <f t="shared" si="447"/>
        <v>2.7328277296717526E-5</v>
      </c>
      <c r="JF243" s="28">
        <f t="shared" si="448"/>
        <v>4.5692996172488732E-5</v>
      </c>
      <c r="JG243" s="28">
        <f t="shared" si="449"/>
        <v>1.6720042641684203</v>
      </c>
      <c r="JH243" s="33"/>
      <c r="JL243" s="31"/>
      <c r="JR243" s="99"/>
      <c r="JS243" s="99"/>
      <c r="JT243" s="99"/>
      <c r="JU243" s="99"/>
      <c r="JV243" s="99"/>
      <c r="JW243" s="99"/>
      <c r="JX243" s="99"/>
      <c r="JY243" s="99"/>
      <c r="JZ243" s="99"/>
      <c r="KA243" s="99"/>
      <c r="KB243" s="99"/>
      <c r="KC243" s="99"/>
      <c r="KD243" s="99"/>
      <c r="KE243" s="99"/>
      <c r="KF243" s="99"/>
      <c r="KG243" s="99"/>
      <c r="KH243" s="99"/>
      <c r="KI243" s="99"/>
      <c r="KJ243" s="99"/>
      <c r="KK243" s="99"/>
      <c r="KL243" s="99"/>
      <c r="KM243" s="99"/>
      <c r="KN243" s="99"/>
      <c r="KO243" s="99"/>
      <c r="KP243" s="99"/>
      <c r="KQ243" s="99"/>
      <c r="KR243" s="99"/>
      <c r="KS243" s="99"/>
      <c r="KT243" s="99"/>
      <c r="KU243" s="99"/>
      <c r="KV243" s="99"/>
      <c r="KW243" s="99"/>
      <c r="KX243" s="99"/>
      <c r="KY243" s="99"/>
      <c r="KZ243" s="99"/>
      <c r="LA243" s="99"/>
      <c r="LB243" s="99"/>
      <c r="LC243" s="99"/>
      <c r="LD243" s="99"/>
      <c r="LE243" s="99"/>
      <c r="LF243" s="99"/>
      <c r="LG243" s="99"/>
      <c r="LH243" s="99"/>
      <c r="LI243" s="99"/>
      <c r="LJ243" s="99"/>
      <c r="LK243" s="99"/>
      <c r="LL243" s="99"/>
      <c r="LM243" s="99"/>
      <c r="LN243" s="99"/>
      <c r="LO243" s="99"/>
      <c r="LP243" s="99"/>
      <c r="LQ243" s="99"/>
      <c r="LR243" s="99"/>
      <c r="LS243" s="99"/>
      <c r="LT243" s="99"/>
      <c r="LU243" s="99"/>
      <c r="LV243" s="99"/>
      <c r="LW243" s="99"/>
      <c r="LX243" s="99"/>
      <c r="LY243" s="99"/>
      <c r="LZ243" s="99"/>
      <c r="MA243" s="99"/>
      <c r="MB243" s="99"/>
      <c r="MC243" s="99"/>
      <c r="MD243" s="99"/>
      <c r="ME243" s="99"/>
      <c r="MF243" s="99"/>
    </row>
    <row r="244" spans="1:344" ht="17.25" customHeight="1" x14ac:dyDescent="0.25">
      <c r="A244" s="156"/>
      <c r="B244" s="81" t="s">
        <v>3</v>
      </c>
      <c r="C244" s="82">
        <v>45378</v>
      </c>
      <c r="D244" s="49"/>
      <c r="G244" s="89">
        <f t="shared" si="373"/>
        <v>0</v>
      </c>
      <c r="H244" s="35">
        <f t="shared" si="374"/>
        <v>0</v>
      </c>
      <c r="I244" s="39"/>
      <c r="L244" s="89">
        <f t="shared" si="375"/>
        <v>0</v>
      </c>
      <c r="M244" s="35">
        <f t="shared" si="392"/>
        <v>0</v>
      </c>
      <c r="N244" s="35">
        <f t="shared" si="393"/>
        <v>0</v>
      </c>
      <c r="O244" s="97" t="e">
        <f>SUM($Z244,$BH244,$AQ244,$BY244,$CP244,$DG244,$DX244,$EO244,$FF244,$FW244,$GN244)/D244</f>
        <v>#DIV/0!</v>
      </c>
      <c r="P244" s="150"/>
      <c r="Q244" s="132">
        <f t="shared" si="457"/>
        <v>0</v>
      </c>
      <c r="R244" s="134">
        <f t="shared" si="453"/>
        <v>0</v>
      </c>
      <c r="S244" s="136">
        <f t="shared" si="454"/>
        <v>0</v>
      </c>
      <c r="T244" s="138">
        <f t="shared" si="455"/>
        <v>0</v>
      </c>
      <c r="U244" s="144">
        <f t="shared" si="456"/>
        <v>0</v>
      </c>
      <c r="W244" s="11">
        <v>0</v>
      </c>
      <c r="X244" s="1">
        <v>0</v>
      </c>
      <c r="Y244" s="35">
        <f t="shared" si="376"/>
        <v>0</v>
      </c>
      <c r="Z244" s="35">
        <f t="shared" si="394"/>
        <v>0</v>
      </c>
      <c r="AA244" s="15">
        <f t="shared" si="407"/>
        <v>1.6246290133023782E-7</v>
      </c>
      <c r="AB244" s="43">
        <f t="shared" si="451"/>
        <v>5.0206631144048626E-7</v>
      </c>
      <c r="AC244" s="43">
        <f t="shared" si="452"/>
        <v>3.0903443637260772</v>
      </c>
      <c r="AD244" s="33"/>
      <c r="AH244" s="31"/>
      <c r="AP244" s="35">
        <f t="shared" si="377"/>
        <v>0</v>
      </c>
      <c r="AQ244" s="35">
        <f t="shared" si="395"/>
        <v>0</v>
      </c>
      <c r="AR244" s="15">
        <f t="shared" si="408"/>
        <v>4.9062188243189691E-5</v>
      </c>
      <c r="AS244" s="28">
        <f t="shared" si="409"/>
        <v>1.0467775318909864E-3</v>
      </c>
      <c r="AT244" s="28">
        <f t="shared" si="410"/>
        <v>21.335728579865968</v>
      </c>
      <c r="AU244" s="33"/>
      <c r="AY244" s="31"/>
      <c r="BG244" s="35">
        <f t="shared" si="378"/>
        <v>0</v>
      </c>
      <c r="BH244" s="35">
        <f t="shared" si="396"/>
        <v>0</v>
      </c>
      <c r="BI244" s="15">
        <f t="shared" si="411"/>
        <v>6.7570461975219667E-5</v>
      </c>
      <c r="BJ244" s="28">
        <f t="shared" si="412"/>
        <v>1.608063106805481E-3</v>
      </c>
      <c r="BK244" s="28">
        <f t="shared" si="413"/>
        <v>23.798314526770753</v>
      </c>
      <c r="BL244" s="33"/>
      <c r="BP244" s="31"/>
      <c r="BX244" s="35">
        <f t="shared" si="379"/>
        <v>0</v>
      </c>
      <c r="BY244" s="35">
        <f t="shared" si="397"/>
        <v>0</v>
      </c>
      <c r="BZ244" s="15">
        <f t="shared" si="414"/>
        <v>5.1378349710031917E-5</v>
      </c>
      <c r="CA244" s="28">
        <f t="shared" si="415"/>
        <v>9.993346054572509E-4</v>
      </c>
      <c r="CB244" s="28">
        <f t="shared" si="416"/>
        <v>19.450500280707246</v>
      </c>
      <c r="CC244" s="33"/>
      <c r="CG244" s="31"/>
      <c r="CO244" s="35">
        <f t="shared" si="380"/>
        <v>0</v>
      </c>
      <c r="CP244" s="35">
        <f t="shared" si="398"/>
        <v>0</v>
      </c>
      <c r="CQ244" s="15">
        <f t="shared" si="417"/>
        <v>5.6291515082455265E-5</v>
      </c>
      <c r="CR244" s="28">
        <f t="shared" si="418"/>
        <v>1.2931947685398729E-3</v>
      </c>
      <c r="CS244" s="28">
        <f t="shared" si="419"/>
        <v>22.973173961397446</v>
      </c>
      <c r="CT244" s="33"/>
      <c r="CX244" s="31"/>
      <c r="DF244" s="35">
        <f t="shared" si="381"/>
        <v>0</v>
      </c>
      <c r="DG244" s="35">
        <f t="shared" si="399"/>
        <v>0</v>
      </c>
      <c r="DH244" s="15">
        <f t="shared" si="420"/>
        <v>5.4751487799035212E-5</v>
      </c>
      <c r="DI244" s="28">
        <f t="shared" si="421"/>
        <v>7.8577406296297938E-4</v>
      </c>
      <c r="DJ244" s="28">
        <f t="shared" si="422"/>
        <v>14.35164768210784</v>
      </c>
      <c r="DK244" s="33"/>
      <c r="DO244" s="31"/>
      <c r="DW244" s="35">
        <f t="shared" si="382"/>
        <v>0</v>
      </c>
      <c r="DX244" s="35">
        <f t="shared" si="400"/>
        <v>0</v>
      </c>
      <c r="DY244" s="15">
        <f t="shared" si="423"/>
        <v>5.6687027162212652E-5</v>
      </c>
      <c r="DZ244" s="28">
        <f t="shared" si="424"/>
        <v>7.6715245624784929E-4</v>
      </c>
      <c r="EA244" s="28">
        <f t="shared" si="425"/>
        <v>13.533122032534987</v>
      </c>
      <c r="EB244" s="33"/>
      <c r="EF244" s="31"/>
      <c r="EN244" s="35">
        <f t="shared" si="383"/>
        <v>0</v>
      </c>
      <c r="EO244" s="35">
        <f t="shared" si="401"/>
        <v>0</v>
      </c>
      <c r="EP244" s="15">
        <f t="shared" si="426"/>
        <v>6.052386447963656E-5</v>
      </c>
      <c r="EQ244" s="28">
        <f t="shared" si="427"/>
        <v>1.5074154919092083E-3</v>
      </c>
      <c r="ER244" s="28">
        <f t="shared" si="428"/>
        <v>24.9061342144863</v>
      </c>
      <c r="ES244" s="33"/>
      <c r="EW244" s="31"/>
      <c r="FE244" s="35">
        <f t="shared" si="384"/>
        <v>0</v>
      </c>
      <c r="FF244" s="35">
        <f t="shared" si="402"/>
        <v>0</v>
      </c>
      <c r="FG244" s="15">
        <f t="shared" si="429"/>
        <v>5.8472418705791384E-5</v>
      </c>
      <c r="FH244" s="28">
        <f t="shared" si="430"/>
        <v>1.3799001197214928E-3</v>
      </c>
      <c r="FI244" s="28">
        <f t="shared" si="431"/>
        <v>23.599162652473293</v>
      </c>
      <c r="FJ244" s="33"/>
      <c r="FN244" s="31"/>
      <c r="FV244" s="35">
        <f t="shared" si="385"/>
        <v>0</v>
      </c>
      <c r="FW244" s="35">
        <f t="shared" si="403"/>
        <v>0</v>
      </c>
      <c r="FX244" s="15">
        <f t="shared" si="432"/>
        <v>5.5045457788528059E-5</v>
      </c>
      <c r="FY244" s="28">
        <f t="shared" si="433"/>
        <v>1.3817181434178484E-3</v>
      </c>
      <c r="FZ244" s="28">
        <f t="shared" si="434"/>
        <v>25.101401622021033</v>
      </c>
      <c r="GA244" s="33"/>
      <c r="GE244" s="31"/>
      <c r="GM244" s="35">
        <f t="shared" si="386"/>
        <v>0</v>
      </c>
      <c r="GN244" s="35">
        <f t="shared" si="404"/>
        <v>0</v>
      </c>
      <c r="GO244" s="15">
        <f t="shared" si="435"/>
        <v>5.6880505434689122E-5</v>
      </c>
      <c r="GP244" s="28">
        <f t="shared" si="436"/>
        <v>1.424010830319216E-3</v>
      </c>
      <c r="GQ244" s="28">
        <f t="shared" si="437"/>
        <v>25.035129688752193</v>
      </c>
      <c r="GR244" s="33"/>
      <c r="GV244" s="31"/>
      <c r="HD244" s="35">
        <f t="shared" si="387"/>
        <v>0</v>
      </c>
      <c r="HE244" s="35">
        <f t="shared" si="405"/>
        <v>0</v>
      </c>
      <c r="HF244" s="15">
        <f t="shared" si="438"/>
        <v>8.0127839852665712E-5</v>
      </c>
      <c r="HG244" s="28">
        <f t="shared" si="439"/>
        <v>1.0329246812636184E-3</v>
      </c>
      <c r="HH244" s="28">
        <f t="shared" si="440"/>
        <v>12.890958787393977</v>
      </c>
      <c r="HI244" s="33"/>
      <c r="HM244" s="31"/>
      <c r="HU244" s="35">
        <f t="shared" si="388"/>
        <v>0</v>
      </c>
      <c r="HV244" s="35">
        <f t="shared" si="406"/>
        <v>0</v>
      </c>
      <c r="HW244" s="15">
        <f t="shared" si="441"/>
        <v>1.8498998083353487E-13</v>
      </c>
      <c r="HX244" s="28">
        <f t="shared" si="442"/>
        <v>3.6300787643417993E-16</v>
      </c>
      <c r="HY244" s="28">
        <f t="shared" si="443"/>
        <v>1.9623110116479027E-3</v>
      </c>
      <c r="HZ244" s="33"/>
      <c r="ID244" s="31"/>
      <c r="II244" s="12"/>
      <c r="IL244" s="35">
        <f t="shared" si="389"/>
        <v>0</v>
      </c>
      <c r="IM244" s="35">
        <f t="shared" si="390"/>
        <v>97.256652877007184</v>
      </c>
      <c r="IN244" s="15">
        <f t="shared" si="444"/>
        <v>1.8230203028605206E-5</v>
      </c>
      <c r="IO244" s="28">
        <f t="shared" si="445"/>
        <v>2.6849727254611194E-5</v>
      </c>
      <c r="IP244" s="28">
        <f t="shared" si="446"/>
        <v>1.4728155913832117</v>
      </c>
      <c r="IQ244" s="33"/>
      <c r="IU244" s="31"/>
      <c r="JC244" s="35">
        <f t="shared" si="369"/>
        <v>0</v>
      </c>
      <c r="JD244" s="35">
        <f t="shared" si="391"/>
        <v>114.87121146060665</v>
      </c>
      <c r="JE244" s="15">
        <f t="shared" si="447"/>
        <v>2.2014445600133563E-5</v>
      </c>
      <c r="JF244" s="28">
        <f t="shared" si="448"/>
        <v>3.4269747129366546E-5</v>
      </c>
      <c r="JG244" s="28">
        <f t="shared" si="449"/>
        <v>1.5566936252602532</v>
      </c>
      <c r="JH244" s="33"/>
      <c r="JL244" s="31"/>
      <c r="JR244" s="99"/>
      <c r="JS244" s="99"/>
      <c r="JT244" s="99"/>
      <c r="JU244" s="99"/>
      <c r="JV244" s="99"/>
      <c r="JW244" s="99"/>
      <c r="JX244" s="99"/>
      <c r="JY244" s="99"/>
      <c r="JZ244" s="99"/>
      <c r="KA244" s="99"/>
      <c r="KB244" s="99"/>
      <c r="KC244" s="99"/>
      <c r="KD244" s="99"/>
      <c r="KE244" s="99"/>
      <c r="KF244" s="99"/>
      <c r="KG244" s="99"/>
      <c r="KH244" s="99"/>
      <c r="KI244" s="99"/>
      <c r="KJ244" s="99"/>
      <c r="KK244" s="99"/>
      <c r="KL244" s="99"/>
      <c r="KM244" s="99"/>
      <c r="KN244" s="99"/>
      <c r="KO244" s="99"/>
      <c r="KP244" s="99"/>
      <c r="KQ244" s="99"/>
      <c r="KR244" s="99"/>
      <c r="KS244" s="99"/>
      <c r="KT244" s="99"/>
      <c r="KU244" s="99"/>
      <c r="KV244" s="99"/>
      <c r="KW244" s="99"/>
      <c r="KX244" s="99"/>
      <c r="KY244" s="99"/>
      <c r="KZ244" s="99"/>
      <c r="LA244" s="99"/>
      <c r="LB244" s="99"/>
      <c r="LC244" s="99"/>
      <c r="LD244" s="99"/>
      <c r="LE244" s="99"/>
      <c r="LF244" s="99"/>
      <c r="LG244" s="99"/>
      <c r="LH244" s="99"/>
      <c r="LI244" s="99"/>
      <c r="LJ244" s="99"/>
      <c r="LK244" s="99"/>
      <c r="LL244" s="99"/>
      <c r="LM244" s="99"/>
      <c r="LN244" s="99"/>
      <c r="LO244" s="99"/>
      <c r="LP244" s="99"/>
      <c r="LQ244" s="99"/>
      <c r="LR244" s="99"/>
      <c r="LS244" s="99"/>
      <c r="LT244" s="99"/>
      <c r="LU244" s="99"/>
      <c r="LV244" s="99"/>
      <c r="LW244" s="99"/>
      <c r="LX244" s="99"/>
      <c r="LY244" s="99"/>
      <c r="LZ244" s="99"/>
      <c r="MA244" s="99"/>
      <c r="MB244" s="99"/>
      <c r="MC244" s="99"/>
      <c r="MD244" s="99"/>
      <c r="ME244" s="99"/>
      <c r="MF244" s="99"/>
    </row>
    <row r="245" spans="1:344" ht="17.25" customHeight="1" x14ac:dyDescent="0.25">
      <c r="A245" s="156"/>
      <c r="B245" s="81" t="s">
        <v>4</v>
      </c>
      <c r="C245" s="82">
        <v>45379</v>
      </c>
      <c r="D245" s="49"/>
      <c r="G245" s="89">
        <f t="shared" si="373"/>
        <v>0</v>
      </c>
      <c r="H245" s="35">
        <f t="shared" si="374"/>
        <v>0</v>
      </c>
      <c r="I245" s="39"/>
      <c r="L245" s="89">
        <f t="shared" si="375"/>
        <v>0</v>
      </c>
      <c r="M245" s="35">
        <f t="shared" si="392"/>
        <v>0</v>
      </c>
      <c r="N245" s="35">
        <f t="shared" si="393"/>
        <v>0</v>
      </c>
      <c r="O245" s="97" t="e">
        <f>SUM($Z245,$BH245,$AQ245,$BY245,$CP245,$DG245,$DX245,$EO245,$FF245,$FW245,$GN245)/D245</f>
        <v>#DIV/0!</v>
      </c>
      <c r="P245" s="150"/>
      <c r="Q245" s="132">
        <f t="shared" si="457"/>
        <v>0</v>
      </c>
      <c r="R245" s="134">
        <f t="shared" si="453"/>
        <v>0</v>
      </c>
      <c r="S245" s="136">
        <f t="shared" si="454"/>
        <v>0</v>
      </c>
      <c r="T245" s="138">
        <f t="shared" si="455"/>
        <v>0</v>
      </c>
      <c r="U245" s="144">
        <f t="shared" si="456"/>
        <v>0</v>
      </c>
      <c r="W245" s="11">
        <v>0</v>
      </c>
      <c r="X245" s="1">
        <v>0</v>
      </c>
      <c r="Y245" s="35">
        <f t="shared" si="376"/>
        <v>0</v>
      </c>
      <c r="Z245" s="35">
        <f t="shared" si="394"/>
        <v>0</v>
      </c>
      <c r="AA245" s="15">
        <f t="shared" si="407"/>
        <v>1.3087289273824714E-7</v>
      </c>
      <c r="AB245" s="43">
        <f t="shared" si="451"/>
        <v>3.7654973358036469E-7</v>
      </c>
      <c r="AC245" s="43">
        <f t="shared" si="452"/>
        <v>2.8772171662277271</v>
      </c>
      <c r="AD245" s="33"/>
      <c r="AH245" s="31"/>
      <c r="AP245" s="35">
        <f t="shared" si="377"/>
        <v>0</v>
      </c>
      <c r="AQ245" s="35">
        <f t="shared" si="395"/>
        <v>0</v>
      </c>
      <c r="AR245" s="15">
        <f t="shared" si="408"/>
        <v>3.9522318307013911E-5</v>
      </c>
      <c r="AS245" s="28">
        <f t="shared" si="409"/>
        <v>7.8508314891823972E-4</v>
      </c>
      <c r="AT245" s="28">
        <f t="shared" si="410"/>
        <v>19.864299022633833</v>
      </c>
      <c r="AU245" s="33"/>
      <c r="AY245" s="31"/>
      <c r="BG245" s="35">
        <f t="shared" si="378"/>
        <v>0</v>
      </c>
      <c r="BH245" s="35">
        <f t="shared" si="396"/>
        <v>0</v>
      </c>
      <c r="BI245" s="15">
        <f t="shared" si="411"/>
        <v>5.4431761035593628E-5</v>
      </c>
      <c r="BJ245" s="28">
        <f t="shared" si="412"/>
        <v>1.2060473301041107E-3</v>
      </c>
      <c r="BK245" s="28">
        <f t="shared" si="413"/>
        <v>22.157051455958975</v>
      </c>
      <c r="BL245" s="33"/>
      <c r="BP245" s="31"/>
      <c r="BX245" s="35">
        <f t="shared" si="379"/>
        <v>0</v>
      </c>
      <c r="BY245" s="35">
        <f t="shared" si="397"/>
        <v>0</v>
      </c>
      <c r="BZ245" s="15">
        <f t="shared" si="414"/>
        <v>4.1388115044192384E-5</v>
      </c>
      <c r="CA245" s="28">
        <f t="shared" si="415"/>
        <v>7.4950095409293818E-4</v>
      </c>
      <c r="CB245" s="28">
        <f t="shared" si="416"/>
        <v>18.109086468244676</v>
      </c>
      <c r="CC245" s="33"/>
      <c r="CG245" s="31"/>
      <c r="CO245" s="35">
        <f t="shared" si="380"/>
        <v>0</v>
      </c>
      <c r="CP245" s="35">
        <f t="shared" si="398"/>
        <v>0</v>
      </c>
      <c r="CQ245" s="15">
        <f t="shared" si="417"/>
        <v>4.5345942705311186E-5</v>
      </c>
      <c r="CR245" s="28">
        <f t="shared" si="418"/>
        <v>9.6989607640490469E-4</v>
      </c>
      <c r="CS245" s="28">
        <f t="shared" si="419"/>
        <v>21.388817136473484</v>
      </c>
      <c r="CT245" s="33"/>
      <c r="CX245" s="31"/>
      <c r="DF245" s="35">
        <f t="shared" si="381"/>
        <v>0</v>
      </c>
      <c r="DG245" s="35">
        <f t="shared" si="399"/>
        <v>0</v>
      </c>
      <c r="DH245" s="15">
        <f t="shared" si="420"/>
        <v>4.4105365171445036E-5</v>
      </c>
      <c r="DI245" s="28">
        <f t="shared" si="421"/>
        <v>5.8933054722223454E-4</v>
      </c>
      <c r="DJ245" s="28">
        <f t="shared" si="422"/>
        <v>13.36187887644523</v>
      </c>
      <c r="DK245" s="33"/>
      <c r="DO245" s="31"/>
      <c r="DW245" s="35">
        <f t="shared" si="382"/>
        <v>0</v>
      </c>
      <c r="DX245" s="35">
        <f t="shared" si="400"/>
        <v>0</v>
      </c>
      <c r="DY245" s="15">
        <f t="shared" si="423"/>
        <v>4.5664549658449082E-5</v>
      </c>
      <c r="DZ245" s="28">
        <f t="shared" si="424"/>
        <v>5.7536434218588691E-4</v>
      </c>
      <c r="EA245" s="28">
        <f t="shared" si="425"/>
        <v>12.599803271670504</v>
      </c>
      <c r="EB245" s="33"/>
      <c r="EF245" s="31"/>
      <c r="EN245" s="35">
        <f t="shared" si="383"/>
        <v>0</v>
      </c>
      <c r="EO245" s="35">
        <f t="shared" si="401"/>
        <v>0</v>
      </c>
      <c r="EP245" s="15">
        <f t="shared" si="426"/>
        <v>4.8755335275262783E-5</v>
      </c>
      <c r="EQ245" s="28">
        <f t="shared" si="427"/>
        <v>1.1305616189319061E-3</v>
      </c>
      <c r="ER245" s="28">
        <f t="shared" si="428"/>
        <v>23.188469785901038</v>
      </c>
      <c r="ES245" s="33"/>
      <c r="EW245" s="31"/>
      <c r="FE245" s="35">
        <f t="shared" si="384"/>
        <v>0</v>
      </c>
      <c r="FF245" s="35">
        <f t="shared" si="402"/>
        <v>0</v>
      </c>
      <c r="FG245" s="15">
        <f t="shared" si="429"/>
        <v>4.7102781735220831E-5</v>
      </c>
      <c r="FH245" s="28">
        <f t="shared" si="430"/>
        <v>1.0349250897911195E-3</v>
      </c>
      <c r="FI245" s="28">
        <f t="shared" si="431"/>
        <v>21.971634193682032</v>
      </c>
      <c r="FJ245" s="33"/>
      <c r="FN245" s="31"/>
      <c r="FV245" s="35">
        <f t="shared" si="385"/>
        <v>0</v>
      </c>
      <c r="FW245" s="35">
        <f t="shared" si="403"/>
        <v>0</v>
      </c>
      <c r="FX245" s="15">
        <f t="shared" si="432"/>
        <v>4.4342174329647604E-5</v>
      </c>
      <c r="FY245" s="28">
        <f t="shared" si="433"/>
        <v>1.0362886075633863E-3</v>
      </c>
      <c r="FZ245" s="28">
        <f t="shared" si="434"/>
        <v>23.370270475674754</v>
      </c>
      <c r="GA245" s="33"/>
      <c r="GE245" s="31"/>
      <c r="GM245" s="35">
        <f t="shared" si="386"/>
        <v>0</v>
      </c>
      <c r="GN245" s="35">
        <f t="shared" si="404"/>
        <v>0</v>
      </c>
      <c r="GO245" s="15">
        <f t="shared" si="435"/>
        <v>4.5820407155721795E-5</v>
      </c>
      <c r="GP245" s="28">
        <f t="shared" si="436"/>
        <v>1.068008122739412E-3</v>
      </c>
      <c r="GQ245" s="28">
        <f t="shared" si="437"/>
        <v>23.308569020562384</v>
      </c>
      <c r="GR245" s="33"/>
      <c r="GV245" s="31"/>
      <c r="HD245" s="35">
        <f t="shared" si="387"/>
        <v>0</v>
      </c>
      <c r="HE245" s="35">
        <f t="shared" si="405"/>
        <v>0</v>
      </c>
      <c r="HF245" s="15">
        <f t="shared" si="438"/>
        <v>6.454742654798071E-5</v>
      </c>
      <c r="HG245" s="28">
        <f t="shared" si="439"/>
        <v>7.7469351094771374E-4</v>
      </c>
      <c r="HH245" s="28">
        <f t="shared" si="440"/>
        <v>12.001927146884046</v>
      </c>
      <c r="HI245" s="33"/>
      <c r="HM245" s="31"/>
      <c r="HU245" s="35">
        <f t="shared" si="388"/>
        <v>0</v>
      </c>
      <c r="HV245" s="35">
        <f t="shared" si="406"/>
        <v>0</v>
      </c>
      <c r="HW245" s="15">
        <f t="shared" si="441"/>
        <v>1.4901970678256978E-13</v>
      </c>
      <c r="HX245" s="28">
        <f t="shared" si="442"/>
        <v>2.7225590732563498E-16</v>
      </c>
      <c r="HY245" s="28">
        <f t="shared" si="443"/>
        <v>1.8269792177411507E-3</v>
      </c>
      <c r="HZ245" s="33"/>
      <c r="ID245" s="31"/>
      <c r="II245" s="12"/>
      <c r="IL245" s="35">
        <f t="shared" si="389"/>
        <v>0</v>
      </c>
      <c r="IM245" s="35">
        <f t="shared" si="390"/>
        <v>90.548554509384886</v>
      </c>
      <c r="IN245" s="15">
        <f t="shared" si="444"/>
        <v>1.4685441328598638E-5</v>
      </c>
      <c r="IO245" s="28">
        <f t="shared" si="445"/>
        <v>2.0137295440958394E-5</v>
      </c>
      <c r="IP245" s="28">
        <f t="shared" si="446"/>
        <v>1.3712421023223005</v>
      </c>
      <c r="IQ245" s="33"/>
      <c r="IU245" s="31"/>
      <c r="JC245" s="35">
        <f t="shared" si="369"/>
        <v>0</v>
      </c>
      <c r="JD245" s="35">
        <f t="shared" si="391"/>
        <v>106.94810130450115</v>
      </c>
      <c r="JE245" s="15">
        <f t="shared" si="447"/>
        <v>1.7733858955663149E-5</v>
      </c>
      <c r="JF245" s="28">
        <f t="shared" si="448"/>
        <v>2.5702310347024909E-5</v>
      </c>
      <c r="JG245" s="28">
        <f t="shared" si="449"/>
        <v>1.4493354442078219</v>
      </c>
      <c r="JH245" s="33"/>
      <c r="JL245" s="31"/>
      <c r="JR245" s="99"/>
      <c r="JS245" s="99"/>
      <c r="JT245" s="99"/>
      <c r="JU245" s="99"/>
      <c r="JV245" s="99"/>
      <c r="JW245" s="99"/>
      <c r="JX245" s="99"/>
      <c r="JY245" s="99"/>
      <c r="JZ245" s="99"/>
      <c r="KA245" s="99"/>
      <c r="KB245" s="99"/>
      <c r="KC245" s="99"/>
      <c r="KD245" s="99"/>
      <c r="KE245" s="99"/>
      <c r="KF245" s="99"/>
      <c r="KG245" s="99"/>
      <c r="KH245" s="99"/>
      <c r="KI245" s="99"/>
      <c r="KJ245" s="99"/>
      <c r="KK245" s="99"/>
      <c r="KL245" s="99"/>
      <c r="KM245" s="99"/>
      <c r="KN245" s="99"/>
      <c r="KO245" s="99"/>
      <c r="KP245" s="99"/>
      <c r="KQ245" s="99"/>
      <c r="KR245" s="99"/>
      <c r="KS245" s="99"/>
      <c r="KT245" s="99"/>
      <c r="KU245" s="99"/>
      <c r="KV245" s="99"/>
      <c r="KW245" s="99"/>
      <c r="KX245" s="99"/>
      <c r="KY245" s="99"/>
      <c r="KZ245" s="99"/>
      <c r="LA245" s="99"/>
      <c r="LB245" s="99"/>
      <c r="LC245" s="99"/>
      <c r="LD245" s="99"/>
      <c r="LE245" s="99"/>
      <c r="LF245" s="99"/>
      <c r="LG245" s="99"/>
      <c r="LH245" s="99"/>
      <c r="LI245" s="99"/>
      <c r="LJ245" s="99"/>
      <c r="LK245" s="99"/>
      <c r="LL245" s="99"/>
      <c r="LM245" s="99"/>
      <c r="LN245" s="99"/>
      <c r="LO245" s="99"/>
      <c r="LP245" s="99"/>
      <c r="LQ245" s="99"/>
      <c r="LR245" s="99"/>
      <c r="LS245" s="99"/>
      <c r="LT245" s="99"/>
      <c r="LU245" s="99"/>
      <c r="LV245" s="99"/>
      <c r="LW245" s="99"/>
      <c r="LX245" s="99"/>
      <c r="LY245" s="99"/>
      <c r="LZ245" s="99"/>
      <c r="MA245" s="99"/>
      <c r="MB245" s="99"/>
      <c r="MC245" s="99"/>
      <c r="MD245" s="99"/>
      <c r="ME245" s="99"/>
      <c r="MF245" s="99"/>
    </row>
    <row r="246" spans="1:344" ht="17.25" customHeight="1" x14ac:dyDescent="0.25">
      <c r="A246" s="156"/>
      <c r="B246" s="81" t="s">
        <v>5</v>
      </c>
      <c r="C246" s="82">
        <v>45380</v>
      </c>
      <c r="D246" s="49"/>
      <c r="G246" s="89">
        <f t="shared" si="373"/>
        <v>0</v>
      </c>
      <c r="H246" s="35">
        <f t="shared" si="374"/>
        <v>0</v>
      </c>
      <c r="I246" s="39"/>
      <c r="L246" s="89">
        <f t="shared" si="375"/>
        <v>0</v>
      </c>
      <c r="M246" s="35">
        <f t="shared" si="392"/>
        <v>0</v>
      </c>
      <c r="N246" s="35">
        <f t="shared" si="393"/>
        <v>0</v>
      </c>
      <c r="O246" s="97" t="e">
        <f>SUM($Z246,$BH246,$AQ246,$BY246,$CP246,$DG246,$DX246,$EO246,$FF246,$FW246,$GN246)/D246</f>
        <v>#DIV/0!</v>
      </c>
      <c r="P246" s="150"/>
      <c r="Q246" s="132">
        <f t="shared" si="457"/>
        <v>0</v>
      </c>
      <c r="R246" s="134">
        <f t="shared" si="453"/>
        <v>0</v>
      </c>
      <c r="S246" s="136">
        <f t="shared" si="454"/>
        <v>0</v>
      </c>
      <c r="T246" s="138">
        <f t="shared" si="455"/>
        <v>0</v>
      </c>
      <c r="U246" s="144">
        <f t="shared" si="456"/>
        <v>0</v>
      </c>
      <c r="W246" s="11">
        <v>0</v>
      </c>
      <c r="X246" s="1">
        <v>0</v>
      </c>
      <c r="Y246" s="35">
        <f t="shared" si="376"/>
        <v>0</v>
      </c>
      <c r="Z246" s="35">
        <f t="shared" si="394"/>
        <v>0</v>
      </c>
      <c r="AA246" s="15">
        <f t="shared" si="407"/>
        <v>1.054253858169213E-7</v>
      </c>
      <c r="AB246" s="43">
        <f t="shared" si="451"/>
        <v>2.8241230018527351E-7</v>
      </c>
      <c r="AC246" s="43">
        <f t="shared" si="452"/>
        <v>2.6787883961430561</v>
      </c>
      <c r="AD246" s="33"/>
      <c r="AH246" s="31"/>
      <c r="AP246" s="35">
        <f t="shared" si="377"/>
        <v>0</v>
      </c>
      <c r="AQ246" s="35">
        <f t="shared" si="395"/>
        <v>0</v>
      </c>
      <c r="AR246" s="15">
        <f t="shared" si="408"/>
        <v>3.1837423080650097E-5</v>
      </c>
      <c r="AS246" s="28">
        <f t="shared" si="409"/>
        <v>5.8881236168867985E-4</v>
      </c>
      <c r="AT246" s="28">
        <f t="shared" si="410"/>
        <v>18.494347365900467</v>
      </c>
      <c r="AU246" s="33"/>
      <c r="AY246" s="31"/>
      <c r="BG246" s="35">
        <f t="shared" si="378"/>
        <v>0</v>
      </c>
      <c r="BH246" s="35">
        <f t="shared" si="396"/>
        <v>0</v>
      </c>
      <c r="BI246" s="15">
        <f t="shared" si="411"/>
        <v>4.3847807500894868E-5</v>
      </c>
      <c r="BJ246" s="28">
        <f t="shared" si="412"/>
        <v>9.0453549757808305E-4</v>
      </c>
      <c r="BK246" s="28">
        <f t="shared" si="413"/>
        <v>20.628978941754905</v>
      </c>
      <c r="BL246" s="33"/>
      <c r="BP246" s="31"/>
      <c r="BX246" s="35">
        <f t="shared" si="379"/>
        <v>0</v>
      </c>
      <c r="BY246" s="35">
        <f t="shared" si="397"/>
        <v>0</v>
      </c>
      <c r="BZ246" s="15">
        <f t="shared" si="414"/>
        <v>3.3340426007821646E-5</v>
      </c>
      <c r="CA246" s="28">
        <f t="shared" si="415"/>
        <v>5.6212571556970366E-4</v>
      </c>
      <c r="CB246" s="28">
        <f t="shared" si="416"/>
        <v>16.860183953193317</v>
      </c>
      <c r="CC246" s="33"/>
      <c r="CG246" s="31"/>
      <c r="CO246" s="35">
        <f t="shared" si="380"/>
        <v>0</v>
      </c>
      <c r="CP246" s="35">
        <f t="shared" si="398"/>
        <v>0</v>
      </c>
      <c r="CQ246" s="15">
        <f t="shared" si="417"/>
        <v>3.6528676068167351E-5</v>
      </c>
      <c r="CR246" s="28">
        <f t="shared" si="418"/>
        <v>7.2742205730367854E-4</v>
      </c>
      <c r="CS246" s="28">
        <f t="shared" si="419"/>
        <v>19.913726299475311</v>
      </c>
      <c r="CT246" s="33"/>
      <c r="CX246" s="31"/>
      <c r="DF246" s="35">
        <f t="shared" si="381"/>
        <v>0</v>
      </c>
      <c r="DG246" s="35">
        <f t="shared" si="399"/>
        <v>0</v>
      </c>
      <c r="DH246" s="15">
        <f t="shared" si="420"/>
        <v>3.5529321943664061E-5</v>
      </c>
      <c r="DI246" s="28">
        <f t="shared" si="421"/>
        <v>4.4199791041667593E-4</v>
      </c>
      <c r="DJ246" s="28">
        <f t="shared" si="422"/>
        <v>12.440369988414524</v>
      </c>
      <c r="DK246" s="33"/>
      <c r="DO246" s="31"/>
      <c r="DW246" s="35">
        <f t="shared" si="382"/>
        <v>0</v>
      </c>
      <c r="DX246" s="35">
        <f t="shared" si="400"/>
        <v>0</v>
      </c>
      <c r="DY246" s="15">
        <f t="shared" si="423"/>
        <v>3.6785331669306204E-5</v>
      </c>
      <c r="DZ246" s="28">
        <f t="shared" si="424"/>
        <v>4.3152325663941519E-4</v>
      </c>
      <c r="EA246" s="28">
        <f t="shared" si="425"/>
        <v>11.730851321900124</v>
      </c>
      <c r="EB246" s="33"/>
      <c r="EF246" s="31"/>
      <c r="EN246" s="35">
        <f t="shared" si="383"/>
        <v>0</v>
      </c>
      <c r="EO246" s="35">
        <f t="shared" si="401"/>
        <v>0</v>
      </c>
      <c r="EP246" s="15">
        <f t="shared" si="426"/>
        <v>3.9275131193961686E-5</v>
      </c>
      <c r="EQ246" s="28">
        <f t="shared" si="427"/>
        <v>8.479212141989296E-4</v>
      </c>
      <c r="ER246" s="28">
        <f t="shared" si="428"/>
        <v>21.589264973080276</v>
      </c>
      <c r="ES246" s="33"/>
      <c r="EW246" s="31"/>
      <c r="FE246" s="35">
        <f t="shared" si="384"/>
        <v>0</v>
      </c>
      <c r="FF246" s="35">
        <f t="shared" si="402"/>
        <v>0</v>
      </c>
      <c r="FG246" s="15">
        <f t="shared" si="429"/>
        <v>3.7943907508927888E-5</v>
      </c>
      <c r="FH246" s="28">
        <f t="shared" si="430"/>
        <v>7.761938173433396E-4</v>
      </c>
      <c r="FI246" s="28">
        <f t="shared" si="431"/>
        <v>20.456349076876375</v>
      </c>
      <c r="FJ246" s="33"/>
      <c r="FN246" s="31"/>
      <c r="FV246" s="35">
        <f t="shared" si="385"/>
        <v>0</v>
      </c>
      <c r="FW246" s="35">
        <f t="shared" si="403"/>
        <v>0</v>
      </c>
      <c r="FX246" s="15">
        <f t="shared" si="432"/>
        <v>3.5720084876660567E-5</v>
      </c>
      <c r="FY246" s="28">
        <f t="shared" si="433"/>
        <v>7.7721645567253969E-4</v>
      </c>
      <c r="FZ246" s="28">
        <f t="shared" si="434"/>
        <v>21.758527684248907</v>
      </c>
      <c r="GA246" s="33"/>
      <c r="GE246" s="31"/>
      <c r="GM246" s="35">
        <f t="shared" si="386"/>
        <v>0</v>
      </c>
      <c r="GN246" s="35">
        <f t="shared" si="404"/>
        <v>0</v>
      </c>
      <c r="GO246" s="15">
        <f t="shared" si="435"/>
        <v>3.6910883542109224E-5</v>
      </c>
      <c r="GP246" s="28">
        <f t="shared" si="436"/>
        <v>8.0100609205455901E-4</v>
      </c>
      <c r="GQ246" s="28">
        <f t="shared" si="437"/>
        <v>21.701081501902909</v>
      </c>
      <c r="GR246" s="33"/>
      <c r="GV246" s="31"/>
      <c r="HD246" s="35">
        <f t="shared" si="387"/>
        <v>0</v>
      </c>
      <c r="HE246" s="35">
        <f t="shared" si="405"/>
        <v>0</v>
      </c>
      <c r="HF246" s="15">
        <f t="shared" si="438"/>
        <v>5.1996538052540017E-5</v>
      </c>
      <c r="HG246" s="28">
        <f t="shared" si="439"/>
        <v>5.810201332107853E-4</v>
      </c>
      <c r="HH246" s="28">
        <f t="shared" si="440"/>
        <v>11.174208033305836</v>
      </c>
      <c r="HI246" s="33"/>
      <c r="HM246" s="31"/>
      <c r="HU246" s="35">
        <f t="shared" si="388"/>
        <v>0</v>
      </c>
      <c r="HV246" s="35">
        <f t="shared" si="406"/>
        <v>0</v>
      </c>
      <c r="HW246" s="15">
        <f t="shared" si="441"/>
        <v>1.20043652685959E-13</v>
      </c>
      <c r="HX246" s="28">
        <f t="shared" si="442"/>
        <v>2.0419193049422623E-16</v>
      </c>
      <c r="HY246" s="28">
        <f t="shared" si="443"/>
        <v>1.7009806510003816E-3</v>
      </c>
      <c r="HZ246" s="33"/>
      <c r="ID246" s="31"/>
      <c r="II246" s="12"/>
      <c r="IL246" s="35">
        <f t="shared" si="389"/>
        <v>0</v>
      </c>
      <c r="IM246" s="35">
        <f t="shared" si="390"/>
        <v>84.303268290106885</v>
      </c>
      <c r="IN246" s="15">
        <f t="shared" si="444"/>
        <v>1.1829938848037792E-5</v>
      </c>
      <c r="IO246" s="28">
        <f t="shared" si="445"/>
        <v>1.5102971580718795E-5</v>
      </c>
      <c r="IP246" s="28">
        <f t="shared" si="446"/>
        <v>1.2766736814724866</v>
      </c>
      <c r="IQ246" s="33"/>
      <c r="IU246" s="31"/>
      <c r="JC246" s="35">
        <f t="shared" si="369"/>
        <v>0</v>
      </c>
      <c r="JD246" s="35">
        <f t="shared" si="391"/>
        <v>99.571650771633983</v>
      </c>
      <c r="JE246" s="15">
        <f t="shared" si="447"/>
        <v>1.4285608603173091E-5</v>
      </c>
      <c r="JF246" s="28">
        <f t="shared" si="448"/>
        <v>1.9276732760268681E-5</v>
      </c>
      <c r="JG246" s="28">
        <f t="shared" si="449"/>
        <v>1.3493812756417651</v>
      </c>
      <c r="JH246" s="33"/>
      <c r="JL246" s="31"/>
      <c r="JR246" s="99"/>
      <c r="JS246" s="99"/>
      <c r="JT246" s="99"/>
      <c r="JU246" s="99"/>
      <c r="JV246" s="99"/>
      <c r="JW246" s="99"/>
      <c r="JX246" s="99"/>
      <c r="JY246" s="99"/>
      <c r="JZ246" s="99"/>
      <c r="KA246" s="99"/>
      <c r="KB246" s="99"/>
      <c r="KC246" s="99"/>
      <c r="KD246" s="99"/>
      <c r="KE246" s="99"/>
      <c r="KF246" s="99"/>
      <c r="KG246" s="99"/>
      <c r="KH246" s="99"/>
      <c r="KI246" s="99"/>
      <c r="KJ246" s="99"/>
      <c r="KK246" s="99"/>
      <c r="KL246" s="99"/>
      <c r="KM246" s="99"/>
      <c r="KN246" s="99"/>
      <c r="KO246" s="99"/>
      <c r="KP246" s="99"/>
      <c r="KQ246" s="99"/>
      <c r="KR246" s="99"/>
      <c r="KS246" s="99"/>
      <c r="KT246" s="99"/>
      <c r="KU246" s="99"/>
      <c r="KV246" s="99"/>
      <c r="KW246" s="99"/>
      <c r="KX246" s="99"/>
      <c r="KY246" s="99"/>
      <c r="KZ246" s="99"/>
      <c r="LA246" s="99"/>
      <c r="LB246" s="99"/>
      <c r="LC246" s="99"/>
      <c r="LD246" s="99"/>
      <c r="LE246" s="99"/>
      <c r="LF246" s="99"/>
      <c r="LG246" s="99"/>
      <c r="LH246" s="99"/>
      <c r="LI246" s="99"/>
      <c r="LJ246" s="99"/>
      <c r="LK246" s="99"/>
      <c r="LL246" s="99"/>
      <c r="LM246" s="99"/>
      <c r="LN246" s="99"/>
      <c r="LO246" s="99"/>
      <c r="LP246" s="99"/>
      <c r="LQ246" s="99"/>
      <c r="LR246" s="99"/>
      <c r="LS246" s="99"/>
      <c r="LT246" s="99"/>
      <c r="LU246" s="99"/>
      <c r="LV246" s="99"/>
      <c r="LW246" s="99"/>
      <c r="LX246" s="99"/>
      <c r="LY246" s="99"/>
      <c r="LZ246" s="99"/>
      <c r="MA246" s="99"/>
      <c r="MB246" s="99"/>
      <c r="MC246" s="99"/>
      <c r="MD246" s="99"/>
      <c r="ME246" s="99"/>
      <c r="MF246" s="99"/>
    </row>
    <row r="247" spans="1:344" ht="17.25" customHeight="1" x14ac:dyDescent="0.25">
      <c r="A247" s="156"/>
      <c r="B247" s="81" t="s">
        <v>6</v>
      </c>
      <c r="C247" s="82">
        <v>45381</v>
      </c>
      <c r="D247" s="49"/>
      <c r="G247" s="89">
        <f t="shared" si="373"/>
        <v>0</v>
      </c>
      <c r="H247" s="35">
        <f t="shared" si="374"/>
        <v>0</v>
      </c>
      <c r="I247" s="39"/>
      <c r="L247" s="89">
        <f t="shared" si="375"/>
        <v>0</v>
      </c>
      <c r="M247" s="35">
        <f t="shared" si="392"/>
        <v>0</v>
      </c>
      <c r="N247" s="35">
        <f t="shared" si="393"/>
        <v>0</v>
      </c>
      <c r="O247" s="97" t="e">
        <f>SUM($Z247,$BH247,$AQ247,$BY247,$CP247,$DG247,$DX247,$EO247,$FF247,$FW247,$GN247)/D247</f>
        <v>#DIV/0!</v>
      </c>
      <c r="P247" s="150"/>
      <c r="Q247" s="132">
        <f t="shared" si="457"/>
        <v>0</v>
      </c>
      <c r="R247" s="134">
        <f t="shared" si="453"/>
        <v>0</v>
      </c>
      <c r="S247" s="136">
        <f t="shared" si="454"/>
        <v>0</v>
      </c>
      <c r="T247" s="138">
        <f t="shared" si="455"/>
        <v>0</v>
      </c>
      <c r="U247" s="144">
        <f t="shared" si="456"/>
        <v>0</v>
      </c>
      <c r="W247" s="11">
        <v>0</v>
      </c>
      <c r="X247" s="1">
        <v>0</v>
      </c>
      <c r="Y247" s="35">
        <f t="shared" si="376"/>
        <v>0</v>
      </c>
      <c r="Z247" s="35">
        <f t="shared" si="394"/>
        <v>0</v>
      </c>
      <c r="AA247" s="15">
        <f t="shared" si="407"/>
        <v>8.4926005241408831E-8</v>
      </c>
      <c r="AB247" s="43">
        <f t="shared" si="451"/>
        <v>2.1180922513895513E-7</v>
      </c>
      <c r="AC247" s="43">
        <f t="shared" si="452"/>
        <v>2.4940443688228453</v>
      </c>
      <c r="AD247" s="33"/>
      <c r="AH247" s="31"/>
      <c r="AP247" s="35">
        <f t="shared" si="377"/>
        <v>0</v>
      </c>
      <c r="AQ247" s="35">
        <f t="shared" si="395"/>
        <v>0</v>
      </c>
      <c r="AR247" s="15">
        <f t="shared" si="408"/>
        <v>2.5646813037190359E-5</v>
      </c>
      <c r="AS247" s="28">
        <f t="shared" si="409"/>
        <v>4.4160927126650989E-4</v>
      </c>
      <c r="AT247" s="28">
        <f t="shared" si="410"/>
        <v>17.218875133769398</v>
      </c>
      <c r="AU247" s="33"/>
      <c r="AY247" s="31"/>
      <c r="BG247" s="35">
        <f t="shared" si="378"/>
        <v>0</v>
      </c>
      <c r="BH247" s="35">
        <f t="shared" si="396"/>
        <v>0</v>
      </c>
      <c r="BI247" s="15">
        <f t="shared" si="411"/>
        <v>3.5321844931276423E-5</v>
      </c>
      <c r="BJ247" s="28">
        <f t="shared" si="412"/>
        <v>6.7840162318356229E-4</v>
      </c>
      <c r="BK247" s="28">
        <f t="shared" si="413"/>
        <v>19.206290738875257</v>
      </c>
      <c r="BL247" s="33"/>
      <c r="BP247" s="31"/>
      <c r="BX247" s="35">
        <f t="shared" si="379"/>
        <v>0</v>
      </c>
      <c r="BY247" s="35">
        <f t="shared" si="397"/>
        <v>0</v>
      </c>
      <c r="BZ247" s="15">
        <f t="shared" si="414"/>
        <v>2.6857565395189662E-5</v>
      </c>
      <c r="CA247" s="28">
        <f t="shared" si="415"/>
        <v>4.2159428667727774E-4</v>
      </c>
      <c r="CB247" s="28">
        <f t="shared" si="416"/>
        <v>15.697412646076536</v>
      </c>
      <c r="CC247" s="33"/>
      <c r="CG247" s="31"/>
      <c r="CO247" s="35">
        <f t="shared" si="380"/>
        <v>0</v>
      </c>
      <c r="CP247" s="35">
        <f t="shared" si="398"/>
        <v>0</v>
      </c>
      <c r="CQ247" s="15">
        <f t="shared" si="417"/>
        <v>2.942587794380148E-5</v>
      </c>
      <c r="CR247" s="28">
        <f t="shared" si="418"/>
        <v>5.4556654297775893E-4</v>
      </c>
      <c r="CS247" s="28">
        <f t="shared" si="419"/>
        <v>18.540365865028736</v>
      </c>
      <c r="CT247" s="33"/>
      <c r="CX247" s="31"/>
      <c r="DF247" s="35">
        <f t="shared" si="381"/>
        <v>0</v>
      </c>
      <c r="DG247" s="35">
        <f t="shared" si="399"/>
        <v>0</v>
      </c>
      <c r="DH247" s="15">
        <f t="shared" si="420"/>
        <v>2.8620842676840491E-5</v>
      </c>
      <c r="DI247" s="28">
        <f t="shared" si="421"/>
        <v>3.3149843281250692E-4</v>
      </c>
      <c r="DJ247" s="28">
        <f t="shared" si="422"/>
        <v>11.582413437489384</v>
      </c>
      <c r="DK247" s="33"/>
      <c r="DO247" s="31"/>
      <c r="DW247" s="35">
        <f t="shared" si="382"/>
        <v>0</v>
      </c>
      <c r="DX247" s="35">
        <f t="shared" si="400"/>
        <v>0</v>
      </c>
      <c r="DY247" s="15">
        <f t="shared" si="423"/>
        <v>2.9632628289163338E-5</v>
      </c>
      <c r="DZ247" s="28">
        <f t="shared" si="424"/>
        <v>3.2364244247956142E-4</v>
      </c>
      <c r="EA247" s="28">
        <f t="shared" si="425"/>
        <v>10.921827092803563</v>
      </c>
      <c r="EB247" s="33"/>
      <c r="EF247" s="31"/>
      <c r="EN247" s="35">
        <f t="shared" si="383"/>
        <v>0</v>
      </c>
      <c r="EO247" s="35">
        <f t="shared" si="401"/>
        <v>0</v>
      </c>
      <c r="EP247" s="15">
        <f t="shared" si="426"/>
        <v>3.163830012846914E-5</v>
      </c>
      <c r="EQ247" s="28">
        <f t="shared" si="427"/>
        <v>6.359409106491972E-4</v>
      </c>
      <c r="ER247" s="28">
        <f t="shared" si="428"/>
        <v>20.1003501473506</v>
      </c>
      <c r="ES247" s="33"/>
      <c r="EW247" s="31"/>
      <c r="FE247" s="35">
        <f t="shared" si="384"/>
        <v>0</v>
      </c>
      <c r="FF247" s="35">
        <f t="shared" si="402"/>
        <v>0</v>
      </c>
      <c r="FG247" s="15">
        <f t="shared" si="429"/>
        <v>3.056592549330303E-5</v>
      </c>
      <c r="FH247" s="28">
        <f t="shared" si="430"/>
        <v>5.8214536300750476E-4</v>
      </c>
      <c r="FI247" s="28">
        <f t="shared" si="431"/>
        <v>19.045566381919382</v>
      </c>
      <c r="FJ247" s="33"/>
      <c r="FN247" s="31"/>
      <c r="FV247" s="35">
        <f t="shared" si="385"/>
        <v>0</v>
      </c>
      <c r="FW247" s="35">
        <f t="shared" si="403"/>
        <v>0</v>
      </c>
      <c r="FX247" s="15">
        <f t="shared" si="432"/>
        <v>2.8774512817309904E-5</v>
      </c>
      <c r="FY247" s="28">
        <f t="shared" si="433"/>
        <v>5.8291234175440482E-4</v>
      </c>
      <c r="FZ247" s="28">
        <f t="shared" si="434"/>
        <v>20.257939568093811</v>
      </c>
      <c r="GA247" s="33"/>
      <c r="GE247" s="31"/>
      <c r="GM247" s="35">
        <f t="shared" si="386"/>
        <v>0</v>
      </c>
      <c r="GN247" s="35">
        <f t="shared" si="404"/>
        <v>0</v>
      </c>
      <c r="GO247" s="15">
        <f t="shared" si="435"/>
        <v>2.9733767297810207E-5</v>
      </c>
      <c r="GP247" s="28">
        <f t="shared" si="436"/>
        <v>6.007545690409192E-4</v>
      </c>
      <c r="GQ247" s="28">
        <f t="shared" si="437"/>
        <v>20.204455191426845</v>
      </c>
      <c r="GR247" s="33"/>
      <c r="GV247" s="31"/>
      <c r="HD247" s="35">
        <f t="shared" si="387"/>
        <v>0</v>
      </c>
      <c r="HE247" s="35">
        <f t="shared" si="405"/>
        <v>0</v>
      </c>
      <c r="HF247" s="15">
        <f t="shared" si="438"/>
        <v>4.1886100097879467E-5</v>
      </c>
      <c r="HG247" s="28">
        <f t="shared" si="439"/>
        <v>4.3576509990808898E-4</v>
      </c>
      <c r="HH247" s="28">
        <f t="shared" si="440"/>
        <v>10.403572996526123</v>
      </c>
      <c r="HI247" s="33"/>
      <c r="HM247" s="31"/>
      <c r="HU247" s="35">
        <f t="shared" si="388"/>
        <v>0</v>
      </c>
      <c r="HV247" s="35">
        <f t="shared" si="406"/>
        <v>0</v>
      </c>
      <c r="HW247" s="15">
        <f t="shared" si="441"/>
        <v>9.6701831330355862E-14</v>
      </c>
      <c r="HX247" s="28">
        <f t="shared" si="442"/>
        <v>1.5314394787066968E-16</v>
      </c>
      <c r="HY247" s="28">
        <f t="shared" si="443"/>
        <v>1.5836716405865621E-3</v>
      </c>
      <c r="HZ247" s="33"/>
      <c r="ID247" s="31"/>
      <c r="II247" s="12"/>
      <c r="IL247" s="35">
        <f t="shared" si="389"/>
        <v>0</v>
      </c>
      <c r="IM247" s="35">
        <f t="shared" si="390"/>
        <v>78.488830180225577</v>
      </c>
      <c r="IN247" s="15">
        <f t="shared" si="444"/>
        <v>9.529672960919332E-6</v>
      </c>
      <c r="IO247" s="28">
        <f t="shared" si="445"/>
        <v>1.1327228685539096E-5</v>
      </c>
      <c r="IP247" s="28">
        <f t="shared" si="446"/>
        <v>1.1886272206812807</v>
      </c>
      <c r="IQ247" s="33"/>
      <c r="IU247" s="31"/>
      <c r="JC247" s="35">
        <f t="shared" si="369"/>
        <v>0</v>
      </c>
      <c r="JD247" s="35">
        <f t="shared" si="391"/>
        <v>92.704099868949413</v>
      </c>
      <c r="JE247" s="15">
        <f t="shared" si="447"/>
        <v>1.1507851374778325E-5</v>
      </c>
      <c r="JF247" s="28">
        <f t="shared" si="448"/>
        <v>1.4457549570201512E-5</v>
      </c>
      <c r="JG247" s="28">
        <f t="shared" si="449"/>
        <v>1.2563204980112985</v>
      </c>
      <c r="JH247" s="33"/>
      <c r="JL247" s="31"/>
      <c r="JR247" s="99"/>
      <c r="JS247" s="99"/>
      <c r="JT247" s="99"/>
      <c r="JU247" s="99"/>
      <c r="JV247" s="99"/>
      <c r="JW247" s="99"/>
      <c r="JX247" s="99"/>
      <c r="JY247" s="99"/>
      <c r="JZ247" s="99"/>
      <c r="KA247" s="99"/>
      <c r="KB247" s="99"/>
      <c r="KC247" s="99"/>
      <c r="KD247" s="99"/>
      <c r="KE247" s="99"/>
      <c r="KF247" s="99"/>
      <c r="KG247" s="99"/>
      <c r="KH247" s="99"/>
      <c r="KI247" s="99"/>
      <c r="KJ247" s="99"/>
      <c r="KK247" s="99"/>
      <c r="KL247" s="99"/>
      <c r="KM247" s="99"/>
      <c r="KN247" s="99"/>
      <c r="KO247" s="99"/>
      <c r="KP247" s="99"/>
      <c r="KQ247" s="99"/>
      <c r="KR247" s="99"/>
      <c r="KS247" s="99"/>
      <c r="KT247" s="99"/>
      <c r="KU247" s="99"/>
      <c r="KV247" s="99"/>
      <c r="KW247" s="99"/>
      <c r="KX247" s="99"/>
      <c r="KY247" s="99"/>
      <c r="KZ247" s="99"/>
      <c r="LA247" s="99"/>
      <c r="LB247" s="99"/>
      <c r="LC247" s="99"/>
      <c r="LD247" s="99"/>
      <c r="LE247" s="99"/>
      <c r="LF247" s="99"/>
      <c r="LG247" s="99"/>
      <c r="LH247" s="99"/>
      <c r="LI247" s="99"/>
      <c r="LJ247" s="99"/>
      <c r="LK247" s="99"/>
      <c r="LL247" s="99"/>
      <c r="LM247" s="99"/>
      <c r="LN247" s="99"/>
      <c r="LO247" s="99"/>
      <c r="LP247" s="99"/>
      <c r="LQ247" s="99"/>
      <c r="LR247" s="99"/>
      <c r="LS247" s="99"/>
      <c r="LT247" s="99"/>
      <c r="LU247" s="99"/>
      <c r="LV247" s="99"/>
      <c r="LW247" s="99"/>
      <c r="LX247" s="99"/>
      <c r="LY247" s="99"/>
      <c r="LZ247" s="99"/>
      <c r="MA247" s="99"/>
      <c r="MB247" s="99"/>
      <c r="MC247" s="99"/>
      <c r="MD247" s="99"/>
      <c r="ME247" s="99"/>
      <c r="MF247" s="99"/>
    </row>
    <row r="248" spans="1:344" ht="17.25" customHeight="1" x14ac:dyDescent="0.25">
      <c r="A248" s="157"/>
      <c r="B248" s="83" t="s">
        <v>7</v>
      </c>
      <c r="C248" s="84">
        <v>45382</v>
      </c>
      <c r="D248" s="51"/>
      <c r="E248" s="48"/>
      <c r="F248" s="104"/>
      <c r="G248" s="37">
        <f t="shared" si="373"/>
        <v>0</v>
      </c>
      <c r="H248" s="26">
        <f t="shared" si="374"/>
        <v>0</v>
      </c>
      <c r="I248" s="48"/>
      <c r="J248" s="48"/>
      <c r="K248" s="104"/>
      <c r="L248" s="37">
        <f t="shared" si="375"/>
        <v>0</v>
      </c>
      <c r="M248" s="26">
        <f t="shared" si="392"/>
        <v>0</v>
      </c>
      <c r="N248" s="26">
        <f t="shared" si="393"/>
        <v>0</v>
      </c>
      <c r="O248" s="98" t="e">
        <f>SUM($Z248,$BH248,$AQ248,$BY248,$CP248,$DG248,$DX248,$EO248,$FF248,$FW248,$GN248)/D248</f>
        <v>#DIV/0!</v>
      </c>
      <c r="P248" s="151"/>
      <c r="Q248" s="139">
        <f t="shared" si="457"/>
        <v>0</v>
      </c>
      <c r="R248" s="140">
        <f t="shared" si="453"/>
        <v>0</v>
      </c>
      <c r="S248" s="141">
        <f t="shared" si="454"/>
        <v>0</v>
      </c>
      <c r="T248" s="142">
        <f t="shared" si="455"/>
        <v>0</v>
      </c>
      <c r="U248" s="145">
        <f t="shared" si="456"/>
        <v>0</v>
      </c>
      <c r="V248" s="23"/>
      <c r="W248" s="13">
        <v>0</v>
      </c>
      <c r="X248" s="2">
        <v>0</v>
      </c>
      <c r="Y248" s="26">
        <f t="shared" si="376"/>
        <v>0</v>
      </c>
      <c r="Z248" s="26">
        <f t="shared" si="394"/>
        <v>0</v>
      </c>
      <c r="AA248" s="16">
        <f t="shared" si="407"/>
        <v>6.841261533335712E-8</v>
      </c>
      <c r="AB248" s="44">
        <f t="shared" si="451"/>
        <v>1.5885691885421634E-7</v>
      </c>
      <c r="AC248" s="44">
        <f t="shared" si="452"/>
        <v>2.3220413089040282</v>
      </c>
      <c r="AD248" s="34"/>
      <c r="AE248" s="4"/>
      <c r="AF248" s="5"/>
      <c r="AG248" s="6"/>
      <c r="AH248" s="32"/>
      <c r="AI248" s="3"/>
      <c r="AJ248" s="4"/>
      <c r="AK248" s="5"/>
      <c r="AL248" s="6"/>
      <c r="AM248" s="14"/>
      <c r="AN248" s="13"/>
      <c r="AO248" s="2"/>
      <c r="AP248" s="26">
        <f t="shared" si="377"/>
        <v>0</v>
      </c>
      <c r="AQ248" s="26">
        <f t="shared" si="395"/>
        <v>0</v>
      </c>
      <c r="AR248" s="16">
        <f t="shared" si="408"/>
        <v>2.0659932724403348E-5</v>
      </c>
      <c r="AS248" s="29">
        <f t="shared" si="409"/>
        <v>3.3120695344988243E-4</v>
      </c>
      <c r="AT248" s="29">
        <f t="shared" si="410"/>
        <v>16.031366503854265</v>
      </c>
      <c r="AU248" s="34"/>
      <c r="AV248" s="4"/>
      <c r="AW248" s="5"/>
      <c r="AX248" s="6"/>
      <c r="AY248" s="32"/>
      <c r="AZ248" s="3"/>
      <c r="BA248" s="4"/>
      <c r="BB248" s="5"/>
      <c r="BC248" s="6"/>
      <c r="BD248" s="14"/>
      <c r="BE248" s="13"/>
      <c r="BF248" s="2"/>
      <c r="BG248" s="26">
        <f t="shared" si="378"/>
        <v>0</v>
      </c>
      <c r="BH248" s="26">
        <f t="shared" si="396"/>
        <v>0</v>
      </c>
      <c r="BI248" s="16">
        <f t="shared" si="411"/>
        <v>2.8453708416861563E-5</v>
      </c>
      <c r="BJ248" s="29">
        <f t="shared" si="412"/>
        <v>5.0880121738767169E-4</v>
      </c>
      <c r="BK248" s="29">
        <f t="shared" si="413"/>
        <v>17.881718963780411</v>
      </c>
      <c r="BL248" s="34"/>
      <c r="BM248" s="4"/>
      <c r="BN248" s="5"/>
      <c r="BO248" s="6"/>
      <c r="BP248" s="32"/>
      <c r="BQ248" s="3"/>
      <c r="BR248" s="4"/>
      <c r="BS248" s="5"/>
      <c r="BT248" s="6"/>
      <c r="BU248" s="14"/>
      <c r="BV248" s="13"/>
      <c r="BW248" s="2"/>
      <c r="BX248" s="26">
        <f t="shared" si="379"/>
        <v>0</v>
      </c>
      <c r="BY248" s="26">
        <f t="shared" si="397"/>
        <v>0</v>
      </c>
      <c r="BZ248" s="16">
        <f t="shared" si="414"/>
        <v>2.1635261012791671E-5</v>
      </c>
      <c r="CA248" s="29">
        <f t="shared" si="415"/>
        <v>3.1619571500795829E-4</v>
      </c>
      <c r="CB248" s="29">
        <f t="shared" si="416"/>
        <v>14.614832463588499</v>
      </c>
      <c r="CC248" s="34"/>
      <c r="CD248" s="4"/>
      <c r="CE248" s="5"/>
      <c r="CF248" s="6"/>
      <c r="CG248" s="32"/>
      <c r="CH248" s="3"/>
      <c r="CI248" s="4"/>
      <c r="CJ248" s="5"/>
      <c r="CK248" s="6"/>
      <c r="CL248" s="14"/>
      <c r="CM248" s="13"/>
      <c r="CN248" s="2"/>
      <c r="CO248" s="26">
        <f t="shared" si="380"/>
        <v>0</v>
      </c>
      <c r="CP248" s="26">
        <f t="shared" si="398"/>
        <v>0</v>
      </c>
      <c r="CQ248" s="16">
        <f t="shared" si="417"/>
        <v>2.3704179454728969E-5</v>
      </c>
      <c r="CR248" s="29">
        <f t="shared" si="418"/>
        <v>4.0917490723331917E-4</v>
      </c>
      <c r="CS248" s="29">
        <f t="shared" si="419"/>
        <v>17.261719943302616</v>
      </c>
      <c r="CT248" s="34"/>
      <c r="CU248" s="4"/>
      <c r="CV248" s="5"/>
      <c r="CW248" s="6"/>
      <c r="CX248" s="32"/>
      <c r="CY248" s="3"/>
      <c r="CZ248" s="4"/>
      <c r="DA248" s="5"/>
      <c r="DB248" s="6"/>
      <c r="DC248" s="14"/>
      <c r="DD248" s="13"/>
      <c r="DE248" s="2"/>
      <c r="DF248" s="26">
        <f t="shared" si="381"/>
        <v>0</v>
      </c>
      <c r="DG248" s="26">
        <f t="shared" si="399"/>
        <v>0</v>
      </c>
      <c r="DH248" s="16">
        <f t="shared" si="420"/>
        <v>2.3055678823010395E-5</v>
      </c>
      <c r="DI248" s="29">
        <f t="shared" si="421"/>
        <v>2.4862382460938019E-4</v>
      </c>
      <c r="DJ248" s="29">
        <f t="shared" si="422"/>
        <v>10.783626303869426</v>
      </c>
      <c r="DK248" s="34"/>
      <c r="DL248" s="4"/>
      <c r="DM248" s="5"/>
      <c r="DN248" s="6"/>
      <c r="DO248" s="32"/>
      <c r="DP248" s="3"/>
      <c r="DQ248" s="4"/>
      <c r="DR248" s="5"/>
      <c r="DS248" s="6"/>
      <c r="DT248" s="14"/>
      <c r="DU248" s="13"/>
      <c r="DV248" s="2"/>
      <c r="DW248" s="26">
        <f t="shared" si="382"/>
        <v>0</v>
      </c>
      <c r="DX248" s="26">
        <f t="shared" si="400"/>
        <v>0</v>
      </c>
      <c r="DY248" s="16">
        <f t="shared" si="423"/>
        <v>2.3870728344048244E-5</v>
      </c>
      <c r="DZ248" s="29">
        <f t="shared" si="424"/>
        <v>2.4273183185967106E-4</v>
      </c>
      <c r="EA248" s="29">
        <f t="shared" si="425"/>
        <v>10.168597638127455</v>
      </c>
      <c r="EB248" s="34"/>
      <c r="EC248" s="4"/>
      <c r="ED248" s="5"/>
      <c r="EE248" s="6"/>
      <c r="EF248" s="32"/>
      <c r="EG248" s="3"/>
      <c r="EH248" s="4"/>
      <c r="EI248" s="5"/>
      <c r="EJ248" s="6"/>
      <c r="EK248" s="14"/>
      <c r="EL248" s="13"/>
      <c r="EM248" s="2"/>
      <c r="EN248" s="26">
        <f t="shared" si="383"/>
        <v>0</v>
      </c>
      <c r="EO248" s="26">
        <f t="shared" si="401"/>
        <v>0</v>
      </c>
      <c r="EP248" s="16">
        <f t="shared" si="426"/>
        <v>2.5486408436822364E-5</v>
      </c>
      <c r="EQ248" s="29">
        <f t="shared" si="427"/>
        <v>4.7695568298689788E-4</v>
      </c>
      <c r="ER248" s="29">
        <f t="shared" si="428"/>
        <v>18.71411910270573</v>
      </c>
      <c r="ES248" s="34"/>
      <c r="ET248" s="4"/>
      <c r="EU248" s="5"/>
      <c r="EV248" s="6"/>
      <c r="EW248" s="32"/>
      <c r="EX248" s="3"/>
      <c r="EY248" s="4"/>
      <c r="EZ248" s="5"/>
      <c r="FA248" s="6"/>
      <c r="FB248" s="14"/>
      <c r="FC248" s="13"/>
      <c r="FD248" s="2"/>
      <c r="FE248" s="26">
        <f t="shared" si="384"/>
        <v>0</v>
      </c>
      <c r="FF248" s="26">
        <f t="shared" si="402"/>
        <v>0</v>
      </c>
      <c r="FG248" s="16">
        <f t="shared" si="429"/>
        <v>2.4622551091827438E-5</v>
      </c>
      <c r="FH248" s="29">
        <f t="shared" si="430"/>
        <v>4.3660902225562857E-4</v>
      </c>
      <c r="FI248" s="29">
        <f t="shared" si="431"/>
        <v>17.732079045235288</v>
      </c>
      <c r="FJ248" s="34"/>
      <c r="FK248" s="4"/>
      <c r="FL248" s="5"/>
      <c r="FM248" s="6"/>
      <c r="FN248" s="32"/>
      <c r="FO248" s="3"/>
      <c r="FP248" s="4"/>
      <c r="FQ248" s="5"/>
      <c r="FR248" s="6"/>
      <c r="FS248" s="14"/>
      <c r="FT248" s="13"/>
      <c r="FU248" s="2"/>
      <c r="FV248" s="26">
        <f t="shared" si="385"/>
        <v>0</v>
      </c>
      <c r="FW248" s="26">
        <f t="shared" si="403"/>
        <v>0</v>
      </c>
      <c r="FX248" s="16">
        <f t="shared" si="432"/>
        <v>2.3179468658388535E-5</v>
      </c>
      <c r="FY248" s="29">
        <f t="shared" si="433"/>
        <v>4.3718425631580362E-4</v>
      </c>
      <c r="FZ248" s="29">
        <f t="shared" si="434"/>
        <v>18.860840287535616</v>
      </c>
      <c r="GA248" s="34"/>
      <c r="GB248" s="4"/>
      <c r="GC248" s="5"/>
      <c r="GD248" s="6"/>
      <c r="GE248" s="32"/>
      <c r="GF248" s="3"/>
      <c r="GG248" s="4"/>
      <c r="GH248" s="5"/>
      <c r="GI248" s="6"/>
      <c r="GJ248" s="14"/>
      <c r="GK248" s="13"/>
      <c r="GL248" s="2"/>
      <c r="GM248" s="26">
        <f t="shared" si="386"/>
        <v>0</v>
      </c>
      <c r="GN248" s="26">
        <f t="shared" si="404"/>
        <v>0</v>
      </c>
      <c r="GO248" s="16">
        <f t="shared" si="435"/>
        <v>2.3952201434347115E-5</v>
      </c>
      <c r="GP248" s="29">
        <f t="shared" si="436"/>
        <v>4.505659267806894E-4</v>
      </c>
      <c r="GQ248" s="29">
        <f t="shared" si="437"/>
        <v>18.81104448856982</v>
      </c>
      <c r="GR248" s="34"/>
      <c r="GS248" s="4"/>
      <c r="GT248" s="5"/>
      <c r="GU248" s="6"/>
      <c r="GV248" s="32"/>
      <c r="GW248" s="3"/>
      <c r="GX248" s="4"/>
      <c r="GY248" s="5"/>
      <c r="GZ248" s="6"/>
      <c r="HA248" s="14"/>
      <c r="HB248" s="13"/>
      <c r="HC248" s="2"/>
      <c r="HD248" s="26">
        <f t="shared" si="387"/>
        <v>0</v>
      </c>
      <c r="HE248" s="26">
        <f t="shared" si="405"/>
        <v>0</v>
      </c>
      <c r="HF248" s="16">
        <f t="shared" si="438"/>
        <v>3.3741580634402904E-5</v>
      </c>
      <c r="HG248" s="29">
        <f t="shared" si="439"/>
        <v>3.2682382493106672E-4</v>
      </c>
      <c r="HH248" s="29">
        <f t="shared" si="440"/>
        <v>9.6860852036622518</v>
      </c>
      <c r="HI248" s="34"/>
      <c r="HJ248" s="4"/>
      <c r="HK248" s="5"/>
      <c r="HL248" s="6"/>
      <c r="HM248" s="32"/>
      <c r="HN248" s="3"/>
      <c r="HO248" s="4"/>
      <c r="HP248" s="5"/>
      <c r="HQ248" s="6"/>
      <c r="HR248" s="14"/>
      <c r="HS248" s="13"/>
      <c r="HT248" s="2"/>
      <c r="HU248" s="26">
        <f t="shared" si="388"/>
        <v>0</v>
      </c>
      <c r="HV248" s="26">
        <f t="shared" si="406"/>
        <v>0</v>
      </c>
      <c r="HW248" s="16">
        <f t="shared" si="441"/>
        <v>7.7898697460564439E-14</v>
      </c>
      <c r="HX248" s="29">
        <f t="shared" si="442"/>
        <v>1.1485796090300225E-16</v>
      </c>
      <c r="HY248" s="29">
        <f t="shared" si="443"/>
        <v>1.474452906753006E-3</v>
      </c>
      <c r="HZ248" s="34"/>
      <c r="IA248" s="4"/>
      <c r="IB248" s="5"/>
      <c r="IC248" s="6"/>
      <c r="ID248" s="32"/>
      <c r="IE248" s="3"/>
      <c r="IF248" s="4"/>
      <c r="IG248" s="5"/>
      <c r="IH248" s="6"/>
      <c r="II248" s="14"/>
      <c r="IJ248" s="13"/>
      <c r="IK248" s="2"/>
      <c r="IL248" s="26">
        <f t="shared" si="389"/>
        <v>0</v>
      </c>
      <c r="IM248" s="26">
        <f t="shared" si="390"/>
        <v>73.075492006585563</v>
      </c>
      <c r="IN248" s="16">
        <f t="shared" si="444"/>
        <v>7.6766809962961284E-6</v>
      </c>
      <c r="IO248" s="29">
        <f t="shared" si="445"/>
        <v>8.4954215141543225E-6</v>
      </c>
      <c r="IP248" s="29">
        <f t="shared" si="446"/>
        <v>1.1066529295998131</v>
      </c>
      <c r="IQ248" s="34"/>
      <c r="IR248" s="4"/>
      <c r="IS248" s="5"/>
      <c r="IT248" s="6"/>
      <c r="IU248" s="32"/>
      <c r="IV248" s="3"/>
      <c r="IW248" s="4"/>
      <c r="IX248" s="5"/>
      <c r="IY248" s="6"/>
      <c r="IZ248" s="14"/>
      <c r="JA248" s="13"/>
      <c r="JB248" s="2"/>
      <c r="JC248" s="26">
        <f t="shared" si="369"/>
        <v>0</v>
      </c>
      <c r="JD248" s="26">
        <f t="shared" si="391"/>
        <v>86.310307528680369</v>
      </c>
      <c r="JE248" s="16">
        <f t="shared" si="447"/>
        <v>9.2702136074603189E-6</v>
      </c>
      <c r="JF248" s="29">
        <f t="shared" si="448"/>
        <v>1.0843162177651135E-5</v>
      </c>
      <c r="JG248" s="29">
        <f t="shared" si="449"/>
        <v>1.169677705045002</v>
      </c>
      <c r="JH248" s="34"/>
      <c r="JI248" s="4"/>
      <c r="JJ248" s="5"/>
      <c r="JK248" s="6"/>
      <c r="JL248" s="32"/>
      <c r="JM248" s="3"/>
      <c r="JN248" s="4"/>
      <c r="JO248" s="5"/>
      <c r="JP248" s="6"/>
      <c r="JQ248" s="14"/>
      <c r="JR248" s="99"/>
      <c r="JS248" s="99"/>
      <c r="JT248" s="99"/>
      <c r="JU248" s="99"/>
      <c r="JV248" s="99"/>
      <c r="JW248" s="99"/>
      <c r="JX248" s="99"/>
      <c r="JY248" s="99"/>
      <c r="JZ248" s="99"/>
      <c r="KA248" s="99"/>
      <c r="KB248" s="99"/>
      <c r="KC248" s="99"/>
      <c r="KD248" s="99"/>
      <c r="KE248" s="99"/>
      <c r="KF248" s="99"/>
      <c r="KG248" s="99"/>
      <c r="KH248" s="99"/>
      <c r="KI248" s="99"/>
      <c r="KJ248" s="99"/>
      <c r="KK248" s="99"/>
      <c r="KL248" s="99"/>
      <c r="KM248" s="99"/>
      <c r="KN248" s="99"/>
      <c r="KO248" s="99"/>
      <c r="KP248" s="99"/>
      <c r="KQ248" s="99"/>
      <c r="KR248" s="99"/>
      <c r="KS248" s="99"/>
      <c r="KT248" s="99"/>
      <c r="KU248" s="99"/>
      <c r="KV248" s="99"/>
      <c r="KW248" s="99"/>
      <c r="KX248" s="99"/>
      <c r="KY248" s="99"/>
      <c r="KZ248" s="99"/>
      <c r="LA248" s="99"/>
      <c r="LB248" s="99"/>
      <c r="LC248" s="99"/>
      <c r="LD248" s="99"/>
      <c r="LE248" s="99"/>
      <c r="LF248" s="99"/>
      <c r="LG248" s="99"/>
      <c r="LH248" s="99"/>
      <c r="LI248" s="99"/>
      <c r="LJ248" s="99"/>
      <c r="LK248" s="99"/>
      <c r="LL248" s="99"/>
      <c r="LM248" s="99"/>
      <c r="LN248" s="99"/>
      <c r="LO248" s="99"/>
      <c r="LP248" s="99"/>
      <c r="LQ248" s="99"/>
      <c r="LR248" s="99"/>
      <c r="LS248" s="99"/>
      <c r="LT248" s="99"/>
      <c r="LU248" s="99"/>
      <c r="LV248" s="99"/>
      <c r="LW248" s="99"/>
      <c r="LX248" s="99"/>
      <c r="LY248" s="99"/>
      <c r="LZ248" s="99"/>
      <c r="MA248" s="99"/>
      <c r="MB248" s="99"/>
      <c r="MC248" s="99"/>
      <c r="MD248" s="99"/>
      <c r="ME248" s="99"/>
      <c r="MF248" s="99"/>
    </row>
    <row r="249" spans="1:344" ht="17.25" customHeight="1" x14ac:dyDescent="0.25">
      <c r="A249" s="155" t="s">
        <v>41</v>
      </c>
      <c r="B249" s="79" t="s">
        <v>1</v>
      </c>
      <c r="C249" s="80">
        <v>45383</v>
      </c>
      <c r="D249" s="50"/>
      <c r="G249" s="36">
        <f t="shared" si="373"/>
        <v>0</v>
      </c>
      <c r="H249" s="27">
        <f t="shared" si="374"/>
        <v>0</v>
      </c>
      <c r="I249" s="47"/>
      <c r="K249" s="105"/>
      <c r="L249" s="89">
        <f t="shared" si="375"/>
        <v>0</v>
      </c>
      <c r="M249" s="27">
        <f t="shared" si="392"/>
        <v>0</v>
      </c>
      <c r="N249" s="35">
        <f t="shared" si="393"/>
        <v>0</v>
      </c>
      <c r="O249" s="97" t="e">
        <f>SUM($Z249,$BH249,$AQ249,$BY249,$CP249,$DG249,$DX249,$EO249,$FF249,$FW249,$GN249)/I249</f>
        <v>#DIV/0!</v>
      </c>
      <c r="P249" s="149">
        <f t="shared" si="450"/>
        <v>0</v>
      </c>
      <c r="Q249" s="131">
        <f t="shared" si="457"/>
        <v>0</v>
      </c>
      <c r="R249" s="133">
        <f t="shared" si="453"/>
        <v>0</v>
      </c>
      <c r="S249" s="135">
        <f t="shared" si="454"/>
        <v>0</v>
      </c>
      <c r="T249" s="137">
        <f t="shared" si="455"/>
        <v>0</v>
      </c>
      <c r="U249" s="143">
        <f t="shared" si="456"/>
        <v>0</v>
      </c>
      <c r="W249" s="11">
        <v>0</v>
      </c>
      <c r="X249" s="1">
        <v>0</v>
      </c>
      <c r="Y249" s="27">
        <f t="shared" si="376"/>
        <v>0</v>
      </c>
      <c r="Z249" s="27">
        <f t="shared" si="394"/>
        <v>0</v>
      </c>
      <c r="AA249" s="15">
        <f t="shared" si="407"/>
        <v>5.5110162351871013E-8</v>
      </c>
      <c r="AB249" s="43">
        <f t="shared" si="451"/>
        <v>1.1914268914066226E-7</v>
      </c>
      <c r="AC249" s="43">
        <f t="shared" si="452"/>
        <v>2.1619005289796123</v>
      </c>
      <c r="AD249" s="33"/>
      <c r="AH249" s="31"/>
      <c r="AP249" s="27">
        <f t="shared" si="377"/>
        <v>0</v>
      </c>
      <c r="AQ249" s="27">
        <f t="shared" si="395"/>
        <v>0</v>
      </c>
      <c r="AR249" s="15">
        <f t="shared" si="408"/>
        <v>1.6642723583547139E-5</v>
      </c>
      <c r="AS249" s="28">
        <f t="shared" si="409"/>
        <v>2.4840521508741179E-4</v>
      </c>
      <c r="AT249" s="28">
        <f t="shared" si="410"/>
        <v>14.925755020829833</v>
      </c>
      <c r="AU249" s="33"/>
      <c r="AY249" s="31"/>
      <c r="BG249" s="27">
        <f t="shared" si="378"/>
        <v>0</v>
      </c>
      <c r="BH249" s="27">
        <f t="shared" si="396"/>
        <v>0</v>
      </c>
      <c r="BI249" s="15">
        <f t="shared" si="411"/>
        <v>2.2921042891360703E-5</v>
      </c>
      <c r="BJ249" s="28">
        <f t="shared" si="412"/>
        <v>3.8160091304075374E-4</v>
      </c>
      <c r="BK249" s="28">
        <f t="shared" si="413"/>
        <v>16.648496966278312</v>
      </c>
      <c r="BL249" s="33"/>
      <c r="BP249" s="31"/>
      <c r="BX249" s="27">
        <f t="shared" si="379"/>
        <v>0</v>
      </c>
      <c r="BY249" s="27">
        <f t="shared" si="397"/>
        <v>0</v>
      </c>
      <c r="BZ249" s="15">
        <f t="shared" si="414"/>
        <v>1.7428404704748849E-5</v>
      </c>
      <c r="CA249" s="28">
        <f t="shared" si="415"/>
        <v>2.3714678625596873E-4</v>
      </c>
      <c r="CB249" s="28">
        <f t="shared" si="416"/>
        <v>13.606912983341015</v>
      </c>
      <c r="CC249" s="33"/>
      <c r="CG249" s="31"/>
      <c r="CO249" s="27">
        <f t="shared" si="380"/>
        <v>0</v>
      </c>
      <c r="CP249" s="27">
        <f t="shared" si="398"/>
        <v>0</v>
      </c>
      <c r="CQ249" s="15">
        <f t="shared" si="417"/>
        <v>1.9095033449642778E-5</v>
      </c>
      <c r="CR249" s="28">
        <f t="shared" si="418"/>
        <v>3.0688118042498935E-4</v>
      </c>
      <c r="CS249" s="28">
        <f t="shared" si="419"/>
        <v>16.071256498936918</v>
      </c>
      <c r="CT249" s="33"/>
      <c r="CX249" s="31"/>
      <c r="DF249" s="27">
        <f t="shared" si="381"/>
        <v>0</v>
      </c>
      <c r="DG249" s="27">
        <f t="shared" si="399"/>
        <v>0</v>
      </c>
      <c r="DH249" s="15">
        <f t="shared" si="420"/>
        <v>1.8572630162980595E-5</v>
      </c>
      <c r="DI249" s="28">
        <f t="shared" si="421"/>
        <v>1.8646786845703513E-4</v>
      </c>
      <c r="DJ249" s="28">
        <f t="shared" si="422"/>
        <v>10.039927938085327</v>
      </c>
      <c r="DK249" s="33"/>
      <c r="DO249" s="31"/>
      <c r="DW249" s="27">
        <f t="shared" si="382"/>
        <v>0</v>
      </c>
      <c r="DX249" s="27">
        <f t="shared" si="400"/>
        <v>0</v>
      </c>
      <c r="DY249" s="15">
        <f t="shared" si="423"/>
        <v>1.9229197832705531E-5</v>
      </c>
      <c r="DZ249" s="28">
        <f t="shared" si="424"/>
        <v>1.820488738947533E-4</v>
      </c>
      <c r="EA249" s="28">
        <f t="shared" si="425"/>
        <v>9.4673150423945263</v>
      </c>
      <c r="EB249" s="33"/>
      <c r="EF249" s="31"/>
      <c r="EN249" s="27">
        <f t="shared" si="383"/>
        <v>0</v>
      </c>
      <c r="EO249" s="27">
        <f t="shared" si="401"/>
        <v>0</v>
      </c>
      <c r="EP249" s="15">
        <f t="shared" si="426"/>
        <v>2.053071790744024E-5</v>
      </c>
      <c r="EQ249" s="28">
        <f t="shared" si="427"/>
        <v>3.5771676224017343E-4</v>
      </c>
      <c r="ER249" s="28">
        <f t="shared" si="428"/>
        <v>17.423490199070852</v>
      </c>
      <c r="ES249" s="33"/>
      <c r="EW249" s="31"/>
      <c r="FE249" s="27">
        <f t="shared" si="384"/>
        <v>0</v>
      </c>
      <c r="FF249" s="27">
        <f t="shared" si="402"/>
        <v>0</v>
      </c>
      <c r="FG249" s="15">
        <f t="shared" si="429"/>
        <v>1.9834832823972102E-5</v>
      </c>
      <c r="FH249" s="28">
        <f t="shared" si="430"/>
        <v>3.2745676669172145E-4</v>
      </c>
      <c r="FI249" s="28">
        <f t="shared" si="431"/>
        <v>16.509177042115613</v>
      </c>
      <c r="FJ249" s="33"/>
      <c r="FN249" s="31"/>
      <c r="FV249" s="27">
        <f t="shared" si="385"/>
        <v>0</v>
      </c>
      <c r="FW249" s="27">
        <f t="shared" si="403"/>
        <v>0</v>
      </c>
      <c r="FX249" s="15">
        <f t="shared" si="432"/>
        <v>1.8672349752590764E-5</v>
      </c>
      <c r="FY249" s="28">
        <f t="shared" si="433"/>
        <v>3.2788819223685271E-4</v>
      </c>
      <c r="FZ249" s="28">
        <f t="shared" si="434"/>
        <v>17.560092681498677</v>
      </c>
      <c r="GA249" s="33"/>
      <c r="GE249" s="31"/>
      <c r="GM249" s="27">
        <f t="shared" si="386"/>
        <v>0</v>
      </c>
      <c r="GN249" s="27">
        <f t="shared" si="404"/>
        <v>0</v>
      </c>
      <c r="GO249" s="15">
        <f t="shared" si="435"/>
        <v>1.9294828933224062E-5</v>
      </c>
      <c r="GP249" s="28">
        <f t="shared" si="436"/>
        <v>3.3792444508551703E-4</v>
      </c>
      <c r="GQ249" s="28">
        <f t="shared" si="437"/>
        <v>17.513731075565005</v>
      </c>
      <c r="GR249" s="33"/>
      <c r="GV249" s="31"/>
      <c r="HD249" s="27">
        <f t="shared" si="387"/>
        <v>0</v>
      </c>
      <c r="HE249" s="27">
        <f t="shared" si="405"/>
        <v>0</v>
      </c>
      <c r="HF249" s="15">
        <f t="shared" si="438"/>
        <v>2.7180717733269001E-5</v>
      </c>
      <c r="HG249" s="28">
        <f t="shared" si="439"/>
        <v>2.4511786869830003E-4</v>
      </c>
      <c r="HH249" s="28">
        <f t="shared" si="440"/>
        <v>9.0180793275476141</v>
      </c>
      <c r="HI249" s="33"/>
      <c r="HM249" s="31"/>
      <c r="HU249" s="27">
        <f t="shared" si="388"/>
        <v>0</v>
      </c>
      <c r="HV249" s="27">
        <f t="shared" si="406"/>
        <v>0</v>
      </c>
      <c r="HW249" s="15">
        <f t="shared" si="441"/>
        <v>6.275172850989913E-14</v>
      </c>
      <c r="HX249" s="28">
        <f t="shared" si="442"/>
        <v>8.614347067725169E-17</v>
      </c>
      <c r="HY249" s="28">
        <f t="shared" si="443"/>
        <v>1.3727664993907298E-3</v>
      </c>
      <c r="HZ249" s="33"/>
      <c r="ID249" s="31"/>
      <c r="II249" s="12"/>
      <c r="IL249" s="27">
        <f t="shared" si="389"/>
        <v>0</v>
      </c>
      <c r="IM249" s="27">
        <f t="shared" si="390"/>
        <v>68.035565789064222</v>
      </c>
      <c r="IN249" s="15">
        <f t="shared" si="444"/>
        <v>6.1839930247941032E-6</v>
      </c>
      <c r="IO249" s="28">
        <f t="shared" si="445"/>
        <v>6.3715661356157419E-6</v>
      </c>
      <c r="IP249" s="28">
        <f t="shared" si="446"/>
        <v>1.0303320379032743</v>
      </c>
      <c r="IQ249" s="33"/>
      <c r="IU249" s="31"/>
      <c r="JC249" s="27">
        <f t="shared" si="369"/>
        <v>0</v>
      </c>
      <c r="JD249" s="27">
        <f t="shared" si="391"/>
        <v>80.357567304506645</v>
      </c>
      <c r="JE249" s="15">
        <f t="shared" si="447"/>
        <v>7.4676720726763685E-6</v>
      </c>
      <c r="JF249" s="28">
        <f t="shared" si="448"/>
        <v>8.132371633238351E-6</v>
      </c>
      <c r="JG249" s="28">
        <f t="shared" si="449"/>
        <v>1.0890102771108638</v>
      </c>
      <c r="JH249" s="33"/>
      <c r="JL249" s="31"/>
      <c r="JR249" s="99"/>
      <c r="JS249" s="99"/>
      <c r="JT249" s="99"/>
      <c r="JU249" s="99"/>
      <c r="JV249" s="99"/>
      <c r="JW249" s="99"/>
      <c r="JX249" s="99"/>
      <c r="JY249" s="99"/>
      <c r="JZ249" s="99"/>
      <c r="KA249" s="99"/>
      <c r="KB249" s="99"/>
      <c r="KC249" s="99"/>
      <c r="KD249" s="99"/>
      <c r="KE249" s="99"/>
      <c r="KF249" s="99"/>
      <c r="KG249" s="99"/>
      <c r="KH249" s="99"/>
      <c r="KI249" s="99"/>
      <c r="KJ249" s="99"/>
      <c r="KK249" s="99"/>
      <c r="KL249" s="99"/>
      <c r="KM249" s="99"/>
      <c r="KN249" s="99"/>
      <c r="KO249" s="99"/>
      <c r="KP249" s="99"/>
      <c r="KQ249" s="99"/>
      <c r="KR249" s="99"/>
      <c r="KS249" s="99"/>
      <c r="KT249" s="99"/>
      <c r="KU249" s="99"/>
      <c r="KV249" s="99"/>
      <c r="KW249" s="99"/>
      <c r="KX249" s="99"/>
      <c r="KY249" s="99"/>
      <c r="KZ249" s="99"/>
      <c r="LA249" s="99"/>
      <c r="LB249" s="99"/>
      <c r="LC249" s="99"/>
      <c r="LD249" s="99"/>
      <c r="LE249" s="99"/>
      <c r="LF249" s="99"/>
      <c r="LG249" s="99"/>
      <c r="LH249" s="99"/>
      <c r="LI249" s="99"/>
      <c r="LJ249" s="99"/>
      <c r="LK249" s="99"/>
      <c r="LL249" s="99"/>
      <c r="LM249" s="99"/>
      <c r="LN249" s="99"/>
      <c r="LO249" s="99"/>
      <c r="LP249" s="99"/>
      <c r="LQ249" s="99"/>
      <c r="LR249" s="99"/>
      <c r="LS249" s="99"/>
      <c r="LT249" s="99"/>
      <c r="LU249" s="99"/>
      <c r="LV249" s="99"/>
      <c r="LW249" s="99"/>
      <c r="LX249" s="99"/>
      <c r="LY249" s="99"/>
      <c r="LZ249" s="99"/>
      <c r="MA249" s="99"/>
      <c r="MB249" s="99"/>
      <c r="MC249" s="99"/>
      <c r="MD249" s="99"/>
      <c r="ME249" s="99"/>
      <c r="MF249" s="99"/>
    </row>
    <row r="250" spans="1:344" ht="17.25" customHeight="1" x14ac:dyDescent="0.25">
      <c r="A250" s="156"/>
      <c r="B250" s="81" t="s">
        <v>2</v>
      </c>
      <c r="C250" s="82">
        <v>45384</v>
      </c>
      <c r="D250" s="49"/>
      <c r="G250" s="89">
        <f t="shared" si="373"/>
        <v>0</v>
      </c>
      <c r="H250" s="35">
        <f t="shared" si="374"/>
        <v>0</v>
      </c>
      <c r="I250" s="39"/>
      <c r="L250" s="89">
        <f t="shared" si="375"/>
        <v>0</v>
      </c>
      <c r="M250" s="35">
        <f t="shared" si="392"/>
        <v>0</v>
      </c>
      <c r="N250" s="35">
        <f t="shared" si="393"/>
        <v>0</v>
      </c>
      <c r="O250" s="97" t="e">
        <f>SUM($Z250,$BH250,$AQ250,$BY250,$CP250,$DG250,$DX250,$EO250,$FF250,$FW250,$GN250)/I250</f>
        <v>#DIV/0!</v>
      </c>
      <c r="P250" s="150"/>
      <c r="Q250" s="132">
        <f t="shared" si="457"/>
        <v>0</v>
      </c>
      <c r="R250" s="134">
        <f t="shared" si="453"/>
        <v>0</v>
      </c>
      <c r="S250" s="136">
        <f t="shared" si="454"/>
        <v>0</v>
      </c>
      <c r="T250" s="138">
        <f t="shared" si="455"/>
        <v>0</v>
      </c>
      <c r="U250" s="144">
        <f t="shared" si="456"/>
        <v>0</v>
      </c>
      <c r="W250" s="11">
        <v>0</v>
      </c>
      <c r="X250" s="1">
        <v>0</v>
      </c>
      <c r="Y250" s="35">
        <f t="shared" si="376"/>
        <v>0</v>
      </c>
      <c r="Z250" s="35">
        <f t="shared" si="394"/>
        <v>0</v>
      </c>
      <c r="AA250" s="15">
        <f t="shared" si="407"/>
        <v>4.4394297450118317E-8</v>
      </c>
      <c r="AB250" s="43">
        <f t="shared" si="451"/>
        <v>8.9357016855496688E-8</v>
      </c>
      <c r="AC250" s="43">
        <f t="shared" si="452"/>
        <v>2.0128039407741216</v>
      </c>
      <c r="AD250" s="33"/>
      <c r="AH250" s="31"/>
      <c r="AP250" s="35">
        <f t="shared" si="377"/>
        <v>0</v>
      </c>
      <c r="AQ250" s="35">
        <f t="shared" si="395"/>
        <v>0</v>
      </c>
      <c r="AR250" s="15">
        <f t="shared" si="408"/>
        <v>1.3406638442301862E-5</v>
      </c>
      <c r="AS250" s="28">
        <f t="shared" si="409"/>
        <v>1.8630391131555885E-4</v>
      </c>
      <c r="AT250" s="28">
        <f t="shared" si="410"/>
        <v>13.896392605600189</v>
      </c>
      <c r="AU250" s="33"/>
      <c r="AY250" s="31"/>
      <c r="BG250" s="35">
        <f t="shared" si="378"/>
        <v>0</v>
      </c>
      <c r="BH250" s="35">
        <f t="shared" si="396"/>
        <v>0</v>
      </c>
      <c r="BI250" s="15">
        <f t="shared" si="411"/>
        <v>1.8464173440262787E-5</v>
      </c>
      <c r="BJ250" s="28">
        <f t="shared" si="412"/>
        <v>2.8620068478056528E-4</v>
      </c>
      <c r="BK250" s="28">
        <f t="shared" si="413"/>
        <v>15.500324761707393</v>
      </c>
      <c r="BL250" s="33"/>
      <c r="BP250" s="31"/>
      <c r="BX250" s="35">
        <f t="shared" si="379"/>
        <v>0</v>
      </c>
      <c r="BY250" s="35">
        <f t="shared" si="397"/>
        <v>0</v>
      </c>
      <c r="BZ250" s="15">
        <f t="shared" si="414"/>
        <v>1.4039548234381018E-5</v>
      </c>
      <c r="CA250" s="28">
        <f t="shared" si="415"/>
        <v>1.7786008969197656E-4</v>
      </c>
      <c r="CB250" s="28">
        <f t="shared" si="416"/>
        <v>12.668505191386462</v>
      </c>
      <c r="CC250" s="33"/>
      <c r="CG250" s="31"/>
      <c r="CO250" s="35">
        <f t="shared" si="380"/>
        <v>0</v>
      </c>
      <c r="CP250" s="35">
        <f t="shared" si="398"/>
        <v>0</v>
      </c>
      <c r="CQ250" s="15">
        <f t="shared" si="417"/>
        <v>1.5382110278878907E-5</v>
      </c>
      <c r="CR250" s="28">
        <f t="shared" si="418"/>
        <v>2.3016088531874201E-4</v>
      </c>
      <c r="CS250" s="28">
        <f t="shared" si="419"/>
        <v>14.962893981768854</v>
      </c>
      <c r="CT250" s="33"/>
      <c r="CX250" s="31"/>
      <c r="DF250" s="35">
        <f t="shared" si="381"/>
        <v>0</v>
      </c>
      <c r="DG250" s="35">
        <f t="shared" si="399"/>
        <v>0</v>
      </c>
      <c r="DH250" s="15">
        <f t="shared" si="420"/>
        <v>1.4961285409067703E-5</v>
      </c>
      <c r="DI250" s="28">
        <f t="shared" si="421"/>
        <v>1.3985090134277636E-4</v>
      </c>
      <c r="DJ250" s="28">
        <f t="shared" si="422"/>
        <v>9.3475191147690975</v>
      </c>
      <c r="DK250" s="33"/>
      <c r="DO250" s="31"/>
      <c r="DW250" s="35">
        <f t="shared" si="382"/>
        <v>0</v>
      </c>
      <c r="DX250" s="35">
        <f t="shared" si="400"/>
        <v>0</v>
      </c>
      <c r="DY250" s="15">
        <f t="shared" si="423"/>
        <v>1.5490187143012789E-5</v>
      </c>
      <c r="DZ250" s="28">
        <f t="shared" si="424"/>
        <v>1.3653665542106498E-4</v>
      </c>
      <c r="EA250" s="28">
        <f t="shared" si="425"/>
        <v>8.8143967636086966</v>
      </c>
      <c r="EB250" s="33"/>
      <c r="EF250" s="31"/>
      <c r="EN250" s="35">
        <f t="shared" si="383"/>
        <v>0</v>
      </c>
      <c r="EO250" s="35">
        <f t="shared" si="401"/>
        <v>0</v>
      </c>
      <c r="EP250" s="15">
        <f t="shared" si="426"/>
        <v>1.6538633869882415E-5</v>
      </c>
      <c r="EQ250" s="28">
        <f t="shared" si="427"/>
        <v>2.6828757168013008E-4</v>
      </c>
      <c r="ER250" s="28">
        <f t="shared" si="428"/>
        <v>16.221870185341828</v>
      </c>
      <c r="ES250" s="33"/>
      <c r="EW250" s="31"/>
      <c r="FE250" s="35">
        <f t="shared" si="384"/>
        <v>0</v>
      </c>
      <c r="FF250" s="35">
        <f t="shared" si="402"/>
        <v>0</v>
      </c>
      <c r="FG250" s="15">
        <f t="shared" si="429"/>
        <v>1.5978059774866418E-5</v>
      </c>
      <c r="FH250" s="28">
        <f t="shared" si="430"/>
        <v>2.4559257501879109E-4</v>
      </c>
      <c r="FI250" s="28">
        <f t="shared" si="431"/>
        <v>15.370613108176606</v>
      </c>
      <c r="FJ250" s="33"/>
      <c r="FN250" s="31"/>
      <c r="FV250" s="35">
        <f t="shared" si="385"/>
        <v>0</v>
      </c>
      <c r="FW250" s="35">
        <f t="shared" si="403"/>
        <v>0</v>
      </c>
      <c r="FX250" s="15">
        <f t="shared" si="432"/>
        <v>1.5041615078475896E-5</v>
      </c>
      <c r="FY250" s="28">
        <f t="shared" si="433"/>
        <v>2.4591614417763955E-4</v>
      </c>
      <c r="FZ250" s="28">
        <f t="shared" si="434"/>
        <v>16.349051806912559</v>
      </c>
      <c r="GA250" s="33"/>
      <c r="GE250" s="31"/>
      <c r="GM250" s="35">
        <f t="shared" si="386"/>
        <v>0</v>
      </c>
      <c r="GN250" s="35">
        <f t="shared" si="404"/>
        <v>0</v>
      </c>
      <c r="GO250" s="15">
        <f t="shared" si="435"/>
        <v>1.5543056640652719E-5</v>
      </c>
      <c r="GP250" s="28">
        <f t="shared" si="436"/>
        <v>2.534433338141378E-4</v>
      </c>
      <c r="GQ250" s="28">
        <f t="shared" si="437"/>
        <v>16.305887553112246</v>
      </c>
      <c r="GR250" s="33"/>
      <c r="GV250" s="31"/>
      <c r="HD250" s="35">
        <f t="shared" si="387"/>
        <v>0</v>
      </c>
      <c r="HE250" s="35">
        <f t="shared" si="405"/>
        <v>0</v>
      </c>
      <c r="HF250" s="15">
        <f t="shared" si="438"/>
        <v>2.1895578174022252E-5</v>
      </c>
      <c r="HG250" s="28">
        <f t="shared" si="439"/>
        <v>1.8383840152372502E-4</v>
      </c>
      <c r="HH250" s="28">
        <f t="shared" si="440"/>
        <v>8.3961428221995025</v>
      </c>
      <c r="HI250" s="33"/>
      <c r="HM250" s="31"/>
      <c r="HU250" s="35">
        <f t="shared" si="388"/>
        <v>0</v>
      </c>
      <c r="HV250" s="35">
        <f t="shared" si="406"/>
        <v>0</v>
      </c>
      <c r="HW250" s="15">
        <f t="shared" si="441"/>
        <v>5.0550003521863185E-14</v>
      </c>
      <c r="HX250" s="28">
        <f t="shared" si="442"/>
        <v>6.4607603007938765E-17</v>
      </c>
      <c r="HY250" s="28">
        <f t="shared" si="443"/>
        <v>1.2780929477086106E-3</v>
      </c>
      <c r="HZ250" s="33"/>
      <c r="ID250" s="31"/>
      <c r="II250" s="12"/>
      <c r="IL250" s="35">
        <f t="shared" si="389"/>
        <v>0</v>
      </c>
      <c r="IM250" s="35">
        <f t="shared" si="390"/>
        <v>63.343279515935777</v>
      </c>
      <c r="IN250" s="15">
        <f t="shared" si="444"/>
        <v>4.9815499366396949E-6</v>
      </c>
      <c r="IO250" s="28">
        <f t="shared" si="445"/>
        <v>4.7786746017118069E-6</v>
      </c>
      <c r="IP250" s="28">
        <f t="shared" si="446"/>
        <v>0.9592746559789106</v>
      </c>
      <c r="IQ250" s="33"/>
      <c r="IU250" s="31"/>
      <c r="JC250" s="35">
        <f t="shared" si="369"/>
        <v>0</v>
      </c>
      <c r="JD250" s="35">
        <f t="shared" si="391"/>
        <v>74.815436698716383</v>
      </c>
      <c r="JE250" s="15">
        <f t="shared" si="447"/>
        <v>6.015624725211518E-6</v>
      </c>
      <c r="JF250" s="28">
        <f t="shared" si="448"/>
        <v>6.0992787249287628E-6</v>
      </c>
      <c r="JG250" s="28">
        <f t="shared" si="449"/>
        <v>1.0139061200687354</v>
      </c>
      <c r="JH250" s="33"/>
      <c r="JL250" s="31"/>
      <c r="JR250" s="99"/>
      <c r="JS250" s="99"/>
      <c r="JT250" s="99"/>
      <c r="JU250" s="99"/>
      <c r="JV250" s="99"/>
      <c r="JW250" s="99"/>
      <c r="JX250" s="99"/>
      <c r="JY250" s="99"/>
      <c r="JZ250" s="99"/>
      <c r="KA250" s="99"/>
      <c r="KB250" s="99"/>
      <c r="KC250" s="99"/>
      <c r="KD250" s="99"/>
      <c r="KE250" s="99"/>
      <c r="KF250" s="99"/>
      <c r="KG250" s="99"/>
      <c r="KH250" s="99"/>
      <c r="KI250" s="99"/>
      <c r="KJ250" s="99"/>
      <c r="KK250" s="99"/>
      <c r="KL250" s="99"/>
      <c r="KM250" s="99"/>
      <c r="KN250" s="99"/>
      <c r="KO250" s="99"/>
      <c r="KP250" s="99"/>
      <c r="KQ250" s="99"/>
      <c r="KR250" s="99"/>
      <c r="KS250" s="99"/>
      <c r="KT250" s="99"/>
      <c r="KU250" s="99"/>
      <c r="KV250" s="99"/>
      <c r="KW250" s="99"/>
      <c r="KX250" s="99"/>
      <c r="KY250" s="99"/>
      <c r="KZ250" s="99"/>
      <c r="LA250" s="99"/>
      <c r="LB250" s="99"/>
      <c r="LC250" s="99"/>
      <c r="LD250" s="99"/>
      <c r="LE250" s="99"/>
      <c r="LF250" s="99"/>
      <c r="LG250" s="99"/>
      <c r="LH250" s="99"/>
      <c r="LI250" s="99"/>
      <c r="LJ250" s="99"/>
      <c r="LK250" s="99"/>
      <c r="LL250" s="99"/>
      <c r="LM250" s="99"/>
      <c r="LN250" s="99"/>
      <c r="LO250" s="99"/>
      <c r="LP250" s="99"/>
      <c r="LQ250" s="99"/>
      <c r="LR250" s="99"/>
      <c r="LS250" s="99"/>
      <c r="LT250" s="99"/>
      <c r="LU250" s="99"/>
      <c r="LV250" s="99"/>
      <c r="LW250" s="99"/>
      <c r="LX250" s="99"/>
      <c r="LY250" s="99"/>
      <c r="LZ250" s="99"/>
      <c r="MA250" s="99"/>
      <c r="MB250" s="99"/>
      <c r="MC250" s="99"/>
      <c r="MD250" s="99"/>
      <c r="ME250" s="99"/>
      <c r="MF250" s="99"/>
    </row>
    <row r="251" spans="1:344" ht="17.25" customHeight="1" x14ac:dyDescent="0.25">
      <c r="A251" s="156"/>
      <c r="B251" s="81" t="s">
        <v>3</v>
      </c>
      <c r="C251" s="82">
        <v>45385</v>
      </c>
      <c r="D251" s="49"/>
      <c r="G251" s="89">
        <f t="shared" si="373"/>
        <v>0</v>
      </c>
      <c r="H251" s="35">
        <f t="shared" si="374"/>
        <v>0</v>
      </c>
      <c r="I251" s="39"/>
      <c r="L251" s="89">
        <f t="shared" si="375"/>
        <v>0</v>
      </c>
      <c r="M251" s="35">
        <f t="shared" si="392"/>
        <v>0</v>
      </c>
      <c r="N251" s="35">
        <f t="shared" si="393"/>
        <v>0</v>
      </c>
      <c r="O251" s="97" t="e">
        <f>SUM($Z251,$BH251,$AQ251,$BY251,$CP251,$DG251,$DX251,$EO251,$FF251,$FW251,$GN251)/D251</f>
        <v>#DIV/0!</v>
      </c>
      <c r="P251" s="150"/>
      <c r="Q251" s="132">
        <f t="shared" si="457"/>
        <v>0</v>
      </c>
      <c r="R251" s="134">
        <f t="shared" si="453"/>
        <v>0</v>
      </c>
      <c r="S251" s="136">
        <f t="shared" si="454"/>
        <v>0</v>
      </c>
      <c r="T251" s="138">
        <f t="shared" si="455"/>
        <v>0</v>
      </c>
      <c r="U251" s="144">
        <f t="shared" si="456"/>
        <v>0</v>
      </c>
      <c r="W251" s="11">
        <v>0</v>
      </c>
      <c r="X251" s="1">
        <v>0</v>
      </c>
      <c r="Y251" s="35">
        <f t="shared" si="376"/>
        <v>0</v>
      </c>
      <c r="Z251" s="35">
        <f t="shared" si="394"/>
        <v>0</v>
      </c>
      <c r="AA251" s="15">
        <f t="shared" si="407"/>
        <v>3.5762072945928646E-8</v>
      </c>
      <c r="AB251" s="43">
        <f t="shared" si="451"/>
        <v>6.7017762641622516E-8</v>
      </c>
      <c r="AC251" s="43">
        <f t="shared" si="452"/>
        <v>1.8739898758931477</v>
      </c>
      <c r="AD251" s="33"/>
      <c r="AH251" s="31"/>
      <c r="AP251" s="35">
        <f t="shared" si="377"/>
        <v>0</v>
      </c>
      <c r="AQ251" s="35">
        <f t="shared" si="395"/>
        <v>0</v>
      </c>
      <c r="AR251" s="15">
        <f t="shared" si="408"/>
        <v>1.0799792078520945E-5</v>
      </c>
      <c r="AS251" s="28">
        <f t="shared" si="409"/>
        <v>1.3972793348666912E-4</v>
      </c>
      <c r="AT251" s="28">
        <f t="shared" si="410"/>
        <v>12.938020701765693</v>
      </c>
      <c r="AU251" s="33"/>
      <c r="AY251" s="31"/>
      <c r="BG251" s="35">
        <f t="shared" si="378"/>
        <v>0</v>
      </c>
      <c r="BH251" s="35">
        <f t="shared" si="396"/>
        <v>0</v>
      </c>
      <c r="BI251" s="15">
        <f t="shared" si="411"/>
        <v>1.4873917493545024E-5</v>
      </c>
      <c r="BJ251" s="28">
        <f t="shared" si="412"/>
        <v>2.1465051358542396E-4</v>
      </c>
      <c r="BK251" s="28">
        <f t="shared" si="413"/>
        <v>14.431336847106882</v>
      </c>
      <c r="BL251" s="33"/>
      <c r="BP251" s="31"/>
      <c r="BX251" s="35">
        <f t="shared" si="379"/>
        <v>0</v>
      </c>
      <c r="BY251" s="35">
        <f t="shared" si="397"/>
        <v>0</v>
      </c>
      <c r="BZ251" s="15">
        <f t="shared" si="414"/>
        <v>1.1309636077695821E-5</v>
      </c>
      <c r="CA251" s="28">
        <f t="shared" si="415"/>
        <v>1.3339506726898242E-4</v>
      </c>
      <c r="CB251" s="28">
        <f t="shared" si="416"/>
        <v>11.794815178187395</v>
      </c>
      <c r="CC251" s="33"/>
      <c r="CG251" s="31"/>
      <c r="CO251" s="35">
        <f t="shared" si="380"/>
        <v>0</v>
      </c>
      <c r="CP251" s="35">
        <f t="shared" si="398"/>
        <v>0</v>
      </c>
      <c r="CQ251" s="15">
        <f t="shared" si="417"/>
        <v>1.2391144391319119E-5</v>
      </c>
      <c r="CR251" s="28">
        <f t="shared" si="418"/>
        <v>1.7262066398905651E-4</v>
      </c>
      <c r="CS251" s="28">
        <f t="shared" si="419"/>
        <v>13.930970258888243</v>
      </c>
      <c r="CT251" s="33"/>
      <c r="CX251" s="31"/>
      <c r="DF251" s="35">
        <f t="shared" si="381"/>
        <v>0</v>
      </c>
      <c r="DG251" s="35">
        <f t="shared" si="399"/>
        <v>0</v>
      </c>
      <c r="DH251" s="15">
        <f t="shared" si="420"/>
        <v>1.2052146579526761E-5</v>
      </c>
      <c r="DI251" s="28">
        <f t="shared" si="421"/>
        <v>1.0488817600708227E-4</v>
      </c>
      <c r="DJ251" s="28">
        <f t="shared" si="422"/>
        <v>8.702862624095367</v>
      </c>
      <c r="DK251" s="33"/>
      <c r="DO251" s="31"/>
      <c r="DW251" s="35">
        <f t="shared" si="382"/>
        <v>0</v>
      </c>
      <c r="DX251" s="35">
        <f t="shared" si="400"/>
        <v>0</v>
      </c>
      <c r="DY251" s="15">
        <f t="shared" si="423"/>
        <v>1.2478206309649191E-5</v>
      </c>
      <c r="DZ251" s="28">
        <f t="shared" si="424"/>
        <v>1.0240249156579873E-4</v>
      </c>
      <c r="EA251" s="28">
        <f t="shared" si="425"/>
        <v>8.2065073316356827</v>
      </c>
      <c r="EB251" s="33"/>
      <c r="EF251" s="31"/>
      <c r="EN251" s="35">
        <f t="shared" si="383"/>
        <v>0</v>
      </c>
      <c r="EO251" s="35">
        <f t="shared" si="401"/>
        <v>0</v>
      </c>
      <c r="EP251" s="15">
        <f t="shared" si="426"/>
        <v>1.3322788395183057E-5</v>
      </c>
      <c r="EQ251" s="28">
        <f t="shared" si="427"/>
        <v>2.0121567876009756E-4</v>
      </c>
      <c r="ER251" s="28">
        <f t="shared" si="428"/>
        <v>15.103120517387218</v>
      </c>
      <c r="ES251" s="33"/>
      <c r="EW251" s="31"/>
      <c r="FE251" s="35">
        <f t="shared" si="384"/>
        <v>0</v>
      </c>
      <c r="FF251" s="35">
        <f t="shared" si="402"/>
        <v>0</v>
      </c>
      <c r="FG251" s="15">
        <f t="shared" si="429"/>
        <v>1.2871214818642393E-5</v>
      </c>
      <c r="FH251" s="28">
        <f t="shared" si="430"/>
        <v>1.8419443126409333E-4</v>
      </c>
      <c r="FI251" s="28">
        <f t="shared" si="431"/>
        <v>14.31057082485408</v>
      </c>
      <c r="FJ251" s="33"/>
      <c r="FN251" s="31"/>
      <c r="FV251" s="35">
        <f t="shared" si="385"/>
        <v>0</v>
      </c>
      <c r="FW251" s="35">
        <f t="shared" si="403"/>
        <v>0</v>
      </c>
      <c r="FX251" s="15">
        <f t="shared" si="432"/>
        <v>1.2116856590994473E-5</v>
      </c>
      <c r="FY251" s="28">
        <f t="shared" si="433"/>
        <v>1.8443710813322966E-4</v>
      </c>
      <c r="FZ251" s="28">
        <f t="shared" si="434"/>
        <v>15.221530992642727</v>
      </c>
      <c r="GA251" s="33"/>
      <c r="GE251" s="31"/>
      <c r="GM251" s="35">
        <f t="shared" si="386"/>
        <v>0</v>
      </c>
      <c r="GN251" s="35">
        <f t="shared" si="404"/>
        <v>0</v>
      </c>
      <c r="GO251" s="15">
        <f t="shared" si="435"/>
        <v>1.2520795627192468E-5</v>
      </c>
      <c r="GP251" s="28">
        <f t="shared" si="436"/>
        <v>1.9008250036060335E-4</v>
      </c>
      <c r="GQ251" s="28">
        <f t="shared" si="437"/>
        <v>15.18134358393209</v>
      </c>
      <c r="GR251" s="33"/>
      <c r="GV251" s="31"/>
      <c r="HD251" s="35">
        <f t="shared" si="387"/>
        <v>0</v>
      </c>
      <c r="HE251" s="35">
        <f t="shared" si="405"/>
        <v>0</v>
      </c>
      <c r="HF251" s="15">
        <f t="shared" si="438"/>
        <v>1.7638104640184592E-5</v>
      </c>
      <c r="HG251" s="28">
        <f t="shared" si="439"/>
        <v>1.3787880114279376E-4</v>
      </c>
      <c r="HH251" s="28">
        <f t="shared" si="440"/>
        <v>7.8170984896340192</v>
      </c>
      <c r="HI251" s="33"/>
      <c r="HM251" s="31"/>
      <c r="HU251" s="35">
        <f t="shared" si="388"/>
        <v>0</v>
      </c>
      <c r="HV251" s="35">
        <f t="shared" si="406"/>
        <v>0</v>
      </c>
      <c r="HW251" s="15">
        <f t="shared" si="441"/>
        <v>4.0720836170389787E-14</v>
      </c>
      <c r="HX251" s="28">
        <f t="shared" si="442"/>
        <v>4.845570225595407E-17</v>
      </c>
      <c r="HY251" s="28">
        <f t="shared" si="443"/>
        <v>1.1899486064873271E-3</v>
      </c>
      <c r="HZ251" s="33"/>
      <c r="ID251" s="31"/>
      <c r="II251" s="12"/>
      <c r="IL251" s="35">
        <f t="shared" si="389"/>
        <v>0</v>
      </c>
      <c r="IM251" s="35">
        <f t="shared" si="390"/>
        <v>58.974643400114282</v>
      </c>
      <c r="IN251" s="15">
        <f t="shared" si="444"/>
        <v>4.012915226737532E-6</v>
      </c>
      <c r="IO251" s="28">
        <f t="shared" si="445"/>
        <v>3.5840059512838551E-6</v>
      </c>
      <c r="IP251" s="28">
        <f t="shared" si="446"/>
        <v>0.89311778315277879</v>
      </c>
      <c r="IQ251" s="33"/>
      <c r="IU251" s="31"/>
      <c r="JC251" s="35">
        <f t="shared" si="369"/>
        <v>0</v>
      </c>
      <c r="JD251" s="35">
        <f t="shared" si="391"/>
        <v>69.655578950530341</v>
      </c>
      <c r="JE251" s="15">
        <f t="shared" si="447"/>
        <v>4.8459199175315011E-6</v>
      </c>
      <c r="JF251" s="28">
        <f t="shared" si="448"/>
        <v>4.5744590436965725E-6</v>
      </c>
      <c r="JG251" s="28">
        <f t="shared" si="449"/>
        <v>0.94398156006399503</v>
      </c>
      <c r="JH251" s="33"/>
      <c r="JL251" s="31"/>
      <c r="JR251" s="99"/>
      <c r="JS251" s="99"/>
      <c r="JT251" s="99"/>
      <c r="JU251" s="99"/>
      <c r="JV251" s="99"/>
      <c r="JW251" s="99"/>
      <c r="JX251" s="99"/>
      <c r="JY251" s="99"/>
      <c r="JZ251" s="99"/>
      <c r="KA251" s="99"/>
      <c r="KB251" s="99"/>
      <c r="KC251" s="99"/>
      <c r="KD251" s="99"/>
      <c r="KE251" s="99"/>
      <c r="KF251" s="99"/>
      <c r="KG251" s="99"/>
      <c r="KH251" s="99"/>
      <c r="KI251" s="99"/>
      <c r="KJ251" s="99"/>
      <c r="KK251" s="99"/>
      <c r="KL251" s="99"/>
      <c r="KM251" s="99"/>
      <c r="KN251" s="99"/>
      <c r="KO251" s="99"/>
      <c r="KP251" s="99"/>
      <c r="KQ251" s="99"/>
      <c r="KR251" s="99"/>
      <c r="KS251" s="99"/>
      <c r="KT251" s="99"/>
      <c r="KU251" s="99"/>
      <c r="KV251" s="99"/>
      <c r="KW251" s="99"/>
      <c r="KX251" s="99"/>
      <c r="KY251" s="99"/>
      <c r="KZ251" s="99"/>
      <c r="LA251" s="99"/>
      <c r="LB251" s="99"/>
      <c r="LC251" s="99"/>
      <c r="LD251" s="99"/>
      <c r="LE251" s="99"/>
      <c r="LF251" s="99"/>
      <c r="LG251" s="99"/>
      <c r="LH251" s="99"/>
      <c r="LI251" s="99"/>
      <c r="LJ251" s="99"/>
      <c r="LK251" s="99"/>
      <c r="LL251" s="99"/>
      <c r="LM251" s="99"/>
      <c r="LN251" s="99"/>
      <c r="LO251" s="99"/>
      <c r="LP251" s="99"/>
      <c r="LQ251" s="99"/>
      <c r="LR251" s="99"/>
      <c r="LS251" s="99"/>
      <c r="LT251" s="99"/>
      <c r="LU251" s="99"/>
      <c r="LV251" s="99"/>
      <c r="LW251" s="99"/>
      <c r="LX251" s="99"/>
      <c r="LY251" s="99"/>
      <c r="LZ251" s="99"/>
      <c r="MA251" s="99"/>
      <c r="MB251" s="99"/>
      <c r="MC251" s="99"/>
      <c r="MD251" s="99"/>
      <c r="ME251" s="99"/>
      <c r="MF251" s="99"/>
    </row>
    <row r="252" spans="1:344" ht="17.25" customHeight="1" x14ac:dyDescent="0.25">
      <c r="A252" s="156"/>
      <c r="B252" s="81" t="s">
        <v>4</v>
      </c>
      <c r="C252" s="82">
        <v>45386</v>
      </c>
      <c r="D252" s="49"/>
      <c r="G252" s="89">
        <f t="shared" si="373"/>
        <v>0</v>
      </c>
      <c r="H252" s="35">
        <f t="shared" si="374"/>
        <v>0</v>
      </c>
      <c r="I252" s="39"/>
      <c r="L252" s="89">
        <f t="shared" si="375"/>
        <v>0</v>
      </c>
      <c r="M252" s="35">
        <f t="shared" si="392"/>
        <v>0</v>
      </c>
      <c r="N252" s="35">
        <f t="shared" si="393"/>
        <v>0</v>
      </c>
      <c r="O252" s="97" t="e">
        <f>SUM($Z252,$BH252,$AQ252,$BY252,$CP252,$DG252,$DX252,$EO252,$FF252,$FW252,$GN252)/D252</f>
        <v>#DIV/0!</v>
      </c>
      <c r="P252" s="150"/>
      <c r="Q252" s="132">
        <f t="shared" si="457"/>
        <v>0</v>
      </c>
      <c r="R252" s="134">
        <f t="shared" si="453"/>
        <v>0</v>
      </c>
      <c r="S252" s="136">
        <f t="shared" si="454"/>
        <v>0</v>
      </c>
      <c r="T252" s="138">
        <f t="shared" si="455"/>
        <v>0</v>
      </c>
      <c r="U252" s="144">
        <f t="shared" si="456"/>
        <v>0</v>
      </c>
      <c r="W252" s="11">
        <v>0</v>
      </c>
      <c r="X252" s="1">
        <v>0</v>
      </c>
      <c r="Y252" s="35">
        <f t="shared" si="376"/>
        <v>0</v>
      </c>
      <c r="Z252" s="35">
        <f t="shared" si="394"/>
        <v>0</v>
      </c>
      <c r="AA252" s="15">
        <f t="shared" si="407"/>
        <v>2.8808336539775852E-8</v>
      </c>
      <c r="AB252" s="43">
        <f t="shared" si="451"/>
        <v>5.0263321981216887E-8</v>
      </c>
      <c r="AC252" s="43">
        <f t="shared" si="452"/>
        <v>1.7447491947970686</v>
      </c>
      <c r="AD252" s="33"/>
      <c r="AH252" s="31"/>
      <c r="AP252" s="35">
        <f t="shared" si="377"/>
        <v>0</v>
      </c>
      <c r="AQ252" s="35">
        <f t="shared" si="395"/>
        <v>0</v>
      </c>
      <c r="AR252" s="15">
        <f t="shared" si="408"/>
        <v>8.6998325076974287E-6</v>
      </c>
      <c r="AS252" s="28">
        <f t="shared" si="409"/>
        <v>1.0479595011500184E-4</v>
      </c>
      <c r="AT252" s="28">
        <f t="shared" si="410"/>
        <v>12.045743411988747</v>
      </c>
      <c r="AU252" s="33"/>
      <c r="AY252" s="31"/>
      <c r="BG252" s="35">
        <f t="shared" si="378"/>
        <v>0</v>
      </c>
      <c r="BH252" s="35">
        <f t="shared" si="396"/>
        <v>0</v>
      </c>
      <c r="BI252" s="15">
        <f t="shared" si="411"/>
        <v>1.1981766869800157E-5</v>
      </c>
      <c r="BJ252" s="28">
        <f t="shared" si="412"/>
        <v>1.6098788518906796E-4</v>
      </c>
      <c r="BK252" s="28">
        <f t="shared" si="413"/>
        <v>13.43607223696158</v>
      </c>
      <c r="BL252" s="33"/>
      <c r="BP252" s="31"/>
      <c r="BX252" s="35">
        <f t="shared" si="379"/>
        <v>0</v>
      </c>
      <c r="BY252" s="35">
        <f t="shared" si="397"/>
        <v>0</v>
      </c>
      <c r="BZ252" s="15">
        <f t="shared" si="414"/>
        <v>9.1105401736994114E-6</v>
      </c>
      <c r="CA252" s="28">
        <f t="shared" si="415"/>
        <v>1.0004630045173682E-4</v>
      </c>
      <c r="CB252" s="28">
        <f t="shared" si="416"/>
        <v>10.98137964865723</v>
      </c>
      <c r="CC252" s="33"/>
      <c r="CG252" s="31"/>
      <c r="CO252" s="35">
        <f t="shared" si="380"/>
        <v>0</v>
      </c>
      <c r="CP252" s="35">
        <f t="shared" si="398"/>
        <v>0</v>
      </c>
      <c r="CQ252" s="15">
        <f t="shared" si="417"/>
        <v>9.9817552041181793E-6</v>
      </c>
      <c r="CR252" s="28">
        <f t="shared" si="418"/>
        <v>1.2946549799179238E-4</v>
      </c>
      <c r="CS252" s="28">
        <f t="shared" si="419"/>
        <v>12.970213689309743</v>
      </c>
      <c r="CT252" s="33"/>
      <c r="CX252" s="31"/>
      <c r="DF252" s="35">
        <f t="shared" si="381"/>
        <v>0</v>
      </c>
      <c r="DG252" s="35">
        <f t="shared" si="399"/>
        <v>0</v>
      </c>
      <c r="DH252" s="15">
        <f t="shared" si="420"/>
        <v>9.7086736335076695E-6</v>
      </c>
      <c r="DI252" s="28">
        <f t="shared" si="421"/>
        <v>7.8666132005311706E-5</v>
      </c>
      <c r="DJ252" s="28">
        <f t="shared" si="422"/>
        <v>8.102665201743962</v>
      </c>
      <c r="DK252" s="33"/>
      <c r="DO252" s="31"/>
      <c r="DW252" s="35">
        <f t="shared" si="382"/>
        <v>0</v>
      </c>
      <c r="DX252" s="35">
        <f t="shared" si="400"/>
        <v>0</v>
      </c>
      <c r="DY252" s="15">
        <f t="shared" si="423"/>
        <v>1.0051888416106294E-5</v>
      </c>
      <c r="DZ252" s="28">
        <f t="shared" si="424"/>
        <v>7.6801868674349045E-5</v>
      </c>
      <c r="EA252" s="28">
        <f t="shared" si="425"/>
        <v>7.6405413087642557</v>
      </c>
      <c r="EB252" s="33"/>
      <c r="EF252" s="31"/>
      <c r="EN252" s="35">
        <f t="shared" si="383"/>
        <v>0</v>
      </c>
      <c r="EO252" s="35">
        <f t="shared" si="401"/>
        <v>0</v>
      </c>
      <c r="EP252" s="15">
        <f t="shared" si="426"/>
        <v>1.0732246207230796E-5</v>
      </c>
      <c r="EQ252" s="28">
        <f t="shared" si="427"/>
        <v>1.5091175907007317E-4</v>
      </c>
      <c r="ER252" s="28">
        <f t="shared" si="428"/>
        <v>14.061525998946721</v>
      </c>
      <c r="ES252" s="33"/>
      <c r="EW252" s="31"/>
      <c r="FE252" s="35">
        <f t="shared" si="384"/>
        <v>0</v>
      </c>
      <c r="FF252" s="35">
        <f t="shared" si="402"/>
        <v>0</v>
      </c>
      <c r="FG252" s="15">
        <f t="shared" si="429"/>
        <v>1.0368478603906372E-5</v>
      </c>
      <c r="FH252" s="28">
        <f t="shared" si="430"/>
        <v>1.3814582344806998E-4</v>
      </c>
      <c r="FI252" s="28">
        <f t="shared" si="431"/>
        <v>13.323634905898626</v>
      </c>
      <c r="FJ252" s="33"/>
      <c r="FN252" s="31"/>
      <c r="FV252" s="35">
        <f t="shared" si="385"/>
        <v>0</v>
      </c>
      <c r="FW252" s="35">
        <f t="shared" si="403"/>
        <v>0</v>
      </c>
      <c r="FX252" s="15">
        <f t="shared" si="432"/>
        <v>9.7608011427455473E-6</v>
      </c>
      <c r="FY252" s="28">
        <f t="shared" si="433"/>
        <v>1.3832783109992225E-4</v>
      </c>
      <c r="FZ252" s="28">
        <f t="shared" si="434"/>
        <v>14.171770234529435</v>
      </c>
      <c r="GA252" s="33"/>
      <c r="GE252" s="31"/>
      <c r="GM252" s="35">
        <f t="shared" si="386"/>
        <v>0</v>
      </c>
      <c r="GN252" s="35">
        <f t="shared" si="404"/>
        <v>0</v>
      </c>
      <c r="GO252" s="15">
        <f t="shared" si="435"/>
        <v>1.0086196477460599E-5</v>
      </c>
      <c r="GP252" s="28">
        <f t="shared" si="436"/>
        <v>1.425618752704525E-4</v>
      </c>
      <c r="GQ252" s="28">
        <f t="shared" si="437"/>
        <v>14.134354371247118</v>
      </c>
      <c r="GR252" s="33"/>
      <c r="GV252" s="31"/>
      <c r="HD252" s="35">
        <f t="shared" si="387"/>
        <v>0</v>
      </c>
      <c r="HE252" s="35">
        <f t="shared" si="405"/>
        <v>0</v>
      </c>
      <c r="HF252" s="15">
        <f t="shared" si="438"/>
        <v>1.4208473182370922E-5</v>
      </c>
      <c r="HG252" s="28">
        <f t="shared" si="439"/>
        <v>1.0340910085709532E-4</v>
      </c>
      <c r="HH252" s="28">
        <f t="shared" si="440"/>
        <v>7.2779882489696037</v>
      </c>
      <c r="HI252" s="33"/>
      <c r="HM252" s="31"/>
      <c r="HU252" s="35">
        <f t="shared" si="388"/>
        <v>0</v>
      </c>
      <c r="HV252" s="35">
        <f t="shared" si="406"/>
        <v>0</v>
      </c>
      <c r="HW252" s="15">
        <f t="shared" si="441"/>
        <v>3.2802895803925106E-14</v>
      </c>
      <c r="HX252" s="28">
        <f t="shared" si="442"/>
        <v>3.634177669196555E-17</v>
      </c>
      <c r="HY252" s="28">
        <f t="shared" si="443"/>
        <v>1.1078831853502699E-3</v>
      </c>
      <c r="HZ252" s="33"/>
      <c r="ID252" s="31"/>
      <c r="II252" s="12"/>
      <c r="IL252" s="35">
        <f t="shared" si="389"/>
        <v>0</v>
      </c>
      <c r="IM252" s="35">
        <f t="shared" si="390"/>
        <v>54.907325760108478</v>
      </c>
      <c r="IN252" s="15">
        <f t="shared" si="444"/>
        <v>3.232626154871901E-6</v>
      </c>
      <c r="IO252" s="28">
        <f t="shared" si="445"/>
        <v>2.6880044634628914E-6</v>
      </c>
      <c r="IP252" s="28">
        <f t="shared" si="446"/>
        <v>0.8315234532801733</v>
      </c>
      <c r="IQ252" s="33"/>
      <c r="IU252" s="31"/>
      <c r="JC252" s="35">
        <f t="shared" si="369"/>
        <v>0</v>
      </c>
      <c r="JD252" s="35">
        <f t="shared" si="391"/>
        <v>64.851616253806284</v>
      </c>
      <c r="JE252" s="15">
        <f t="shared" si="447"/>
        <v>3.9036577113448203E-6</v>
      </c>
      <c r="JF252" s="28">
        <f t="shared" si="448"/>
        <v>3.4308442827724294E-6</v>
      </c>
      <c r="JG252" s="28">
        <f t="shared" si="449"/>
        <v>0.87887938350785744</v>
      </c>
      <c r="JH252" s="33"/>
      <c r="JL252" s="31"/>
      <c r="JR252" s="99"/>
      <c r="JS252" s="99"/>
      <c r="JT252" s="99"/>
      <c r="JU252" s="99"/>
      <c r="JV252" s="99"/>
      <c r="JW252" s="99"/>
      <c r="JX252" s="99"/>
      <c r="JY252" s="99"/>
      <c r="JZ252" s="99"/>
      <c r="KA252" s="99"/>
      <c r="KB252" s="99"/>
      <c r="KC252" s="99"/>
      <c r="KD252" s="99"/>
      <c r="KE252" s="99"/>
      <c r="KF252" s="99"/>
      <c r="KG252" s="99"/>
      <c r="KH252" s="99"/>
      <c r="KI252" s="99"/>
      <c r="KJ252" s="99"/>
      <c r="KK252" s="99"/>
      <c r="KL252" s="99"/>
      <c r="KM252" s="99"/>
      <c r="KN252" s="99"/>
      <c r="KO252" s="99"/>
      <c r="KP252" s="99"/>
      <c r="KQ252" s="99"/>
      <c r="KR252" s="99"/>
      <c r="KS252" s="99"/>
      <c r="KT252" s="99"/>
      <c r="KU252" s="99"/>
      <c r="KV252" s="99"/>
      <c r="KW252" s="99"/>
      <c r="KX252" s="99"/>
      <c r="KY252" s="99"/>
      <c r="KZ252" s="99"/>
      <c r="LA252" s="99"/>
      <c r="LB252" s="99"/>
      <c r="LC252" s="99"/>
      <c r="LD252" s="99"/>
      <c r="LE252" s="99"/>
      <c r="LF252" s="99"/>
      <c r="LG252" s="99"/>
      <c r="LH252" s="99"/>
      <c r="LI252" s="99"/>
      <c r="LJ252" s="99"/>
      <c r="LK252" s="99"/>
      <c r="LL252" s="99"/>
      <c r="LM252" s="99"/>
      <c r="LN252" s="99"/>
      <c r="LO252" s="99"/>
      <c r="LP252" s="99"/>
      <c r="LQ252" s="99"/>
      <c r="LR252" s="99"/>
      <c r="LS252" s="99"/>
      <c r="LT252" s="99"/>
      <c r="LU252" s="99"/>
      <c r="LV252" s="99"/>
      <c r="LW252" s="99"/>
      <c r="LX252" s="99"/>
      <c r="LY252" s="99"/>
      <c r="LZ252" s="99"/>
      <c r="MA252" s="99"/>
      <c r="MB252" s="99"/>
      <c r="MC252" s="99"/>
      <c r="MD252" s="99"/>
      <c r="ME252" s="99"/>
      <c r="MF252" s="99"/>
    </row>
    <row r="253" spans="1:344" ht="17.25" customHeight="1" x14ac:dyDescent="0.25">
      <c r="A253" s="156"/>
      <c r="B253" s="81" t="s">
        <v>5</v>
      </c>
      <c r="C253" s="82">
        <v>45387</v>
      </c>
      <c r="D253" s="49"/>
      <c r="G253" s="89">
        <f t="shared" si="373"/>
        <v>0</v>
      </c>
      <c r="H253" s="35">
        <f t="shared" si="374"/>
        <v>0</v>
      </c>
      <c r="I253" s="39"/>
      <c r="L253" s="89">
        <f t="shared" si="375"/>
        <v>0</v>
      </c>
      <c r="M253" s="35">
        <f t="shared" si="392"/>
        <v>0</v>
      </c>
      <c r="N253" s="35">
        <f t="shared" si="393"/>
        <v>0</v>
      </c>
      <c r="O253" s="97" t="e">
        <f>SUM($Z253,$BH253,$AQ253,$BY253,$CP253,$DG253,$DX253,$EO253,$FF253,$FW253,$GN253)/D253</f>
        <v>#DIV/0!</v>
      </c>
      <c r="P253" s="150"/>
      <c r="Q253" s="132">
        <f t="shared" si="457"/>
        <v>0</v>
      </c>
      <c r="R253" s="134">
        <f t="shared" si="453"/>
        <v>0</v>
      </c>
      <c r="S253" s="136">
        <f t="shared" si="454"/>
        <v>0</v>
      </c>
      <c r="T253" s="138">
        <f t="shared" si="455"/>
        <v>0</v>
      </c>
      <c r="U253" s="144">
        <f t="shared" si="456"/>
        <v>0</v>
      </c>
      <c r="W253" s="11">
        <v>0</v>
      </c>
      <c r="X253" s="1">
        <v>0</v>
      </c>
      <c r="Y253" s="35">
        <f t="shared" si="376"/>
        <v>0</v>
      </c>
      <c r="Z253" s="35">
        <f t="shared" si="394"/>
        <v>0</v>
      </c>
      <c r="AA253" s="15">
        <f t="shared" si="407"/>
        <v>2.3206715545930548E-8</v>
      </c>
      <c r="AB253" s="43">
        <f t="shared" si="451"/>
        <v>3.7697491485912664E-8</v>
      </c>
      <c r="AC253" s="43">
        <f t="shared" si="452"/>
        <v>1.6244216641214086</v>
      </c>
      <c r="AD253" s="33"/>
      <c r="AH253" s="31"/>
      <c r="AP253" s="35">
        <f t="shared" si="377"/>
        <v>0</v>
      </c>
      <c r="AQ253" s="35">
        <f t="shared" si="395"/>
        <v>0</v>
      </c>
      <c r="AR253" s="15">
        <f t="shared" si="408"/>
        <v>7.0081984089784842E-6</v>
      </c>
      <c r="AS253" s="28">
        <f t="shared" si="409"/>
        <v>7.859696258625138E-5</v>
      </c>
      <c r="AT253" s="28">
        <f t="shared" si="410"/>
        <v>11.215002487024005</v>
      </c>
      <c r="AU253" s="33"/>
      <c r="AY253" s="31"/>
      <c r="BG253" s="35">
        <f t="shared" si="378"/>
        <v>0</v>
      </c>
      <c r="BH253" s="35">
        <f t="shared" si="396"/>
        <v>0</v>
      </c>
      <c r="BI253" s="15">
        <f t="shared" si="411"/>
        <v>9.6519788673390171E-6</v>
      </c>
      <c r="BJ253" s="28">
        <f t="shared" si="412"/>
        <v>1.2074091389180097E-4</v>
      </c>
      <c r="BK253" s="28">
        <f t="shared" si="413"/>
        <v>12.509446565446988</v>
      </c>
      <c r="BL253" s="33"/>
      <c r="BP253" s="31"/>
      <c r="BX253" s="35">
        <f t="shared" si="379"/>
        <v>0</v>
      </c>
      <c r="BY253" s="35">
        <f t="shared" si="397"/>
        <v>0</v>
      </c>
      <c r="BZ253" s="15">
        <f t="shared" si="414"/>
        <v>7.3390462510356378E-6</v>
      </c>
      <c r="CA253" s="28">
        <f t="shared" si="415"/>
        <v>7.5034725338802611E-5</v>
      </c>
      <c r="CB253" s="28">
        <f t="shared" si="416"/>
        <v>10.224043121163627</v>
      </c>
      <c r="CC253" s="33"/>
      <c r="CG253" s="31"/>
      <c r="CO253" s="35">
        <f t="shared" si="380"/>
        <v>0</v>
      </c>
      <c r="CP253" s="35">
        <f t="shared" si="398"/>
        <v>0</v>
      </c>
      <c r="CQ253" s="15">
        <f t="shared" si="417"/>
        <v>8.0408583588729787E-6</v>
      </c>
      <c r="CR253" s="28">
        <f t="shared" si="418"/>
        <v>9.7099123493844287E-5</v>
      </c>
      <c r="CS253" s="28">
        <f t="shared" si="419"/>
        <v>12.075716193495277</v>
      </c>
      <c r="CT253" s="33"/>
      <c r="CX253" s="31"/>
      <c r="DF253" s="35">
        <f t="shared" si="381"/>
        <v>0</v>
      </c>
      <c r="DG253" s="35">
        <f t="shared" si="399"/>
        <v>0</v>
      </c>
      <c r="DH253" s="15">
        <f t="shared" si="420"/>
        <v>7.8208759825478442E-6</v>
      </c>
      <c r="DI253" s="28">
        <f t="shared" si="421"/>
        <v>5.899959900398378E-5</v>
      </c>
      <c r="DJ253" s="28">
        <f t="shared" si="422"/>
        <v>7.5438607050719648</v>
      </c>
      <c r="DK253" s="33"/>
      <c r="DO253" s="31"/>
      <c r="DW253" s="35">
        <f t="shared" si="382"/>
        <v>0</v>
      </c>
      <c r="DX253" s="35">
        <f t="shared" si="400"/>
        <v>0</v>
      </c>
      <c r="DY253" s="15">
        <f t="shared" si="423"/>
        <v>8.0973545574189594E-6</v>
      </c>
      <c r="DZ253" s="28">
        <f t="shared" si="424"/>
        <v>5.7601401505761784E-5</v>
      </c>
      <c r="EA253" s="28">
        <f t="shared" si="425"/>
        <v>7.1136074254012032</v>
      </c>
      <c r="EB253" s="33"/>
      <c r="EF253" s="31"/>
      <c r="EN253" s="35">
        <f t="shared" si="383"/>
        <v>0</v>
      </c>
      <c r="EO253" s="35">
        <f t="shared" si="401"/>
        <v>0</v>
      </c>
      <c r="EP253" s="15">
        <f t="shared" si="426"/>
        <v>8.6454205558248072E-6</v>
      </c>
      <c r="EQ253" s="28">
        <f t="shared" si="427"/>
        <v>1.1318381930255488E-4</v>
      </c>
      <c r="ER253" s="28">
        <f t="shared" si="428"/>
        <v>13.091765585226257</v>
      </c>
      <c r="ES253" s="33"/>
      <c r="EW253" s="31"/>
      <c r="FE253" s="35">
        <f t="shared" si="384"/>
        <v>0</v>
      </c>
      <c r="FF253" s="35">
        <f t="shared" si="402"/>
        <v>0</v>
      </c>
      <c r="FG253" s="15">
        <f t="shared" si="429"/>
        <v>8.352385542035689E-6</v>
      </c>
      <c r="FH253" s="28">
        <f t="shared" si="430"/>
        <v>1.0360936758605249E-4</v>
      </c>
      <c r="FI253" s="28">
        <f t="shared" si="431"/>
        <v>12.404763533078031</v>
      </c>
      <c r="FJ253" s="33"/>
      <c r="FN253" s="31"/>
      <c r="FV253" s="35">
        <f t="shared" si="385"/>
        <v>0</v>
      </c>
      <c r="FW253" s="35">
        <f t="shared" si="403"/>
        <v>0</v>
      </c>
      <c r="FX253" s="15">
        <f t="shared" si="432"/>
        <v>7.8628675872116913E-6</v>
      </c>
      <c r="FY253" s="28">
        <f t="shared" si="433"/>
        <v>1.0374587332494169E-4</v>
      </c>
      <c r="FZ253" s="28">
        <f t="shared" si="434"/>
        <v>13.194406770079128</v>
      </c>
      <c r="GA253" s="33"/>
      <c r="GE253" s="31"/>
      <c r="GM253" s="35">
        <f t="shared" si="386"/>
        <v>0</v>
      </c>
      <c r="GN253" s="35">
        <f t="shared" si="404"/>
        <v>0</v>
      </c>
      <c r="GO253" s="15">
        <f t="shared" si="435"/>
        <v>8.1249916068432598E-6</v>
      </c>
      <c r="GP253" s="28">
        <f t="shared" si="436"/>
        <v>1.0692140645283938E-4</v>
      </c>
      <c r="GQ253" s="28">
        <f t="shared" si="437"/>
        <v>13.159571311161111</v>
      </c>
      <c r="GR253" s="33"/>
      <c r="GV253" s="31"/>
      <c r="HD253" s="35">
        <f t="shared" si="387"/>
        <v>0</v>
      </c>
      <c r="HE253" s="35">
        <f t="shared" si="405"/>
        <v>0</v>
      </c>
      <c r="HF253" s="15">
        <f t="shared" si="438"/>
        <v>1.1445714508021023E-5</v>
      </c>
      <c r="HG253" s="28">
        <f t="shared" si="439"/>
        <v>7.75568256428215E-5</v>
      </c>
      <c r="HH253" s="28">
        <f t="shared" si="440"/>
        <v>6.776058024902734</v>
      </c>
      <c r="HI253" s="33"/>
      <c r="HM253" s="31"/>
      <c r="HU253" s="35">
        <f t="shared" si="388"/>
        <v>0</v>
      </c>
      <c r="HV253" s="35">
        <f t="shared" si="406"/>
        <v>0</v>
      </c>
      <c r="HW253" s="15">
        <f t="shared" si="441"/>
        <v>2.6424554953161895E-14</v>
      </c>
      <c r="HX253" s="28">
        <f t="shared" si="442"/>
        <v>2.7256332518974162E-17</v>
      </c>
      <c r="HY253" s="28">
        <f t="shared" si="443"/>
        <v>1.0314774484295615E-3</v>
      </c>
      <c r="HZ253" s="33"/>
      <c r="ID253" s="31"/>
      <c r="II253" s="12"/>
      <c r="IL253" s="35">
        <f t="shared" si="389"/>
        <v>0</v>
      </c>
      <c r="IM253" s="35">
        <f t="shared" si="390"/>
        <v>51.120537761858238</v>
      </c>
      <c r="IN253" s="15">
        <f t="shared" si="444"/>
        <v>2.6040599580912538E-6</v>
      </c>
      <c r="IO253" s="28">
        <f t="shared" si="445"/>
        <v>2.0160033475971686E-6</v>
      </c>
      <c r="IP253" s="28">
        <f t="shared" si="446"/>
        <v>0.77417700822636826</v>
      </c>
      <c r="IQ253" s="33"/>
      <c r="IU253" s="31"/>
      <c r="JC253" s="35">
        <f t="shared" ref="JC253:JC316" si="458">(JA253*$F253)+JB253*$K253</f>
        <v>0</v>
      </c>
      <c r="JD253" s="35">
        <f t="shared" si="391"/>
        <v>60.378993486545433</v>
      </c>
      <c r="JE253" s="15">
        <f t="shared" si="447"/>
        <v>3.1446131563611052E-6</v>
      </c>
      <c r="JF253" s="28">
        <f t="shared" si="448"/>
        <v>2.5731332120793218E-6</v>
      </c>
      <c r="JG253" s="28">
        <f t="shared" si="449"/>
        <v>0.81826701223145348</v>
      </c>
      <c r="JH253" s="33"/>
      <c r="JL253" s="31"/>
      <c r="JR253" s="99"/>
      <c r="JS253" s="99"/>
      <c r="JT253" s="99"/>
      <c r="JU253" s="99"/>
      <c r="JV253" s="99"/>
      <c r="JW253" s="99"/>
      <c r="JX253" s="99"/>
      <c r="JY253" s="99"/>
      <c r="JZ253" s="99"/>
      <c r="KA253" s="99"/>
      <c r="KB253" s="99"/>
      <c r="KC253" s="99"/>
      <c r="KD253" s="99"/>
      <c r="KE253" s="99"/>
      <c r="KF253" s="99"/>
      <c r="KG253" s="99"/>
      <c r="KH253" s="99"/>
      <c r="KI253" s="99"/>
      <c r="KJ253" s="99"/>
      <c r="KK253" s="99"/>
      <c r="KL253" s="99"/>
      <c r="KM253" s="99"/>
      <c r="KN253" s="99"/>
      <c r="KO253" s="99"/>
      <c r="KP253" s="99"/>
      <c r="KQ253" s="99"/>
      <c r="KR253" s="99"/>
      <c r="KS253" s="99"/>
      <c r="KT253" s="99"/>
      <c r="KU253" s="99"/>
      <c r="KV253" s="99"/>
      <c r="KW253" s="99"/>
      <c r="KX253" s="99"/>
      <c r="KY253" s="99"/>
      <c r="KZ253" s="99"/>
      <c r="LA253" s="99"/>
      <c r="LB253" s="99"/>
      <c r="LC253" s="99"/>
      <c r="LD253" s="99"/>
      <c r="LE253" s="99"/>
      <c r="LF253" s="99"/>
      <c r="LG253" s="99"/>
      <c r="LH253" s="99"/>
      <c r="LI253" s="99"/>
      <c r="LJ253" s="99"/>
      <c r="LK253" s="99"/>
      <c r="LL253" s="99"/>
      <c r="LM253" s="99"/>
      <c r="LN253" s="99"/>
      <c r="LO253" s="99"/>
      <c r="LP253" s="99"/>
      <c r="LQ253" s="99"/>
      <c r="LR253" s="99"/>
      <c r="LS253" s="99"/>
      <c r="LT253" s="99"/>
      <c r="LU253" s="99"/>
      <c r="LV253" s="99"/>
      <c r="LW253" s="99"/>
      <c r="LX253" s="99"/>
      <c r="LY253" s="99"/>
      <c r="LZ253" s="99"/>
      <c r="MA253" s="99"/>
      <c r="MB253" s="99"/>
      <c r="MC253" s="99"/>
      <c r="MD253" s="99"/>
      <c r="ME253" s="99"/>
      <c r="MF253" s="99"/>
    </row>
    <row r="254" spans="1:344" ht="17.25" customHeight="1" x14ac:dyDescent="0.25">
      <c r="A254" s="156"/>
      <c r="B254" s="81" t="s">
        <v>6</v>
      </c>
      <c r="C254" s="82">
        <v>45388</v>
      </c>
      <c r="D254" s="49"/>
      <c r="G254" s="89">
        <f t="shared" si="373"/>
        <v>0</v>
      </c>
      <c r="H254" s="35">
        <f t="shared" si="374"/>
        <v>0</v>
      </c>
      <c r="I254" s="39"/>
      <c r="L254" s="89">
        <f t="shared" si="375"/>
        <v>0</v>
      </c>
      <c r="M254" s="35">
        <f t="shared" si="392"/>
        <v>0</v>
      </c>
      <c r="N254" s="35">
        <f t="shared" si="393"/>
        <v>0</v>
      </c>
      <c r="O254" s="97" t="e">
        <f>SUM($Z254,$BH254,$AQ254,$BY254,$CP254,$DG254,$DX254,$EO254,$FF254,$FW254,$GN254)/D254</f>
        <v>#DIV/0!</v>
      </c>
      <c r="P254" s="150"/>
      <c r="Q254" s="132">
        <f t="shared" si="457"/>
        <v>0</v>
      </c>
      <c r="R254" s="134">
        <f t="shared" si="453"/>
        <v>0</v>
      </c>
      <c r="S254" s="136">
        <f t="shared" si="454"/>
        <v>0</v>
      </c>
      <c r="T254" s="138">
        <f t="shared" si="455"/>
        <v>0</v>
      </c>
      <c r="U254" s="144">
        <f t="shared" si="456"/>
        <v>0</v>
      </c>
      <c r="W254" s="11">
        <v>0</v>
      </c>
      <c r="X254" s="1">
        <v>0</v>
      </c>
      <c r="Y254" s="35">
        <f t="shared" si="376"/>
        <v>0</v>
      </c>
      <c r="Z254" s="35">
        <f t="shared" si="394"/>
        <v>0</v>
      </c>
      <c r="AA254" s="15">
        <f t="shared" si="407"/>
        <v>1.8694298634221833E-8</v>
      </c>
      <c r="AB254" s="43">
        <f t="shared" si="451"/>
        <v>2.8273118614434499E-8</v>
      </c>
      <c r="AC254" s="43">
        <f t="shared" si="452"/>
        <v>1.5123925838371735</v>
      </c>
      <c r="AD254" s="33"/>
      <c r="AH254" s="31"/>
      <c r="AP254" s="35">
        <f t="shared" si="377"/>
        <v>0</v>
      </c>
      <c r="AQ254" s="35">
        <f t="shared" si="395"/>
        <v>0</v>
      </c>
      <c r="AR254" s="15">
        <f t="shared" si="408"/>
        <v>5.6454931627882234E-6</v>
      </c>
      <c r="AS254" s="28">
        <f t="shared" si="409"/>
        <v>5.8947721939688535E-5</v>
      </c>
      <c r="AT254" s="28">
        <f t="shared" si="410"/>
        <v>10.441554039643039</v>
      </c>
      <c r="AU254" s="33"/>
      <c r="AY254" s="31"/>
      <c r="BG254" s="35">
        <f t="shared" si="378"/>
        <v>0</v>
      </c>
      <c r="BH254" s="35">
        <f t="shared" si="396"/>
        <v>0</v>
      </c>
      <c r="BI254" s="15">
        <f t="shared" si="411"/>
        <v>7.7752051986897636E-6</v>
      </c>
      <c r="BJ254" s="28">
        <f t="shared" si="412"/>
        <v>9.0555685418850721E-5</v>
      </c>
      <c r="BK254" s="28">
        <f t="shared" si="413"/>
        <v>11.646726112657539</v>
      </c>
      <c r="BL254" s="33"/>
      <c r="BP254" s="31"/>
      <c r="BX254" s="35">
        <f t="shared" si="379"/>
        <v>0</v>
      </c>
      <c r="BY254" s="35">
        <f t="shared" si="397"/>
        <v>0</v>
      </c>
      <c r="BZ254" s="15">
        <f t="shared" si="414"/>
        <v>5.91200948000093E-6</v>
      </c>
      <c r="CA254" s="28">
        <f t="shared" si="415"/>
        <v>5.6276044004101959E-5</v>
      </c>
      <c r="CB254" s="28">
        <f t="shared" si="416"/>
        <v>9.5189366990144109</v>
      </c>
      <c r="CC254" s="33"/>
      <c r="CG254" s="31"/>
      <c r="CO254" s="35">
        <f t="shared" si="380"/>
        <v>0</v>
      </c>
      <c r="CP254" s="35">
        <f t="shared" si="398"/>
        <v>0</v>
      </c>
      <c r="CQ254" s="15">
        <f t="shared" si="417"/>
        <v>6.4773581224254557E-6</v>
      </c>
      <c r="CR254" s="28">
        <f t="shared" si="418"/>
        <v>7.2824342620383216E-5</v>
      </c>
      <c r="CS254" s="28">
        <f t="shared" si="419"/>
        <v>11.242908180150774</v>
      </c>
      <c r="CT254" s="33"/>
      <c r="CX254" s="31"/>
      <c r="DF254" s="35">
        <f t="shared" si="381"/>
        <v>0</v>
      </c>
      <c r="DG254" s="35">
        <f t="shared" si="399"/>
        <v>0</v>
      </c>
      <c r="DH254" s="15">
        <f t="shared" si="420"/>
        <v>6.3001500970524305E-6</v>
      </c>
      <c r="DI254" s="28">
        <f t="shared" si="421"/>
        <v>4.4249699252987831E-5</v>
      </c>
      <c r="DJ254" s="28">
        <f t="shared" si="422"/>
        <v>7.0235944495497602</v>
      </c>
      <c r="DK254" s="33"/>
      <c r="DO254" s="31"/>
      <c r="DW254" s="35">
        <f t="shared" si="382"/>
        <v>0</v>
      </c>
      <c r="DX254" s="35">
        <f t="shared" si="400"/>
        <v>0</v>
      </c>
      <c r="DY254" s="15">
        <f t="shared" si="423"/>
        <v>6.5228689490319397E-6</v>
      </c>
      <c r="DZ254" s="28">
        <f t="shared" si="424"/>
        <v>4.3201051129321339E-5</v>
      </c>
      <c r="EA254" s="28">
        <f t="shared" si="425"/>
        <v>6.6230138098562925</v>
      </c>
      <c r="EB254" s="33"/>
      <c r="EF254" s="31"/>
      <c r="EN254" s="35">
        <f t="shared" si="383"/>
        <v>0</v>
      </c>
      <c r="EO254" s="35">
        <f t="shared" si="401"/>
        <v>0</v>
      </c>
      <c r="EP254" s="15">
        <f t="shared" si="426"/>
        <v>6.9643665588588734E-6</v>
      </c>
      <c r="EQ254" s="28">
        <f t="shared" si="427"/>
        <v>8.488786447691616E-5</v>
      </c>
      <c r="ER254" s="28">
        <f t="shared" si="428"/>
        <v>12.188885200038239</v>
      </c>
      <c r="ES254" s="33"/>
      <c r="EW254" s="31"/>
      <c r="FE254" s="35">
        <f t="shared" si="384"/>
        <v>0</v>
      </c>
      <c r="FF254" s="35">
        <f t="shared" si="402"/>
        <v>0</v>
      </c>
      <c r="FG254" s="15">
        <f t="shared" si="429"/>
        <v>6.7283105755287497E-6</v>
      </c>
      <c r="FH254" s="28">
        <f t="shared" si="430"/>
        <v>7.770702568953937E-5</v>
      </c>
      <c r="FI254" s="28">
        <f t="shared" si="431"/>
        <v>11.549262599762304</v>
      </c>
      <c r="FJ254" s="33"/>
      <c r="FN254" s="31"/>
      <c r="FV254" s="35">
        <f t="shared" si="385"/>
        <v>0</v>
      </c>
      <c r="FW254" s="35">
        <f t="shared" si="403"/>
        <v>0</v>
      </c>
      <c r="FX254" s="15">
        <f t="shared" si="432"/>
        <v>6.3339766674760859E-6</v>
      </c>
      <c r="FY254" s="28">
        <f t="shared" si="433"/>
        <v>7.7809404993706269E-5</v>
      </c>
      <c r="FZ254" s="28">
        <f t="shared" si="434"/>
        <v>12.284447682487464</v>
      </c>
      <c r="GA254" s="33"/>
      <c r="GE254" s="31"/>
      <c r="GM254" s="35">
        <f t="shared" si="386"/>
        <v>0</v>
      </c>
      <c r="GN254" s="35">
        <f t="shared" si="404"/>
        <v>0</v>
      </c>
      <c r="GO254" s="15">
        <f t="shared" si="435"/>
        <v>6.5451321277348489E-6</v>
      </c>
      <c r="GP254" s="28">
        <f t="shared" si="436"/>
        <v>8.0191054839629533E-5</v>
      </c>
      <c r="GQ254" s="28">
        <f t="shared" si="437"/>
        <v>12.252014669012068</v>
      </c>
      <c r="GR254" s="33"/>
      <c r="GV254" s="31"/>
      <c r="HD254" s="35">
        <f t="shared" si="387"/>
        <v>0</v>
      </c>
      <c r="HE254" s="35">
        <f t="shared" si="405"/>
        <v>0</v>
      </c>
      <c r="HF254" s="15">
        <f t="shared" si="438"/>
        <v>9.2201589092391574E-6</v>
      </c>
      <c r="HG254" s="28">
        <f t="shared" si="439"/>
        <v>5.8167619232116125E-5</v>
      </c>
      <c r="HH254" s="28">
        <f t="shared" si="440"/>
        <v>6.3087436783577173</v>
      </c>
      <c r="HI254" s="33"/>
      <c r="HM254" s="31"/>
      <c r="HU254" s="35">
        <f t="shared" si="388"/>
        <v>0</v>
      </c>
      <c r="HV254" s="35">
        <f t="shared" si="406"/>
        <v>0</v>
      </c>
      <c r="HW254" s="15">
        <f t="shared" si="441"/>
        <v>2.1286447045602638E-14</v>
      </c>
      <c r="HX254" s="28">
        <f t="shared" si="442"/>
        <v>2.044224938923062E-17</v>
      </c>
      <c r="HY254" s="28">
        <f t="shared" si="443"/>
        <v>9.6034107267579862E-4</v>
      </c>
      <c r="HZ254" s="33"/>
      <c r="ID254" s="31"/>
      <c r="II254" s="12"/>
      <c r="IL254" s="35">
        <f t="shared" si="389"/>
        <v>0</v>
      </c>
      <c r="IM254" s="35">
        <f t="shared" si="390"/>
        <v>47.594926335276512</v>
      </c>
      <c r="IN254" s="15">
        <f t="shared" si="444"/>
        <v>2.0977149662401767E-6</v>
      </c>
      <c r="IO254" s="28">
        <f t="shared" si="445"/>
        <v>1.5120025106978765E-6</v>
      </c>
      <c r="IP254" s="28">
        <f t="shared" si="446"/>
        <v>0.72078549041765316</v>
      </c>
      <c r="IQ254" s="33"/>
      <c r="IU254" s="31"/>
      <c r="JC254" s="35">
        <f t="shared" si="458"/>
        <v>0</v>
      </c>
      <c r="JD254" s="35">
        <f t="shared" si="391"/>
        <v>56.214851630198723</v>
      </c>
      <c r="JE254" s="15">
        <f t="shared" si="447"/>
        <v>2.5331605981797795E-6</v>
      </c>
      <c r="JF254" s="28">
        <f t="shared" si="448"/>
        <v>1.9298499090594916E-6</v>
      </c>
      <c r="JG254" s="28">
        <f t="shared" si="449"/>
        <v>0.76183480449135321</v>
      </c>
      <c r="JH254" s="33"/>
      <c r="JL254" s="31"/>
      <c r="JR254" s="99"/>
      <c r="JS254" s="99"/>
      <c r="JT254" s="99"/>
      <c r="JU254" s="99"/>
      <c r="JV254" s="99"/>
      <c r="JW254" s="99"/>
      <c r="JX254" s="99"/>
      <c r="JY254" s="99"/>
      <c r="JZ254" s="99"/>
      <c r="KA254" s="99"/>
      <c r="KB254" s="99"/>
      <c r="KC254" s="99"/>
      <c r="KD254" s="99"/>
      <c r="KE254" s="99"/>
      <c r="KF254" s="99"/>
      <c r="KG254" s="99"/>
      <c r="KH254" s="99"/>
      <c r="KI254" s="99"/>
      <c r="KJ254" s="99"/>
      <c r="KK254" s="99"/>
      <c r="KL254" s="99"/>
      <c r="KM254" s="99"/>
      <c r="KN254" s="99"/>
      <c r="KO254" s="99"/>
      <c r="KP254" s="99"/>
      <c r="KQ254" s="99"/>
      <c r="KR254" s="99"/>
      <c r="KS254" s="99"/>
      <c r="KT254" s="99"/>
      <c r="KU254" s="99"/>
      <c r="KV254" s="99"/>
      <c r="KW254" s="99"/>
      <c r="KX254" s="99"/>
      <c r="KY254" s="99"/>
      <c r="KZ254" s="99"/>
      <c r="LA254" s="99"/>
      <c r="LB254" s="99"/>
      <c r="LC254" s="99"/>
      <c r="LD254" s="99"/>
      <c r="LE254" s="99"/>
      <c r="LF254" s="99"/>
      <c r="LG254" s="99"/>
      <c r="LH254" s="99"/>
      <c r="LI254" s="99"/>
      <c r="LJ254" s="99"/>
      <c r="LK254" s="99"/>
      <c r="LL254" s="99"/>
      <c r="LM254" s="99"/>
      <c r="LN254" s="99"/>
      <c r="LO254" s="99"/>
      <c r="LP254" s="99"/>
      <c r="LQ254" s="99"/>
      <c r="LR254" s="99"/>
      <c r="LS254" s="99"/>
      <c r="LT254" s="99"/>
      <c r="LU254" s="99"/>
      <c r="LV254" s="99"/>
      <c r="LW254" s="99"/>
      <c r="LX254" s="99"/>
      <c r="LY254" s="99"/>
      <c r="LZ254" s="99"/>
      <c r="MA254" s="99"/>
      <c r="MB254" s="99"/>
      <c r="MC254" s="99"/>
      <c r="MD254" s="99"/>
      <c r="ME254" s="99"/>
      <c r="MF254" s="99"/>
    </row>
    <row r="255" spans="1:344" ht="17.25" customHeight="1" x14ac:dyDescent="0.25">
      <c r="A255" s="157"/>
      <c r="B255" s="83" t="s">
        <v>7</v>
      </c>
      <c r="C255" s="84">
        <v>45389</v>
      </c>
      <c r="D255" s="51"/>
      <c r="E255" s="48"/>
      <c r="F255" s="104"/>
      <c r="G255" s="37">
        <f t="shared" si="373"/>
        <v>0</v>
      </c>
      <c r="H255" s="26">
        <f t="shared" si="374"/>
        <v>0</v>
      </c>
      <c r="I255" s="48"/>
      <c r="J255" s="48"/>
      <c r="K255" s="104"/>
      <c r="L255" s="37">
        <f t="shared" si="375"/>
        <v>0</v>
      </c>
      <c r="M255" s="26">
        <f t="shared" si="392"/>
        <v>0</v>
      </c>
      <c r="N255" s="26">
        <f t="shared" si="393"/>
        <v>0</v>
      </c>
      <c r="O255" s="98" t="e">
        <f>SUM($Z255,$BH255,$AQ255,$BY255,$CP255,$DG255,$DX255,$EO255,$FF255,$FW255,$GN255)/D255</f>
        <v>#DIV/0!</v>
      </c>
      <c r="P255" s="151"/>
      <c r="Q255" s="139">
        <f t="shared" si="457"/>
        <v>0</v>
      </c>
      <c r="R255" s="140">
        <f t="shared" si="453"/>
        <v>0</v>
      </c>
      <c r="S255" s="141">
        <f t="shared" si="454"/>
        <v>0</v>
      </c>
      <c r="T255" s="142">
        <f t="shared" si="455"/>
        <v>0</v>
      </c>
      <c r="U255" s="145">
        <f t="shared" si="456"/>
        <v>0</v>
      </c>
      <c r="V255" s="23"/>
      <c r="W255" s="13">
        <v>0</v>
      </c>
      <c r="X255" s="2">
        <v>0</v>
      </c>
      <c r="Y255" s="26">
        <f t="shared" si="376"/>
        <v>0</v>
      </c>
      <c r="Z255" s="26">
        <f t="shared" si="394"/>
        <v>0</v>
      </c>
      <c r="AA255" s="16">
        <f t="shared" si="407"/>
        <v>1.505929612201203E-8</v>
      </c>
      <c r="AB255" s="44">
        <f t="shared" si="451"/>
        <v>2.1204838960825873E-8</v>
      </c>
      <c r="AC255" s="44">
        <f t="shared" si="452"/>
        <v>1.4080896470208166</v>
      </c>
      <c r="AD255" s="34"/>
      <c r="AE255" s="4"/>
      <c r="AF255" s="5"/>
      <c r="AG255" s="6"/>
      <c r="AH255" s="32"/>
      <c r="AI255" s="3"/>
      <c r="AJ255" s="4"/>
      <c r="AK255" s="5"/>
      <c r="AL255" s="6"/>
      <c r="AM255" s="14"/>
      <c r="AN255" s="13"/>
      <c r="AO255" s="2"/>
      <c r="AP255" s="26">
        <f t="shared" si="377"/>
        <v>0</v>
      </c>
      <c r="AQ255" s="26">
        <f t="shared" si="395"/>
        <v>0</v>
      </c>
      <c r="AR255" s="16">
        <f t="shared" si="408"/>
        <v>4.5477583811349582E-6</v>
      </c>
      <c r="AS255" s="29">
        <f t="shared" si="409"/>
        <v>4.4210791454766401E-5</v>
      </c>
      <c r="AT255" s="29">
        <f t="shared" si="410"/>
        <v>9.7214468644952436</v>
      </c>
      <c r="AU255" s="34"/>
      <c r="AV255" s="4"/>
      <c r="AW255" s="5"/>
      <c r="AX255" s="6"/>
      <c r="AY255" s="32"/>
      <c r="AZ255" s="3"/>
      <c r="BA255" s="4"/>
      <c r="BB255" s="5"/>
      <c r="BC255" s="6"/>
      <c r="BD255" s="14"/>
      <c r="BE255" s="13"/>
      <c r="BF255" s="2"/>
      <c r="BG255" s="26">
        <f t="shared" si="378"/>
        <v>0</v>
      </c>
      <c r="BH255" s="26">
        <f t="shared" si="396"/>
        <v>0</v>
      </c>
      <c r="BI255" s="16">
        <f t="shared" si="411"/>
        <v>6.2633597433889764E-6</v>
      </c>
      <c r="BJ255" s="29">
        <f t="shared" si="412"/>
        <v>6.7916764064138041E-5</v>
      </c>
      <c r="BK255" s="29">
        <f t="shared" si="413"/>
        <v>10.843503622129433</v>
      </c>
      <c r="BL255" s="34"/>
      <c r="BM255" s="4"/>
      <c r="BN255" s="5"/>
      <c r="BO255" s="6"/>
      <c r="BP255" s="32"/>
      <c r="BQ255" s="3"/>
      <c r="BR255" s="4"/>
      <c r="BS255" s="5"/>
      <c r="BT255" s="6"/>
      <c r="BU255" s="14"/>
      <c r="BV255" s="13"/>
      <c r="BW255" s="2"/>
      <c r="BX255" s="26">
        <f t="shared" si="379"/>
        <v>0</v>
      </c>
      <c r="BY255" s="26">
        <f t="shared" si="397"/>
        <v>0</v>
      </c>
      <c r="BZ255" s="16">
        <f t="shared" si="414"/>
        <v>4.7624520811118599E-6</v>
      </c>
      <c r="CA255" s="29">
        <f t="shared" si="415"/>
        <v>4.2207033003076466E-5</v>
      </c>
      <c r="CB255" s="29">
        <f t="shared" si="416"/>
        <v>8.8624583059789348</v>
      </c>
      <c r="CC255" s="34"/>
      <c r="CD255" s="4"/>
      <c r="CE255" s="5"/>
      <c r="CF255" s="6"/>
      <c r="CG255" s="32"/>
      <c r="CH255" s="3"/>
      <c r="CI255" s="4"/>
      <c r="CJ255" s="5"/>
      <c r="CK255" s="6"/>
      <c r="CL255" s="14"/>
      <c r="CM255" s="13"/>
      <c r="CN255" s="2"/>
      <c r="CO255" s="26">
        <f t="shared" si="380"/>
        <v>0</v>
      </c>
      <c r="CP255" s="26">
        <f t="shared" si="398"/>
        <v>0</v>
      </c>
      <c r="CQ255" s="16">
        <f t="shared" si="417"/>
        <v>5.2178718208427286E-6</v>
      </c>
      <c r="CR255" s="29">
        <f t="shared" si="418"/>
        <v>5.4618256965287412E-5</v>
      </c>
      <c r="CS255" s="29">
        <f t="shared" si="419"/>
        <v>10.467535202209341</v>
      </c>
      <c r="CT255" s="34"/>
      <c r="CU255" s="4"/>
      <c r="CV255" s="5"/>
      <c r="CW255" s="6"/>
      <c r="CX255" s="32"/>
      <c r="CY255" s="3"/>
      <c r="CZ255" s="4"/>
      <c r="DA255" s="5"/>
      <c r="DB255" s="6"/>
      <c r="DC255" s="14"/>
      <c r="DD255" s="13"/>
      <c r="DE255" s="2"/>
      <c r="DF255" s="26">
        <f t="shared" si="381"/>
        <v>0</v>
      </c>
      <c r="DG255" s="26">
        <f t="shared" si="399"/>
        <v>0</v>
      </c>
      <c r="DH255" s="16">
        <f t="shared" si="420"/>
        <v>5.0751209115144582E-6</v>
      </c>
      <c r="DI255" s="29">
        <f t="shared" si="421"/>
        <v>3.3187274439740877E-5</v>
      </c>
      <c r="DJ255" s="29">
        <f t="shared" si="422"/>
        <v>6.5392086254428801</v>
      </c>
      <c r="DK255" s="34"/>
      <c r="DL255" s="4"/>
      <c r="DM255" s="5"/>
      <c r="DN255" s="6"/>
      <c r="DO255" s="32"/>
      <c r="DP255" s="3"/>
      <c r="DQ255" s="4"/>
      <c r="DR255" s="5"/>
      <c r="DS255" s="6"/>
      <c r="DT255" s="14"/>
      <c r="DU255" s="13"/>
      <c r="DV255" s="2"/>
      <c r="DW255" s="26">
        <f t="shared" si="382"/>
        <v>0</v>
      </c>
      <c r="DX255" s="26">
        <f t="shared" si="400"/>
        <v>0</v>
      </c>
      <c r="DY255" s="16">
        <f t="shared" si="423"/>
        <v>5.2545333200535071E-6</v>
      </c>
      <c r="DZ255" s="29">
        <f t="shared" si="424"/>
        <v>3.2400788346991001E-5</v>
      </c>
      <c r="EA255" s="29">
        <f t="shared" si="425"/>
        <v>6.1662542367627546</v>
      </c>
      <c r="EB255" s="34"/>
      <c r="EC255" s="4"/>
      <c r="ED255" s="5"/>
      <c r="EE255" s="6"/>
      <c r="EF255" s="32"/>
      <c r="EG255" s="3"/>
      <c r="EH255" s="4"/>
      <c r="EI255" s="5"/>
      <c r="EJ255" s="6"/>
      <c r="EK255" s="14"/>
      <c r="EL255" s="13"/>
      <c r="EM255" s="2"/>
      <c r="EN255" s="26">
        <f t="shared" si="383"/>
        <v>0</v>
      </c>
      <c r="EO255" s="26">
        <f t="shared" si="401"/>
        <v>0</v>
      </c>
      <c r="EP255" s="16">
        <f t="shared" si="426"/>
        <v>5.6101841724140922E-6</v>
      </c>
      <c r="EQ255" s="29">
        <f t="shared" si="427"/>
        <v>6.3665898357687117E-5</v>
      </c>
      <c r="ER255" s="29">
        <f t="shared" si="428"/>
        <v>11.348272427621808</v>
      </c>
      <c r="ES255" s="34"/>
      <c r="ET255" s="4"/>
      <c r="EU255" s="5"/>
      <c r="EV255" s="6"/>
      <c r="EW255" s="32"/>
      <c r="EX255" s="3"/>
      <c r="EY255" s="4"/>
      <c r="EZ255" s="5"/>
      <c r="FA255" s="6"/>
      <c r="FB255" s="14"/>
      <c r="FC255" s="13"/>
      <c r="FD255" s="2"/>
      <c r="FE255" s="26">
        <f t="shared" si="384"/>
        <v>0</v>
      </c>
      <c r="FF255" s="26">
        <f t="shared" si="402"/>
        <v>0</v>
      </c>
      <c r="FG255" s="16">
        <f t="shared" si="429"/>
        <v>5.4200279636203819E-6</v>
      </c>
      <c r="FH255" s="29">
        <f t="shared" si="430"/>
        <v>5.8280269267154531E-5</v>
      </c>
      <c r="FI255" s="29">
        <f t="shared" si="431"/>
        <v>10.75276173081318</v>
      </c>
      <c r="FJ255" s="34"/>
      <c r="FK255" s="4"/>
      <c r="FL255" s="5"/>
      <c r="FM255" s="6"/>
      <c r="FN255" s="32"/>
      <c r="FO255" s="3"/>
      <c r="FP255" s="4"/>
      <c r="FQ255" s="5"/>
      <c r="FR255" s="6"/>
      <c r="FS255" s="14"/>
      <c r="FT255" s="13"/>
      <c r="FU255" s="2"/>
      <c r="FV255" s="26">
        <f t="shared" si="385"/>
        <v>0</v>
      </c>
      <c r="FW255" s="26">
        <f t="shared" si="403"/>
        <v>0</v>
      </c>
      <c r="FX255" s="16">
        <f t="shared" si="432"/>
        <v>5.1023700932446251E-6</v>
      </c>
      <c r="FY255" s="29">
        <f t="shared" si="433"/>
        <v>5.8357053745279701E-5</v>
      </c>
      <c r="FZ255" s="29">
        <f t="shared" si="434"/>
        <v>11.437244394040052</v>
      </c>
      <c r="GA255" s="34"/>
      <c r="GB255" s="4"/>
      <c r="GC255" s="5"/>
      <c r="GD255" s="6"/>
      <c r="GE255" s="32"/>
      <c r="GF255" s="3"/>
      <c r="GG255" s="4"/>
      <c r="GH255" s="5"/>
      <c r="GI255" s="6"/>
      <c r="GJ255" s="14"/>
      <c r="GK255" s="13"/>
      <c r="GL255" s="2"/>
      <c r="GM255" s="26">
        <f t="shared" si="386"/>
        <v>0</v>
      </c>
      <c r="GN255" s="26">
        <f t="shared" si="404"/>
        <v>0</v>
      </c>
      <c r="GO255" s="16">
        <f t="shared" si="435"/>
        <v>5.2724675473419608E-6</v>
      </c>
      <c r="GP255" s="29">
        <f t="shared" si="436"/>
        <v>6.0143291129722147E-5</v>
      </c>
      <c r="GQ255" s="29">
        <f t="shared" si="437"/>
        <v>11.407048140114684</v>
      </c>
      <c r="GR255" s="34"/>
      <c r="GS255" s="4"/>
      <c r="GT255" s="5"/>
      <c r="GU255" s="6"/>
      <c r="GV255" s="32"/>
      <c r="GW255" s="3"/>
      <c r="GX255" s="4"/>
      <c r="GY255" s="5"/>
      <c r="GZ255" s="6"/>
      <c r="HA255" s="14"/>
      <c r="HB255" s="13"/>
      <c r="HC255" s="2"/>
      <c r="HD255" s="26">
        <f t="shared" si="387"/>
        <v>0</v>
      </c>
      <c r="HE255" s="26">
        <f t="shared" si="405"/>
        <v>0</v>
      </c>
      <c r="HF255" s="16">
        <f t="shared" si="438"/>
        <v>7.4273502324426553E-6</v>
      </c>
      <c r="HG255" s="29">
        <f t="shared" si="439"/>
        <v>4.3625714424087092E-5</v>
      </c>
      <c r="HH255" s="29">
        <f t="shared" si="440"/>
        <v>5.8736579074364954</v>
      </c>
      <c r="HI255" s="34"/>
      <c r="HJ255" s="4"/>
      <c r="HK255" s="5"/>
      <c r="HL255" s="6"/>
      <c r="HM255" s="32"/>
      <c r="HN255" s="3"/>
      <c r="HO255" s="4"/>
      <c r="HP255" s="5"/>
      <c r="HQ255" s="6"/>
      <c r="HR255" s="14"/>
      <c r="HS255" s="13"/>
      <c r="HT255" s="2"/>
      <c r="HU255" s="26">
        <f t="shared" si="388"/>
        <v>0</v>
      </c>
      <c r="HV255" s="26">
        <f t="shared" si="406"/>
        <v>0</v>
      </c>
      <c r="HW255" s="16">
        <f t="shared" si="441"/>
        <v>1.7147415675624349E-14</v>
      </c>
      <c r="HX255" s="29">
        <f t="shared" si="442"/>
        <v>1.5331687041922967E-17</v>
      </c>
      <c r="HY255" s="29">
        <f t="shared" si="443"/>
        <v>8.9411065387057112E-4</v>
      </c>
      <c r="HZ255" s="34"/>
      <c r="IA255" s="4"/>
      <c r="IB255" s="5"/>
      <c r="IC255" s="6"/>
      <c r="ID255" s="32"/>
      <c r="IE255" s="3"/>
      <c r="IF255" s="4"/>
      <c r="IG255" s="5"/>
      <c r="IH255" s="6"/>
      <c r="II255" s="14"/>
      <c r="IJ255" s="13"/>
      <c r="IK255" s="2"/>
      <c r="IL255" s="26">
        <f t="shared" si="389"/>
        <v>0</v>
      </c>
      <c r="IM255" s="26">
        <f t="shared" si="390"/>
        <v>44.312474645382927</v>
      </c>
      <c r="IN255" s="16">
        <f t="shared" si="444"/>
        <v>1.6898259450268089E-6</v>
      </c>
      <c r="IO255" s="29">
        <f t="shared" si="445"/>
        <v>1.1340018830234073E-6</v>
      </c>
      <c r="IP255" s="29">
        <f t="shared" si="446"/>
        <v>0.67107614625091849</v>
      </c>
      <c r="IQ255" s="34"/>
      <c r="IR255" s="4"/>
      <c r="IS255" s="5"/>
      <c r="IT255" s="6"/>
      <c r="IU255" s="32"/>
      <c r="IV255" s="3"/>
      <c r="IW255" s="4"/>
      <c r="IX255" s="5"/>
      <c r="IY255" s="6"/>
      <c r="IZ255" s="14"/>
      <c r="JA255" s="13"/>
      <c r="JB255" s="2"/>
      <c r="JC255" s="26">
        <f t="shared" si="458"/>
        <v>0</v>
      </c>
      <c r="JD255" s="26">
        <f t="shared" si="391"/>
        <v>52.337910137690024</v>
      </c>
      <c r="JE255" s="16">
        <f t="shared" si="447"/>
        <v>2.0406015929781556E-6</v>
      </c>
      <c r="JF255" s="29">
        <f t="shared" si="448"/>
        <v>1.4473874317946187E-6</v>
      </c>
      <c r="JG255" s="29">
        <f t="shared" si="449"/>
        <v>0.70929447314712191</v>
      </c>
      <c r="JH255" s="34"/>
      <c r="JI255" s="4"/>
      <c r="JJ255" s="5"/>
      <c r="JK255" s="6"/>
      <c r="JL255" s="32"/>
      <c r="JM255" s="3"/>
      <c r="JN255" s="4"/>
      <c r="JO255" s="5"/>
      <c r="JP255" s="6"/>
      <c r="JQ255" s="14"/>
      <c r="JR255" s="99"/>
      <c r="JS255" s="99"/>
      <c r="JT255" s="99"/>
      <c r="JU255" s="99"/>
      <c r="JV255" s="99"/>
      <c r="JW255" s="99"/>
      <c r="JX255" s="99"/>
      <c r="JY255" s="99"/>
      <c r="JZ255" s="99"/>
      <c r="KA255" s="99"/>
      <c r="KB255" s="99"/>
      <c r="KC255" s="99"/>
      <c r="KD255" s="99"/>
      <c r="KE255" s="99"/>
      <c r="KF255" s="99"/>
      <c r="KG255" s="99"/>
      <c r="KH255" s="99"/>
      <c r="KI255" s="99"/>
      <c r="KJ255" s="99"/>
      <c r="KK255" s="99"/>
      <c r="KL255" s="99"/>
      <c r="KM255" s="99"/>
      <c r="KN255" s="99"/>
      <c r="KO255" s="99"/>
      <c r="KP255" s="99"/>
      <c r="KQ255" s="99"/>
      <c r="KR255" s="99"/>
      <c r="KS255" s="99"/>
      <c r="KT255" s="99"/>
      <c r="KU255" s="99"/>
      <c r="KV255" s="99"/>
      <c r="KW255" s="99"/>
      <c r="KX255" s="99"/>
      <c r="KY255" s="99"/>
      <c r="KZ255" s="99"/>
      <c r="LA255" s="99"/>
      <c r="LB255" s="99"/>
      <c r="LC255" s="99"/>
      <c r="LD255" s="99"/>
      <c r="LE255" s="99"/>
      <c r="LF255" s="99"/>
      <c r="LG255" s="99"/>
      <c r="LH255" s="99"/>
      <c r="LI255" s="99"/>
      <c r="LJ255" s="99"/>
      <c r="LK255" s="99"/>
      <c r="LL255" s="99"/>
      <c r="LM255" s="99"/>
      <c r="LN255" s="99"/>
      <c r="LO255" s="99"/>
      <c r="LP255" s="99"/>
      <c r="LQ255" s="99"/>
      <c r="LR255" s="99"/>
      <c r="LS255" s="99"/>
      <c r="LT255" s="99"/>
      <c r="LU255" s="99"/>
      <c r="LV255" s="99"/>
      <c r="LW255" s="99"/>
      <c r="LX255" s="99"/>
      <c r="LY255" s="99"/>
      <c r="LZ255" s="99"/>
      <c r="MA255" s="99"/>
      <c r="MB255" s="99"/>
      <c r="MC255" s="99"/>
      <c r="MD255" s="99"/>
      <c r="ME255" s="99"/>
      <c r="MF255" s="99"/>
    </row>
    <row r="256" spans="1:344" ht="17.25" customHeight="1" x14ac:dyDescent="0.25">
      <c r="A256" s="155" t="s">
        <v>42</v>
      </c>
      <c r="B256" s="79" t="s">
        <v>1</v>
      </c>
      <c r="C256" s="80">
        <v>45390</v>
      </c>
      <c r="D256" s="50"/>
      <c r="G256" s="36">
        <f t="shared" si="373"/>
        <v>0</v>
      </c>
      <c r="H256" s="27">
        <f t="shared" si="374"/>
        <v>0</v>
      </c>
      <c r="I256" s="47"/>
      <c r="K256" s="105"/>
      <c r="L256" s="89">
        <f t="shared" si="375"/>
        <v>0</v>
      </c>
      <c r="M256" s="27">
        <f t="shared" si="392"/>
        <v>0</v>
      </c>
      <c r="N256" s="35">
        <f t="shared" si="393"/>
        <v>0</v>
      </c>
      <c r="O256" s="97" t="e">
        <f>SUM($Z256,$BH256,$AQ256,$BY256,$CP256,$DG256,$DX256,$EO256,$FF256,$FW256,$GN256)/I256</f>
        <v>#DIV/0!</v>
      </c>
      <c r="P256" s="149">
        <f t="shared" si="450"/>
        <v>0</v>
      </c>
      <c r="Q256" s="131">
        <f t="shared" si="457"/>
        <v>0</v>
      </c>
      <c r="R256" s="133">
        <f t="shared" si="453"/>
        <v>0</v>
      </c>
      <c r="S256" s="135">
        <f t="shared" si="454"/>
        <v>0</v>
      </c>
      <c r="T256" s="137">
        <f t="shared" si="455"/>
        <v>0</v>
      </c>
      <c r="U256" s="143">
        <f t="shared" si="456"/>
        <v>0</v>
      </c>
      <c r="W256" s="11">
        <v>0</v>
      </c>
      <c r="X256" s="1">
        <v>0</v>
      </c>
      <c r="Y256" s="27">
        <f t="shared" si="376"/>
        <v>0</v>
      </c>
      <c r="Z256" s="27">
        <f t="shared" si="394"/>
        <v>0</v>
      </c>
      <c r="AA256" s="15">
        <f t="shared" si="407"/>
        <v>1.2131099653843024E-8</v>
      </c>
      <c r="AB256" s="43">
        <f t="shared" si="451"/>
        <v>1.5903629220619405E-8</v>
      </c>
      <c r="AC256" s="43">
        <f t="shared" si="452"/>
        <v>1.3109800161917948</v>
      </c>
      <c r="AD256" s="33"/>
      <c r="AH256" s="31"/>
      <c r="AP256" s="27">
        <f t="shared" si="377"/>
        <v>0</v>
      </c>
      <c r="AQ256" s="27">
        <f t="shared" si="395"/>
        <v>0</v>
      </c>
      <c r="AR256" s="15">
        <f t="shared" si="408"/>
        <v>3.6634720292476053E-6</v>
      </c>
      <c r="AS256" s="28">
        <f t="shared" si="409"/>
        <v>3.3158093591074801E-5</v>
      </c>
      <c r="AT256" s="28">
        <f t="shared" si="410"/>
        <v>9.0510022531507435</v>
      </c>
      <c r="AU256" s="33"/>
      <c r="AY256" s="31"/>
      <c r="BG256" s="27">
        <f t="shared" si="378"/>
        <v>0</v>
      </c>
      <c r="BH256" s="27">
        <f t="shared" si="396"/>
        <v>0</v>
      </c>
      <c r="BI256" s="15">
        <f t="shared" si="411"/>
        <v>5.04548423773001E-6</v>
      </c>
      <c r="BJ256" s="28">
        <f t="shared" si="412"/>
        <v>5.0937573048103534E-5</v>
      </c>
      <c r="BK256" s="28">
        <f t="shared" si="413"/>
        <v>10.095675786120506</v>
      </c>
      <c r="BL256" s="33"/>
      <c r="BP256" s="31"/>
      <c r="BX256" s="27">
        <f t="shared" si="379"/>
        <v>0</v>
      </c>
      <c r="BY256" s="27">
        <f t="shared" si="397"/>
        <v>0</v>
      </c>
      <c r="BZ256" s="15">
        <f t="shared" si="414"/>
        <v>3.8364197320067765E-6</v>
      </c>
      <c r="CA256" s="28">
        <f t="shared" si="415"/>
        <v>3.1655274752307353E-5</v>
      </c>
      <c r="CB256" s="28">
        <f t="shared" si="416"/>
        <v>8.2512542848769392</v>
      </c>
      <c r="CC256" s="33"/>
      <c r="CG256" s="31"/>
      <c r="CO256" s="27">
        <f t="shared" si="380"/>
        <v>0</v>
      </c>
      <c r="CP256" s="27">
        <f t="shared" si="398"/>
        <v>0</v>
      </c>
      <c r="CQ256" s="15">
        <f t="shared" si="417"/>
        <v>4.2032856334566422E-6</v>
      </c>
      <c r="CR256" s="28">
        <f t="shared" si="418"/>
        <v>4.0963692723965559E-5</v>
      </c>
      <c r="CS256" s="28">
        <f t="shared" si="419"/>
        <v>9.7456362227466276</v>
      </c>
      <c r="CT256" s="33"/>
      <c r="CX256" s="31"/>
      <c r="DF256" s="27">
        <f t="shared" si="381"/>
        <v>0</v>
      </c>
      <c r="DG256" s="27">
        <f t="shared" si="399"/>
        <v>0</v>
      </c>
      <c r="DH256" s="15">
        <f t="shared" si="420"/>
        <v>4.0882918453866471E-6</v>
      </c>
      <c r="DI256" s="28">
        <f t="shared" si="421"/>
        <v>2.4890455829805658E-5</v>
      </c>
      <c r="DJ256" s="28">
        <f t="shared" si="422"/>
        <v>6.0882287202399228</v>
      </c>
      <c r="DK256" s="33"/>
      <c r="DO256" s="31"/>
      <c r="DW256" s="27">
        <f t="shared" si="382"/>
        <v>0</v>
      </c>
      <c r="DX256" s="27">
        <f t="shared" si="400"/>
        <v>0</v>
      </c>
      <c r="DY256" s="15">
        <f t="shared" si="423"/>
        <v>4.2328185078208807E-6</v>
      </c>
      <c r="DZ256" s="28">
        <f t="shared" si="424"/>
        <v>2.4300591260243251E-5</v>
      </c>
      <c r="EA256" s="28">
        <f t="shared" si="425"/>
        <v>5.7409953238825642</v>
      </c>
      <c r="EB256" s="33"/>
      <c r="EF256" s="31"/>
      <c r="EN256" s="27">
        <f t="shared" si="383"/>
        <v>0</v>
      </c>
      <c r="EO256" s="27">
        <f t="shared" si="401"/>
        <v>0</v>
      </c>
      <c r="EP256" s="15">
        <f t="shared" si="426"/>
        <v>4.5193150277780197E-6</v>
      </c>
      <c r="EQ256" s="28">
        <f t="shared" si="427"/>
        <v>4.7749423768265338E-5</v>
      </c>
      <c r="ER256" s="28">
        <f t="shared" si="428"/>
        <v>10.565632949854786</v>
      </c>
      <c r="ES256" s="33"/>
      <c r="EW256" s="31"/>
      <c r="FE256" s="27">
        <f t="shared" si="384"/>
        <v>0</v>
      </c>
      <c r="FF256" s="27">
        <f t="shared" si="402"/>
        <v>0</v>
      </c>
      <c r="FG256" s="15">
        <f t="shared" si="429"/>
        <v>4.3661336373608627E-6</v>
      </c>
      <c r="FH256" s="28">
        <f t="shared" si="430"/>
        <v>4.3710201950365895E-5</v>
      </c>
      <c r="FI256" s="28">
        <f t="shared" si="431"/>
        <v>10.01119195627434</v>
      </c>
      <c r="FJ256" s="33"/>
      <c r="FN256" s="31"/>
      <c r="FV256" s="27">
        <f t="shared" si="385"/>
        <v>0</v>
      </c>
      <c r="FW256" s="27">
        <f t="shared" si="403"/>
        <v>0</v>
      </c>
      <c r="FX256" s="15">
        <f t="shared" si="432"/>
        <v>4.1102425751137252E-6</v>
      </c>
      <c r="FY256" s="28">
        <f t="shared" si="433"/>
        <v>4.3767790308959778E-5</v>
      </c>
      <c r="FZ256" s="28">
        <f t="shared" si="434"/>
        <v>10.648468918589014</v>
      </c>
      <c r="GA256" s="33"/>
      <c r="GE256" s="31"/>
      <c r="GM256" s="27">
        <f t="shared" si="386"/>
        <v>0</v>
      </c>
      <c r="GN256" s="27">
        <f t="shared" si="404"/>
        <v>0</v>
      </c>
      <c r="GO256" s="15">
        <f t="shared" si="435"/>
        <v>4.2472655242476909E-6</v>
      </c>
      <c r="GP256" s="28">
        <f t="shared" si="436"/>
        <v>4.5107468347291613E-5</v>
      </c>
      <c r="GQ256" s="28">
        <f t="shared" si="437"/>
        <v>10.620355164934361</v>
      </c>
      <c r="GR256" s="33"/>
      <c r="GV256" s="31"/>
      <c r="HD256" s="27">
        <f t="shared" si="387"/>
        <v>0</v>
      </c>
      <c r="HE256" s="27">
        <f t="shared" si="405"/>
        <v>0</v>
      </c>
      <c r="HF256" s="15">
        <f t="shared" si="438"/>
        <v>5.9831432428010267E-6</v>
      </c>
      <c r="HG256" s="28">
        <f t="shared" si="439"/>
        <v>3.2719285818065318E-5</v>
      </c>
      <c r="HH256" s="28">
        <f t="shared" si="440"/>
        <v>5.4685780517512201</v>
      </c>
      <c r="HI256" s="33"/>
      <c r="HM256" s="31"/>
      <c r="HU256" s="27">
        <f t="shared" si="388"/>
        <v>0</v>
      </c>
      <c r="HV256" s="27">
        <f t="shared" si="406"/>
        <v>0</v>
      </c>
      <c r="HW256" s="15">
        <f t="shared" si="441"/>
        <v>1.3813195960919615E-14</v>
      </c>
      <c r="HX256" s="28">
        <f t="shared" si="442"/>
        <v>1.1498765281442225E-17</v>
      </c>
      <c r="HY256" s="28">
        <f t="shared" si="443"/>
        <v>8.3244785015535925E-4</v>
      </c>
      <c r="HZ256" s="33"/>
      <c r="ID256" s="31"/>
      <c r="II256" s="12"/>
      <c r="IL256" s="27">
        <f t="shared" si="389"/>
        <v>0</v>
      </c>
      <c r="IM256" s="27">
        <f t="shared" si="390"/>
        <v>41.256409554742895</v>
      </c>
      <c r="IN256" s="15">
        <f t="shared" si="444"/>
        <v>1.3612486779382627E-6</v>
      </c>
      <c r="IO256" s="28">
        <f t="shared" si="445"/>
        <v>8.5050141226755546E-7</v>
      </c>
      <c r="IP256" s="28">
        <f t="shared" si="446"/>
        <v>0.62479503271637238</v>
      </c>
      <c r="IQ256" s="33"/>
      <c r="IU256" s="31"/>
      <c r="JC256" s="27">
        <f t="shared" si="458"/>
        <v>0</v>
      </c>
      <c r="JD256" s="27">
        <f t="shared" si="391"/>
        <v>48.728357578360935</v>
      </c>
      <c r="JE256" s="15">
        <f t="shared" si="447"/>
        <v>1.64381794989907E-6</v>
      </c>
      <c r="JF256" s="28">
        <f t="shared" si="448"/>
        <v>1.0855405738459641E-6</v>
      </c>
      <c r="JG256" s="28">
        <f t="shared" si="449"/>
        <v>0.66037761293007902</v>
      </c>
      <c r="JH256" s="33"/>
      <c r="JL256" s="31"/>
      <c r="JR256" s="99"/>
      <c r="JS256" s="99"/>
      <c r="JT256" s="99"/>
      <c r="JU256" s="99"/>
      <c r="JV256" s="99"/>
      <c r="JW256" s="99"/>
      <c r="JX256" s="99"/>
      <c r="JY256" s="99"/>
      <c r="JZ256" s="99"/>
      <c r="KA256" s="99"/>
      <c r="KB256" s="99"/>
      <c r="KC256" s="99"/>
      <c r="KD256" s="99"/>
      <c r="KE256" s="99"/>
      <c r="KF256" s="99"/>
      <c r="KG256" s="99"/>
      <c r="KH256" s="99"/>
      <c r="KI256" s="99"/>
      <c r="KJ256" s="99"/>
      <c r="KK256" s="99"/>
      <c r="KL256" s="99"/>
      <c r="KM256" s="99"/>
      <c r="KN256" s="99"/>
      <c r="KO256" s="99"/>
      <c r="KP256" s="99"/>
      <c r="KQ256" s="99"/>
      <c r="KR256" s="99"/>
      <c r="KS256" s="99"/>
      <c r="KT256" s="99"/>
      <c r="KU256" s="99"/>
      <c r="KV256" s="99"/>
      <c r="KW256" s="99"/>
      <c r="KX256" s="99"/>
      <c r="KY256" s="99"/>
      <c r="KZ256" s="99"/>
      <c r="LA256" s="99"/>
      <c r="LB256" s="99"/>
      <c r="LC256" s="99"/>
      <c r="LD256" s="99"/>
      <c r="LE256" s="99"/>
      <c r="LF256" s="99"/>
      <c r="LG256" s="99"/>
      <c r="LH256" s="99"/>
      <c r="LI256" s="99"/>
      <c r="LJ256" s="99"/>
      <c r="LK256" s="99"/>
      <c r="LL256" s="99"/>
      <c r="LM256" s="99"/>
      <c r="LN256" s="99"/>
      <c r="LO256" s="99"/>
      <c r="LP256" s="99"/>
      <c r="LQ256" s="99"/>
      <c r="LR256" s="99"/>
      <c r="LS256" s="99"/>
      <c r="LT256" s="99"/>
      <c r="LU256" s="99"/>
      <c r="LV256" s="99"/>
      <c r="LW256" s="99"/>
      <c r="LX256" s="99"/>
      <c r="LY256" s="99"/>
      <c r="LZ256" s="99"/>
      <c r="MA256" s="99"/>
      <c r="MB256" s="99"/>
      <c r="MC256" s="99"/>
      <c r="MD256" s="99"/>
      <c r="ME256" s="99"/>
      <c r="MF256" s="99"/>
    </row>
    <row r="257" spans="1:344" ht="17.25" customHeight="1" x14ac:dyDescent="0.25">
      <c r="A257" s="156"/>
      <c r="B257" s="81" t="s">
        <v>2</v>
      </c>
      <c r="C257" s="82">
        <v>45391</v>
      </c>
      <c r="D257" s="49"/>
      <c r="G257" s="89">
        <f t="shared" si="373"/>
        <v>0</v>
      </c>
      <c r="H257" s="35">
        <f t="shared" si="374"/>
        <v>0</v>
      </c>
      <c r="I257" s="39"/>
      <c r="L257" s="89">
        <f t="shared" si="375"/>
        <v>0</v>
      </c>
      <c r="M257" s="35">
        <f t="shared" si="392"/>
        <v>0</v>
      </c>
      <c r="N257" s="35">
        <f t="shared" si="393"/>
        <v>0</v>
      </c>
      <c r="O257" s="97" t="e">
        <f>SUM($Z257,$BH257,$AQ257,$BY257,$CP257,$DG257,$DX257,$EO257,$FF257,$FW257,$GN257)/I257</f>
        <v>#DIV/0!</v>
      </c>
      <c r="P257" s="150"/>
      <c r="Q257" s="132">
        <f t="shared" si="457"/>
        <v>0</v>
      </c>
      <c r="R257" s="134">
        <f t="shared" si="453"/>
        <v>0</v>
      </c>
      <c r="S257" s="136">
        <f t="shared" si="454"/>
        <v>0</v>
      </c>
      <c r="T257" s="138">
        <f t="shared" si="455"/>
        <v>0</v>
      </c>
      <c r="U257" s="144">
        <f t="shared" si="456"/>
        <v>0</v>
      </c>
      <c r="W257" s="11">
        <v>0</v>
      </c>
      <c r="X257" s="1">
        <v>0</v>
      </c>
      <c r="Y257" s="35">
        <f t="shared" si="376"/>
        <v>0</v>
      </c>
      <c r="Z257" s="35">
        <f t="shared" si="394"/>
        <v>0</v>
      </c>
      <c r="AA257" s="15">
        <f t="shared" si="407"/>
        <v>9.7722747211513255E-9</v>
      </c>
      <c r="AB257" s="43">
        <f t="shared" si="451"/>
        <v>1.1927721915464554E-8</v>
      </c>
      <c r="AC257" s="43">
        <f t="shared" si="452"/>
        <v>1.2205676012820159</v>
      </c>
      <c r="AD257" s="33"/>
      <c r="AH257" s="31"/>
      <c r="AP257" s="35">
        <f t="shared" si="377"/>
        <v>0</v>
      </c>
      <c r="AQ257" s="35">
        <f t="shared" si="395"/>
        <v>0</v>
      </c>
      <c r="AR257" s="15">
        <f t="shared" si="408"/>
        <v>2.951130245782793E-6</v>
      </c>
      <c r="AS257" s="28">
        <f t="shared" si="409"/>
        <v>2.4868570193306101E-5</v>
      </c>
      <c r="AT257" s="28">
        <f t="shared" si="410"/>
        <v>8.4267952012093126</v>
      </c>
      <c r="AU257" s="33"/>
      <c r="AY257" s="31"/>
      <c r="BG257" s="35">
        <f t="shared" si="378"/>
        <v>0</v>
      </c>
      <c r="BH257" s="35">
        <f t="shared" si="396"/>
        <v>0</v>
      </c>
      <c r="BI257" s="15">
        <f t="shared" si="411"/>
        <v>4.0644178581713969E-6</v>
      </c>
      <c r="BJ257" s="28">
        <f t="shared" si="412"/>
        <v>3.8203179786077654E-5</v>
      </c>
      <c r="BK257" s="28">
        <f t="shared" si="413"/>
        <v>9.3994222836294359</v>
      </c>
      <c r="BL257" s="33"/>
      <c r="BP257" s="31"/>
      <c r="BX257" s="35">
        <f t="shared" si="379"/>
        <v>0</v>
      </c>
      <c r="BY257" s="35">
        <f t="shared" si="397"/>
        <v>0</v>
      </c>
      <c r="BZ257" s="15">
        <f t="shared" si="414"/>
        <v>3.0904492285610144E-6</v>
      </c>
      <c r="CA257" s="28">
        <f t="shared" si="415"/>
        <v>2.3741456064230514E-5</v>
      </c>
      <c r="CB257" s="28">
        <f t="shared" si="416"/>
        <v>7.682202265230254</v>
      </c>
      <c r="CC257" s="33"/>
      <c r="CG257" s="31"/>
      <c r="CO257" s="35">
        <f t="shared" si="380"/>
        <v>0</v>
      </c>
      <c r="CP257" s="35">
        <f t="shared" si="398"/>
        <v>0</v>
      </c>
      <c r="CQ257" s="15">
        <f t="shared" si="417"/>
        <v>3.3859800936178508E-6</v>
      </c>
      <c r="CR257" s="28">
        <f t="shared" si="418"/>
        <v>3.0722769542974166E-5</v>
      </c>
      <c r="CS257" s="28">
        <f t="shared" si="419"/>
        <v>9.0735233797985835</v>
      </c>
      <c r="CT257" s="33"/>
      <c r="CX257" s="31"/>
      <c r="DF257" s="35">
        <f t="shared" si="381"/>
        <v>0</v>
      </c>
      <c r="DG257" s="35">
        <f t="shared" si="399"/>
        <v>0</v>
      </c>
      <c r="DH257" s="15">
        <f t="shared" si="420"/>
        <v>3.2933462087836878E-6</v>
      </c>
      <c r="DI257" s="28">
        <f t="shared" si="421"/>
        <v>1.8667841872354242E-5</v>
      </c>
      <c r="DJ257" s="28">
        <f t="shared" si="422"/>
        <v>5.6683508774647553</v>
      </c>
      <c r="DK257" s="33"/>
      <c r="DO257" s="31"/>
      <c r="DW257" s="35">
        <f t="shared" si="382"/>
        <v>0</v>
      </c>
      <c r="DX257" s="35">
        <f t="shared" si="400"/>
        <v>0</v>
      </c>
      <c r="DY257" s="15">
        <f t="shared" si="423"/>
        <v>3.4097704646334874E-6</v>
      </c>
      <c r="DZ257" s="28">
        <f t="shared" si="424"/>
        <v>1.8225443445182439E-5</v>
      </c>
      <c r="EA257" s="28">
        <f t="shared" si="425"/>
        <v>5.3450646118906633</v>
      </c>
      <c r="EB257" s="33"/>
      <c r="EF257" s="31"/>
      <c r="EN257" s="35">
        <f t="shared" si="383"/>
        <v>0</v>
      </c>
      <c r="EO257" s="35">
        <f t="shared" si="401"/>
        <v>0</v>
      </c>
      <c r="EP257" s="15">
        <f t="shared" si="426"/>
        <v>3.6405593279322935E-6</v>
      </c>
      <c r="EQ257" s="28">
        <f t="shared" si="427"/>
        <v>3.5812067826199005E-5</v>
      </c>
      <c r="ER257" s="28">
        <f t="shared" si="428"/>
        <v>9.8369686084854902</v>
      </c>
      <c r="ES257" s="33"/>
      <c r="EW257" s="31"/>
      <c r="FE257" s="35">
        <f t="shared" si="384"/>
        <v>0</v>
      </c>
      <c r="FF257" s="35">
        <f t="shared" si="402"/>
        <v>0</v>
      </c>
      <c r="FG257" s="15">
        <f t="shared" si="429"/>
        <v>3.5171632078740283E-6</v>
      </c>
      <c r="FH257" s="28">
        <f t="shared" si="430"/>
        <v>3.2782651462774418E-5</v>
      </c>
      <c r="FI257" s="28">
        <f t="shared" si="431"/>
        <v>9.3207649248071434</v>
      </c>
      <c r="FJ257" s="33"/>
      <c r="FN257" s="31"/>
      <c r="FV257" s="35">
        <f t="shared" si="385"/>
        <v>0</v>
      </c>
      <c r="FW257" s="35">
        <f t="shared" si="403"/>
        <v>0</v>
      </c>
      <c r="FX257" s="15">
        <f t="shared" si="432"/>
        <v>3.3110287410638351E-6</v>
      </c>
      <c r="FY257" s="28">
        <f t="shared" si="433"/>
        <v>3.2825842731719835E-5</v>
      </c>
      <c r="FZ257" s="28">
        <f t="shared" si="434"/>
        <v>9.9140917517897709</v>
      </c>
      <c r="GA257" s="33"/>
      <c r="GE257" s="31"/>
      <c r="GM257" s="35">
        <f t="shared" si="386"/>
        <v>0</v>
      </c>
      <c r="GN257" s="35">
        <f t="shared" si="404"/>
        <v>0</v>
      </c>
      <c r="GO257" s="15">
        <f t="shared" si="435"/>
        <v>3.4214083389773066E-6</v>
      </c>
      <c r="GP257" s="28">
        <f t="shared" si="436"/>
        <v>3.3830601260468707E-5</v>
      </c>
      <c r="GQ257" s="28">
        <f t="shared" si="437"/>
        <v>9.8879168776975082</v>
      </c>
      <c r="GR257" s="33"/>
      <c r="GV257" s="31"/>
      <c r="HD257" s="35">
        <f t="shared" si="387"/>
        <v>0</v>
      </c>
      <c r="HE257" s="35">
        <f t="shared" si="405"/>
        <v>0</v>
      </c>
      <c r="HF257" s="15">
        <f t="shared" si="438"/>
        <v>4.8197542789230494E-6</v>
      </c>
      <c r="HG257" s="28">
        <f t="shared" si="439"/>
        <v>2.4539464363548986E-5</v>
      </c>
      <c r="HH257" s="28">
        <f t="shared" si="440"/>
        <v>5.0914347378373428</v>
      </c>
      <c r="HI257" s="33"/>
      <c r="HM257" s="31"/>
      <c r="HU257" s="35">
        <f t="shared" si="388"/>
        <v>0</v>
      </c>
      <c r="HV257" s="35">
        <f t="shared" si="406"/>
        <v>0</v>
      </c>
      <c r="HW257" s="15">
        <f t="shared" si="441"/>
        <v>1.1127296746296355E-14</v>
      </c>
      <c r="HX257" s="28">
        <f t="shared" si="442"/>
        <v>8.624073961081668E-18</v>
      </c>
      <c r="HY257" s="28">
        <f t="shared" si="443"/>
        <v>7.7503765359292068E-4</v>
      </c>
      <c r="HZ257" s="33"/>
      <c r="ID257" s="31"/>
      <c r="II257" s="12"/>
      <c r="IL257" s="35">
        <f t="shared" si="389"/>
        <v>0</v>
      </c>
      <c r="IM257" s="35">
        <f t="shared" si="390"/>
        <v>38.411115563323207</v>
      </c>
      <c r="IN257" s="15">
        <f t="shared" si="444"/>
        <v>1.0965614350058227E-6</v>
      </c>
      <c r="IO257" s="28">
        <f t="shared" si="445"/>
        <v>6.3787605920066659E-7</v>
      </c>
      <c r="IP257" s="28">
        <f t="shared" si="446"/>
        <v>0.58170572011524324</v>
      </c>
      <c r="IQ257" s="33"/>
      <c r="IU257" s="31"/>
      <c r="JC257" s="35">
        <f t="shared" si="458"/>
        <v>0</v>
      </c>
      <c r="JD257" s="35">
        <f t="shared" si="391"/>
        <v>45.367749948011372</v>
      </c>
      <c r="JE257" s="15">
        <f t="shared" si="447"/>
        <v>1.3241866818631399E-6</v>
      </c>
      <c r="JF257" s="28">
        <f t="shared" si="448"/>
        <v>8.141554303844731E-7</v>
      </c>
      <c r="JG257" s="28">
        <f t="shared" si="449"/>
        <v>0.6148343292797287</v>
      </c>
      <c r="JH257" s="33"/>
      <c r="JL257" s="31"/>
      <c r="JR257" s="99"/>
      <c r="JS257" s="99"/>
      <c r="JT257" s="99"/>
      <c r="JU257" s="99"/>
      <c r="JV257" s="99"/>
      <c r="JW257" s="99"/>
      <c r="JX257" s="99"/>
      <c r="JY257" s="99"/>
      <c r="JZ257" s="99"/>
      <c r="KA257" s="99"/>
      <c r="KB257" s="99"/>
      <c r="KC257" s="99"/>
      <c r="KD257" s="99"/>
      <c r="KE257" s="99"/>
      <c r="KF257" s="99"/>
      <c r="KG257" s="99"/>
      <c r="KH257" s="99"/>
      <c r="KI257" s="99"/>
      <c r="KJ257" s="99"/>
      <c r="KK257" s="99"/>
      <c r="KL257" s="99"/>
      <c r="KM257" s="99"/>
      <c r="KN257" s="99"/>
      <c r="KO257" s="99"/>
      <c r="KP257" s="99"/>
      <c r="KQ257" s="99"/>
      <c r="KR257" s="99"/>
      <c r="KS257" s="99"/>
      <c r="KT257" s="99"/>
      <c r="KU257" s="99"/>
      <c r="KV257" s="99"/>
      <c r="KW257" s="99"/>
      <c r="KX257" s="99"/>
      <c r="KY257" s="99"/>
      <c r="KZ257" s="99"/>
      <c r="LA257" s="99"/>
      <c r="LB257" s="99"/>
      <c r="LC257" s="99"/>
      <c r="LD257" s="99"/>
      <c r="LE257" s="99"/>
      <c r="LF257" s="99"/>
      <c r="LG257" s="99"/>
      <c r="LH257" s="99"/>
      <c r="LI257" s="99"/>
      <c r="LJ257" s="99"/>
      <c r="LK257" s="99"/>
      <c r="LL257" s="99"/>
      <c r="LM257" s="99"/>
      <c r="LN257" s="99"/>
      <c r="LO257" s="99"/>
      <c r="LP257" s="99"/>
      <c r="LQ257" s="99"/>
      <c r="LR257" s="99"/>
      <c r="LS257" s="99"/>
      <c r="LT257" s="99"/>
      <c r="LU257" s="99"/>
      <c r="LV257" s="99"/>
      <c r="LW257" s="99"/>
      <c r="LX257" s="99"/>
      <c r="LY257" s="99"/>
      <c r="LZ257" s="99"/>
      <c r="MA257" s="99"/>
      <c r="MB257" s="99"/>
      <c r="MC257" s="99"/>
      <c r="MD257" s="99"/>
      <c r="ME257" s="99"/>
      <c r="MF257" s="99"/>
    </row>
    <row r="258" spans="1:344" ht="17.25" customHeight="1" x14ac:dyDescent="0.25">
      <c r="A258" s="156"/>
      <c r="B258" s="81" t="s">
        <v>3</v>
      </c>
      <c r="C258" s="82">
        <v>45392</v>
      </c>
      <c r="D258" s="49"/>
      <c r="G258" s="89">
        <f t="shared" si="373"/>
        <v>0</v>
      </c>
      <c r="H258" s="35">
        <f t="shared" si="374"/>
        <v>0</v>
      </c>
      <c r="I258" s="39"/>
      <c r="L258" s="89">
        <f t="shared" si="375"/>
        <v>0</v>
      </c>
      <c r="M258" s="35">
        <f t="shared" si="392"/>
        <v>0</v>
      </c>
      <c r="N258" s="35">
        <f t="shared" si="393"/>
        <v>0</v>
      </c>
      <c r="O258" s="97" t="e">
        <f>SUM($Z258,$BH258,$AQ258,$BY258,$CP258,$DG258,$DX258,$EO258,$FF258,$FW258,$GN258)/D258</f>
        <v>#DIV/0!</v>
      </c>
      <c r="P258" s="150"/>
      <c r="Q258" s="132">
        <f t="shared" si="457"/>
        <v>0</v>
      </c>
      <c r="R258" s="134">
        <f t="shared" si="453"/>
        <v>0</v>
      </c>
      <c r="S258" s="136">
        <f t="shared" si="454"/>
        <v>0</v>
      </c>
      <c r="T258" s="138">
        <f t="shared" si="455"/>
        <v>0</v>
      </c>
      <c r="U258" s="144">
        <f t="shared" si="456"/>
        <v>0</v>
      </c>
      <c r="W258" s="11">
        <v>0</v>
      </c>
      <c r="X258" s="1">
        <v>0</v>
      </c>
      <c r="Y258" s="35">
        <f t="shared" si="376"/>
        <v>0</v>
      </c>
      <c r="Z258" s="35">
        <f t="shared" si="394"/>
        <v>0</v>
      </c>
      <c r="AA258" s="15">
        <f t="shared" si="407"/>
        <v>7.8721101920385666E-9</v>
      </c>
      <c r="AB258" s="43">
        <f t="shared" si="451"/>
        <v>8.9457914365984151E-9</v>
      </c>
      <c r="AC258" s="43">
        <f t="shared" si="452"/>
        <v>1.1363905253315321</v>
      </c>
      <c r="AD258" s="33"/>
      <c r="AH258" s="31"/>
      <c r="AP258" s="35">
        <f t="shared" si="377"/>
        <v>0</v>
      </c>
      <c r="AQ258" s="35">
        <f t="shared" si="395"/>
        <v>0</v>
      </c>
      <c r="AR258" s="15">
        <f t="shared" si="408"/>
        <v>2.3772993646583613E-6</v>
      </c>
      <c r="AS258" s="28">
        <f t="shared" si="409"/>
        <v>1.8651427644979576E-5</v>
      </c>
      <c r="AT258" s="28">
        <f t="shared" si="410"/>
        <v>7.8456369114707387</v>
      </c>
      <c r="AU258" s="33"/>
      <c r="AY258" s="31"/>
      <c r="BG258" s="35">
        <f t="shared" si="378"/>
        <v>0</v>
      </c>
      <c r="BH258" s="35">
        <f t="shared" si="396"/>
        <v>0</v>
      </c>
      <c r="BI258" s="15">
        <f t="shared" si="411"/>
        <v>3.2741143857491808E-6</v>
      </c>
      <c r="BJ258" s="28">
        <f t="shared" si="412"/>
        <v>2.8652384839558241E-5</v>
      </c>
      <c r="BK258" s="28">
        <f t="shared" si="413"/>
        <v>8.7511862640687852</v>
      </c>
      <c r="BL258" s="33"/>
      <c r="BP258" s="31"/>
      <c r="BX258" s="35">
        <f t="shared" si="379"/>
        <v>0</v>
      </c>
      <c r="BY258" s="35">
        <f t="shared" si="397"/>
        <v>0</v>
      </c>
      <c r="BZ258" s="15">
        <f t="shared" si="414"/>
        <v>2.4895285452297057E-6</v>
      </c>
      <c r="CA258" s="28">
        <f t="shared" si="415"/>
        <v>1.7806092048172885E-5</v>
      </c>
      <c r="CB258" s="28">
        <f t="shared" si="416"/>
        <v>7.1523952124557537</v>
      </c>
      <c r="CC258" s="33"/>
      <c r="CG258" s="31"/>
      <c r="CO258" s="35">
        <f t="shared" si="380"/>
        <v>0</v>
      </c>
      <c r="CP258" s="35">
        <f t="shared" si="398"/>
        <v>0</v>
      </c>
      <c r="CQ258" s="15">
        <f t="shared" si="417"/>
        <v>2.7275950754143799E-6</v>
      </c>
      <c r="CR258" s="28">
        <f t="shared" si="418"/>
        <v>2.3042077157230624E-5</v>
      </c>
      <c r="CS258" s="28">
        <f t="shared" si="419"/>
        <v>8.4477631467090255</v>
      </c>
      <c r="CT258" s="33"/>
      <c r="CX258" s="31"/>
      <c r="DF258" s="35">
        <f t="shared" si="381"/>
        <v>0</v>
      </c>
      <c r="DG258" s="35">
        <f t="shared" si="399"/>
        <v>0</v>
      </c>
      <c r="DH258" s="15">
        <f t="shared" si="420"/>
        <v>2.6529733348535262E-6</v>
      </c>
      <c r="DI258" s="28">
        <f t="shared" si="421"/>
        <v>1.4000881404265681E-5</v>
      </c>
      <c r="DJ258" s="28">
        <f t="shared" si="422"/>
        <v>5.2774301272947719</v>
      </c>
      <c r="DK258" s="33"/>
      <c r="DO258" s="31"/>
      <c r="DW258" s="35">
        <f t="shared" si="382"/>
        <v>0</v>
      </c>
      <c r="DX258" s="35">
        <f t="shared" si="400"/>
        <v>0</v>
      </c>
      <c r="DY258" s="15">
        <f t="shared" si="423"/>
        <v>2.7467595409547542E-6</v>
      </c>
      <c r="DZ258" s="28">
        <f t="shared" si="424"/>
        <v>1.3669082583886829E-5</v>
      </c>
      <c r="EA258" s="28">
        <f t="shared" si="425"/>
        <v>4.9764394662430309</v>
      </c>
      <c r="EB258" s="33"/>
      <c r="EF258" s="31"/>
      <c r="EN258" s="35">
        <f t="shared" si="383"/>
        <v>0</v>
      </c>
      <c r="EO258" s="35">
        <f t="shared" si="401"/>
        <v>0</v>
      </c>
      <c r="EP258" s="15">
        <f t="shared" si="426"/>
        <v>2.932672791945459E-6</v>
      </c>
      <c r="EQ258" s="28">
        <f t="shared" si="427"/>
        <v>2.6859050869649254E-5</v>
      </c>
      <c r="ER258" s="28">
        <f t="shared" si="428"/>
        <v>9.1585569803140761</v>
      </c>
      <c r="ES258" s="33"/>
      <c r="EW258" s="31"/>
      <c r="FE258" s="35">
        <f t="shared" si="384"/>
        <v>0</v>
      </c>
      <c r="FF258" s="35">
        <f t="shared" si="402"/>
        <v>0</v>
      </c>
      <c r="FG258" s="15">
        <f t="shared" si="429"/>
        <v>2.8332703618985224E-6</v>
      </c>
      <c r="FH258" s="28">
        <f t="shared" si="430"/>
        <v>2.4586988597080813E-5</v>
      </c>
      <c r="FI258" s="28">
        <f t="shared" si="431"/>
        <v>8.6779535506825134</v>
      </c>
      <c r="FJ258" s="33"/>
      <c r="FN258" s="31"/>
      <c r="FV258" s="35">
        <f t="shared" si="385"/>
        <v>0</v>
      </c>
      <c r="FW258" s="35">
        <f t="shared" si="403"/>
        <v>0</v>
      </c>
      <c r="FX258" s="15">
        <f t="shared" si="432"/>
        <v>2.6672175969680891E-6</v>
      </c>
      <c r="FY258" s="28">
        <f t="shared" si="433"/>
        <v>2.4619382048789878E-5</v>
      </c>
      <c r="FZ258" s="28">
        <f t="shared" si="434"/>
        <v>9.2303612861490976</v>
      </c>
      <c r="GA258" s="33"/>
      <c r="GE258" s="31"/>
      <c r="GM258" s="35">
        <f t="shared" si="386"/>
        <v>0</v>
      </c>
      <c r="GN258" s="35">
        <f t="shared" si="404"/>
        <v>0</v>
      </c>
      <c r="GO258" s="15">
        <f t="shared" si="435"/>
        <v>2.7561344952872747E-6</v>
      </c>
      <c r="GP258" s="28">
        <f t="shared" si="436"/>
        <v>2.537295094535153E-5</v>
      </c>
      <c r="GQ258" s="28">
        <f t="shared" si="437"/>
        <v>9.2059915757873352</v>
      </c>
      <c r="GR258" s="33"/>
      <c r="GV258" s="31"/>
      <c r="HD258" s="35">
        <f t="shared" si="387"/>
        <v>0</v>
      </c>
      <c r="HE258" s="35">
        <f t="shared" si="405"/>
        <v>0</v>
      </c>
      <c r="HF258" s="15">
        <f t="shared" si="438"/>
        <v>3.8825798357991228E-6</v>
      </c>
      <c r="HG258" s="28">
        <f t="shared" si="439"/>
        <v>1.840459827266174E-5</v>
      </c>
      <c r="HH258" s="28">
        <f t="shared" si="440"/>
        <v>4.7403013076416638</v>
      </c>
      <c r="HI258" s="33"/>
      <c r="HM258" s="31"/>
      <c r="HU258" s="35">
        <f t="shared" si="388"/>
        <v>0</v>
      </c>
      <c r="HV258" s="35">
        <f t="shared" si="406"/>
        <v>0</v>
      </c>
      <c r="HW258" s="15">
        <f t="shared" si="441"/>
        <v>8.9636557122942854E-15</v>
      </c>
      <c r="HX258" s="28">
        <f t="shared" si="442"/>
        <v>6.468055470811251E-18</v>
      </c>
      <c r="HY258" s="28">
        <f t="shared" si="443"/>
        <v>7.2158678093133997E-4</v>
      </c>
      <c r="HZ258" s="33"/>
      <c r="ID258" s="31"/>
      <c r="II258" s="12"/>
      <c r="IL258" s="35">
        <f t="shared" si="389"/>
        <v>0</v>
      </c>
      <c r="IM258" s="35">
        <f t="shared" si="390"/>
        <v>35.762054755232597</v>
      </c>
      <c r="IN258" s="15">
        <f t="shared" si="444"/>
        <v>8.8334115597691272E-7</v>
      </c>
      <c r="IO258" s="28">
        <f t="shared" si="445"/>
        <v>4.7840704440049992E-7</v>
      </c>
      <c r="IP258" s="28">
        <f t="shared" si="446"/>
        <v>0.54158808424522642</v>
      </c>
      <c r="IQ258" s="33"/>
      <c r="IU258" s="31"/>
      <c r="JC258" s="35">
        <f t="shared" si="458"/>
        <v>0</v>
      </c>
      <c r="JD258" s="35">
        <f t="shared" si="391"/>
        <v>42.23891608463898</v>
      </c>
      <c r="JE258" s="15">
        <f t="shared" si="447"/>
        <v>1.0667059381675294E-6</v>
      </c>
      <c r="JF258" s="28">
        <f t="shared" si="448"/>
        <v>6.1061657278835485E-7</v>
      </c>
      <c r="JG258" s="28">
        <f t="shared" si="449"/>
        <v>0.57243196174319566</v>
      </c>
      <c r="JH258" s="33"/>
      <c r="JL258" s="31"/>
      <c r="JR258" s="99"/>
      <c r="JS258" s="99"/>
      <c r="JT258" s="99"/>
      <c r="JU258" s="99"/>
      <c r="JV258" s="99"/>
      <c r="JW258" s="99"/>
      <c r="JX258" s="99"/>
      <c r="JY258" s="99"/>
      <c r="JZ258" s="99"/>
      <c r="KA258" s="99"/>
      <c r="KB258" s="99"/>
      <c r="KC258" s="99"/>
      <c r="KD258" s="99"/>
      <c r="KE258" s="99"/>
      <c r="KF258" s="99"/>
      <c r="KG258" s="99"/>
      <c r="KH258" s="99"/>
      <c r="KI258" s="99"/>
      <c r="KJ258" s="99"/>
      <c r="KK258" s="99"/>
      <c r="KL258" s="99"/>
      <c r="KM258" s="99"/>
      <c r="KN258" s="99"/>
      <c r="KO258" s="99"/>
      <c r="KP258" s="99"/>
      <c r="KQ258" s="99"/>
      <c r="KR258" s="99"/>
      <c r="KS258" s="99"/>
      <c r="KT258" s="99"/>
      <c r="KU258" s="99"/>
      <c r="KV258" s="99"/>
      <c r="KW258" s="99"/>
      <c r="KX258" s="99"/>
      <c r="KY258" s="99"/>
      <c r="KZ258" s="99"/>
      <c r="LA258" s="99"/>
      <c r="LB258" s="99"/>
      <c r="LC258" s="99"/>
      <c r="LD258" s="99"/>
      <c r="LE258" s="99"/>
      <c r="LF258" s="99"/>
      <c r="LG258" s="99"/>
      <c r="LH258" s="99"/>
      <c r="LI258" s="99"/>
      <c r="LJ258" s="99"/>
      <c r="LK258" s="99"/>
      <c r="LL258" s="99"/>
      <c r="LM258" s="99"/>
      <c r="LN258" s="99"/>
      <c r="LO258" s="99"/>
      <c r="LP258" s="99"/>
      <c r="LQ258" s="99"/>
      <c r="LR258" s="99"/>
      <c r="LS258" s="99"/>
      <c r="LT258" s="99"/>
      <c r="LU258" s="99"/>
      <c r="LV258" s="99"/>
      <c r="LW258" s="99"/>
      <c r="LX258" s="99"/>
      <c r="LY258" s="99"/>
      <c r="LZ258" s="99"/>
      <c r="MA258" s="99"/>
      <c r="MB258" s="99"/>
      <c r="MC258" s="99"/>
      <c r="MD258" s="99"/>
      <c r="ME258" s="99"/>
      <c r="MF258" s="99"/>
    </row>
    <row r="259" spans="1:344" ht="17.25" customHeight="1" x14ac:dyDescent="0.25">
      <c r="A259" s="156"/>
      <c r="B259" s="81" t="s">
        <v>4</v>
      </c>
      <c r="C259" s="82">
        <v>45393</v>
      </c>
      <c r="D259" s="49"/>
      <c r="G259" s="89">
        <f t="shared" si="373"/>
        <v>0</v>
      </c>
      <c r="H259" s="35">
        <f t="shared" si="374"/>
        <v>0</v>
      </c>
      <c r="I259" s="39"/>
      <c r="L259" s="89">
        <f t="shared" si="375"/>
        <v>0</v>
      </c>
      <c r="M259" s="35">
        <f t="shared" si="392"/>
        <v>0</v>
      </c>
      <c r="N259" s="35">
        <f t="shared" si="393"/>
        <v>0</v>
      </c>
      <c r="O259" s="97" t="e">
        <f>SUM($Z259,$BH259,$AQ259,$BY259,$CP259,$DG259,$DX259,$EO259,$FF259,$FW259,$GN259)/D259</f>
        <v>#DIV/0!</v>
      </c>
      <c r="P259" s="150"/>
      <c r="Q259" s="132">
        <f t="shared" si="457"/>
        <v>0</v>
      </c>
      <c r="R259" s="134">
        <f t="shared" si="453"/>
        <v>0</v>
      </c>
      <c r="S259" s="136">
        <f t="shared" si="454"/>
        <v>0</v>
      </c>
      <c r="T259" s="138">
        <f t="shared" si="455"/>
        <v>0</v>
      </c>
      <c r="U259" s="144">
        <f t="shared" si="456"/>
        <v>0</v>
      </c>
      <c r="W259" s="11">
        <v>0</v>
      </c>
      <c r="X259" s="1">
        <v>0</v>
      </c>
      <c r="Y259" s="35">
        <f t="shared" si="376"/>
        <v>0</v>
      </c>
      <c r="Z259" s="35">
        <f t="shared" si="394"/>
        <v>0</v>
      </c>
      <c r="AA259" s="15">
        <f t="shared" si="407"/>
        <v>6.341422099142179E-9</v>
      </c>
      <c r="AB259" s="43">
        <f t="shared" si="451"/>
        <v>6.7093435774488109E-9</v>
      </c>
      <c r="AC259" s="43">
        <f t="shared" si="452"/>
        <v>1.0580187649638402</v>
      </c>
      <c r="AD259" s="33"/>
      <c r="AH259" s="31"/>
      <c r="AP259" s="35">
        <f t="shared" si="377"/>
        <v>0</v>
      </c>
      <c r="AQ259" s="35">
        <f t="shared" si="395"/>
        <v>0</v>
      </c>
      <c r="AR259" s="15">
        <f t="shared" si="408"/>
        <v>1.9150467104192357E-6</v>
      </c>
      <c r="AS259" s="28">
        <f t="shared" si="409"/>
        <v>1.3988570733734682E-5</v>
      </c>
      <c r="AT259" s="28">
        <f t="shared" si="410"/>
        <v>7.3045585037831016</v>
      </c>
      <c r="AU259" s="33"/>
      <c r="AY259" s="31"/>
      <c r="BG259" s="35">
        <f t="shared" si="378"/>
        <v>0</v>
      </c>
      <c r="BH259" s="35">
        <f t="shared" si="396"/>
        <v>0</v>
      </c>
      <c r="BI259" s="15">
        <f t="shared" si="411"/>
        <v>2.6374810329646176E-6</v>
      </c>
      <c r="BJ259" s="28">
        <f t="shared" si="412"/>
        <v>2.1489288629668679E-5</v>
      </c>
      <c r="BK259" s="28">
        <f t="shared" si="413"/>
        <v>8.147656176891628</v>
      </c>
      <c r="BL259" s="33"/>
      <c r="BP259" s="31"/>
      <c r="BX259" s="35">
        <f t="shared" si="379"/>
        <v>0</v>
      </c>
      <c r="BY259" s="35">
        <f t="shared" si="397"/>
        <v>0</v>
      </c>
      <c r="BZ259" s="15">
        <f t="shared" si="414"/>
        <v>2.0054535503239295E-6</v>
      </c>
      <c r="CA259" s="28">
        <f t="shared" si="415"/>
        <v>1.3354569036129663E-5</v>
      </c>
      <c r="CB259" s="28">
        <f t="shared" si="416"/>
        <v>6.6591265771139776</v>
      </c>
      <c r="CC259" s="33"/>
      <c r="CG259" s="31"/>
      <c r="CO259" s="35">
        <f t="shared" si="380"/>
        <v>0</v>
      </c>
      <c r="CP259" s="35">
        <f t="shared" si="398"/>
        <v>0</v>
      </c>
      <c r="CQ259" s="15">
        <f t="shared" si="417"/>
        <v>2.1972293663060283E-6</v>
      </c>
      <c r="CR259" s="28">
        <f t="shared" si="418"/>
        <v>1.7281557867922968E-5</v>
      </c>
      <c r="CS259" s="28">
        <f t="shared" si="419"/>
        <v>7.8651587917635757</v>
      </c>
      <c r="CT259" s="33"/>
      <c r="CX259" s="31"/>
      <c r="DF259" s="35">
        <f t="shared" si="381"/>
        <v>0</v>
      </c>
      <c r="DG259" s="35">
        <f t="shared" si="399"/>
        <v>0</v>
      </c>
      <c r="DH259" s="15">
        <f t="shared" si="420"/>
        <v>2.1371174086320076E-6</v>
      </c>
      <c r="DI259" s="28">
        <f t="shared" si="421"/>
        <v>1.050066105319926E-5</v>
      </c>
      <c r="DJ259" s="28">
        <f t="shared" si="422"/>
        <v>4.9134694288606493</v>
      </c>
      <c r="DK259" s="33"/>
      <c r="DO259" s="31"/>
      <c r="DW259" s="35">
        <f t="shared" si="382"/>
        <v>0</v>
      </c>
      <c r="DX259" s="35">
        <f t="shared" si="400"/>
        <v>0</v>
      </c>
      <c r="DY259" s="15">
        <f t="shared" si="423"/>
        <v>2.2126674079913297E-6</v>
      </c>
      <c r="DZ259" s="28">
        <f t="shared" si="424"/>
        <v>1.0251811937915123E-5</v>
      </c>
      <c r="EA259" s="28">
        <f t="shared" si="425"/>
        <v>4.6332367444331668</v>
      </c>
      <c r="EB259" s="33"/>
      <c r="EF259" s="31"/>
      <c r="EN259" s="35">
        <f t="shared" si="383"/>
        <v>0</v>
      </c>
      <c r="EO259" s="35">
        <f t="shared" si="401"/>
        <v>0</v>
      </c>
      <c r="EP259" s="15">
        <f t="shared" si="426"/>
        <v>2.3624308601782862E-6</v>
      </c>
      <c r="EQ259" s="28">
        <f t="shared" si="427"/>
        <v>2.014428815223694E-5</v>
      </c>
      <c r="ER259" s="28">
        <f t="shared" si="428"/>
        <v>8.5269323609820713</v>
      </c>
      <c r="ES259" s="33"/>
      <c r="EW259" s="31"/>
      <c r="FE259" s="35">
        <f t="shared" si="384"/>
        <v>0</v>
      </c>
      <c r="FF259" s="35">
        <f t="shared" si="402"/>
        <v>0</v>
      </c>
      <c r="FG259" s="15">
        <f t="shared" si="429"/>
        <v>2.2823566804182542E-6</v>
      </c>
      <c r="FH259" s="28">
        <f t="shared" si="430"/>
        <v>1.8440241447810611E-5</v>
      </c>
      <c r="FI259" s="28">
        <f t="shared" si="431"/>
        <v>8.0794739954630295</v>
      </c>
      <c r="FJ259" s="33"/>
      <c r="FN259" s="31"/>
      <c r="FV259" s="35">
        <f t="shared" si="385"/>
        <v>0</v>
      </c>
      <c r="FW259" s="35">
        <f t="shared" si="403"/>
        <v>0</v>
      </c>
      <c r="FX259" s="15">
        <f t="shared" si="432"/>
        <v>2.1485919531131831E-6</v>
      </c>
      <c r="FY259" s="28">
        <f t="shared" si="433"/>
        <v>1.8464536536592408E-5</v>
      </c>
      <c r="FZ259" s="28">
        <f t="shared" si="434"/>
        <v>8.5937846457250213</v>
      </c>
      <c r="GA259" s="33"/>
      <c r="GE259" s="31"/>
      <c r="GM259" s="35">
        <f t="shared" si="386"/>
        <v>0</v>
      </c>
      <c r="GN259" s="35">
        <f t="shared" si="404"/>
        <v>0</v>
      </c>
      <c r="GO259" s="15">
        <f t="shared" si="435"/>
        <v>2.2202194545369714E-6</v>
      </c>
      <c r="GP259" s="28">
        <f t="shared" si="436"/>
        <v>1.9029713209013647E-5</v>
      </c>
      <c r="GQ259" s="28">
        <f t="shared" si="437"/>
        <v>8.5710956050433804</v>
      </c>
      <c r="GR259" s="33"/>
      <c r="GV259" s="31"/>
      <c r="HD259" s="35">
        <f t="shared" si="387"/>
        <v>0</v>
      </c>
      <c r="HE259" s="35">
        <f t="shared" si="405"/>
        <v>0</v>
      </c>
      <c r="HF259" s="15">
        <f t="shared" si="438"/>
        <v>3.1276337566159606E-6</v>
      </c>
      <c r="HG259" s="28">
        <f t="shared" si="439"/>
        <v>1.3803448704496305E-5</v>
      </c>
      <c r="HH259" s="28">
        <f t="shared" si="440"/>
        <v>4.4133839760801692</v>
      </c>
      <c r="HI259" s="33"/>
      <c r="HM259" s="31"/>
      <c r="HU259" s="35">
        <f t="shared" si="388"/>
        <v>0</v>
      </c>
      <c r="HV259" s="35">
        <f t="shared" si="406"/>
        <v>0</v>
      </c>
      <c r="HW259" s="15">
        <f t="shared" si="441"/>
        <v>7.2207226571259532E-15</v>
      </c>
      <c r="HX259" s="28">
        <f t="shared" si="442"/>
        <v>4.8510416031084379E-18</v>
      </c>
      <c r="HY259" s="28">
        <f t="shared" si="443"/>
        <v>6.7182217534986818E-4</v>
      </c>
      <c r="HZ259" s="33"/>
      <c r="ID259" s="31"/>
      <c r="II259" s="12"/>
      <c r="IL259" s="35">
        <f t="shared" si="389"/>
        <v>0</v>
      </c>
      <c r="IM259" s="35">
        <f t="shared" si="390"/>
        <v>33.295692320206683</v>
      </c>
      <c r="IN259" s="15">
        <f t="shared" si="444"/>
        <v>7.1158037564806867E-7</v>
      </c>
      <c r="IO259" s="28">
        <f t="shared" si="445"/>
        <v>3.5880528330037494E-7</v>
      </c>
      <c r="IP259" s="28">
        <f t="shared" si="446"/>
        <v>0.50423718188348665</v>
      </c>
      <c r="IQ259" s="33"/>
      <c r="IU259" s="31"/>
      <c r="JC259" s="35">
        <f t="shared" si="458"/>
        <v>0</v>
      </c>
      <c r="JD259" s="35">
        <f t="shared" si="391"/>
        <v>39.325869676737447</v>
      </c>
      <c r="JE259" s="15">
        <f t="shared" si="447"/>
        <v>8.5929089463495419E-7</v>
      </c>
      <c r="JF259" s="28">
        <f t="shared" si="448"/>
        <v>4.5796242959126614E-7</v>
      </c>
      <c r="JG259" s="28">
        <f t="shared" si="449"/>
        <v>0.53295389541607874</v>
      </c>
      <c r="JH259" s="33"/>
      <c r="JL259" s="31"/>
      <c r="JR259" s="99"/>
      <c r="JS259" s="99"/>
      <c r="JT259" s="99"/>
      <c r="JU259" s="99"/>
      <c r="JV259" s="99"/>
      <c r="JW259" s="99"/>
      <c r="JX259" s="99"/>
      <c r="JY259" s="99"/>
      <c r="JZ259" s="99"/>
      <c r="KA259" s="99"/>
      <c r="KB259" s="99"/>
      <c r="KC259" s="99"/>
      <c r="KD259" s="99"/>
      <c r="KE259" s="99"/>
      <c r="KF259" s="99"/>
      <c r="KG259" s="99"/>
      <c r="KH259" s="99"/>
      <c r="KI259" s="99"/>
      <c r="KJ259" s="99"/>
      <c r="KK259" s="99"/>
      <c r="KL259" s="99"/>
      <c r="KM259" s="99"/>
      <c r="KN259" s="99"/>
      <c r="KO259" s="99"/>
      <c r="KP259" s="99"/>
      <c r="KQ259" s="99"/>
      <c r="KR259" s="99"/>
      <c r="KS259" s="99"/>
      <c r="KT259" s="99"/>
      <c r="KU259" s="99"/>
      <c r="KV259" s="99"/>
      <c r="KW259" s="99"/>
      <c r="KX259" s="99"/>
      <c r="KY259" s="99"/>
      <c r="KZ259" s="99"/>
      <c r="LA259" s="99"/>
      <c r="LB259" s="99"/>
      <c r="LC259" s="99"/>
      <c r="LD259" s="99"/>
      <c r="LE259" s="99"/>
      <c r="LF259" s="99"/>
      <c r="LG259" s="99"/>
      <c r="LH259" s="99"/>
      <c r="LI259" s="99"/>
      <c r="LJ259" s="99"/>
      <c r="LK259" s="99"/>
      <c r="LL259" s="99"/>
      <c r="LM259" s="99"/>
      <c r="LN259" s="99"/>
      <c r="LO259" s="99"/>
      <c r="LP259" s="99"/>
      <c r="LQ259" s="99"/>
      <c r="LR259" s="99"/>
      <c r="LS259" s="99"/>
      <c r="LT259" s="99"/>
      <c r="LU259" s="99"/>
      <c r="LV259" s="99"/>
      <c r="LW259" s="99"/>
      <c r="LX259" s="99"/>
      <c r="LY259" s="99"/>
      <c r="LZ259" s="99"/>
      <c r="MA259" s="99"/>
      <c r="MB259" s="99"/>
      <c r="MC259" s="99"/>
      <c r="MD259" s="99"/>
      <c r="ME259" s="99"/>
      <c r="MF259" s="99"/>
    </row>
    <row r="260" spans="1:344" ht="17.25" customHeight="1" x14ac:dyDescent="0.25">
      <c r="A260" s="156"/>
      <c r="B260" s="81" t="s">
        <v>5</v>
      </c>
      <c r="C260" s="82">
        <v>45394</v>
      </c>
      <c r="D260" s="49"/>
      <c r="G260" s="89">
        <f t="shared" si="373"/>
        <v>0</v>
      </c>
      <c r="H260" s="35">
        <f t="shared" si="374"/>
        <v>0</v>
      </c>
      <c r="I260" s="39"/>
      <c r="L260" s="89">
        <f t="shared" si="375"/>
        <v>0</v>
      </c>
      <c r="M260" s="35">
        <f t="shared" si="392"/>
        <v>0</v>
      </c>
      <c r="N260" s="35">
        <f t="shared" si="393"/>
        <v>0</v>
      </c>
      <c r="O260" s="97" t="e">
        <f>SUM($Z260,$BH260,$AQ260,$BY260,$CP260,$DG260,$DX260,$EO260,$FF260,$FW260,$GN260)/D260</f>
        <v>#DIV/0!</v>
      </c>
      <c r="P260" s="150"/>
      <c r="Q260" s="132">
        <f t="shared" si="457"/>
        <v>0</v>
      </c>
      <c r="R260" s="134">
        <f t="shared" si="453"/>
        <v>0</v>
      </c>
      <c r="S260" s="136">
        <f t="shared" si="454"/>
        <v>0</v>
      </c>
      <c r="T260" s="138">
        <f t="shared" si="455"/>
        <v>0</v>
      </c>
      <c r="U260" s="144">
        <f t="shared" si="456"/>
        <v>0</v>
      </c>
      <c r="W260" s="11">
        <v>0</v>
      </c>
      <c r="X260" s="1">
        <v>0</v>
      </c>
      <c r="Y260" s="35">
        <f t="shared" si="376"/>
        <v>0</v>
      </c>
      <c r="Z260" s="35">
        <f t="shared" si="394"/>
        <v>0</v>
      </c>
      <c r="AA260" s="15">
        <f t="shared" si="407"/>
        <v>5.1083678020867558E-9</v>
      </c>
      <c r="AB260" s="43">
        <f t="shared" si="451"/>
        <v>5.0320076830866082E-9</v>
      </c>
      <c r="AC260" s="43">
        <f t="shared" si="452"/>
        <v>0.98505195358702358</v>
      </c>
      <c r="AD260" s="33"/>
      <c r="AH260" s="31"/>
      <c r="AP260" s="35">
        <f t="shared" si="377"/>
        <v>0</v>
      </c>
      <c r="AQ260" s="35">
        <f t="shared" si="395"/>
        <v>0</v>
      </c>
      <c r="AR260" s="15">
        <f t="shared" si="408"/>
        <v>1.5426765167266065E-6</v>
      </c>
      <c r="AS260" s="28">
        <f t="shared" si="409"/>
        <v>1.0491428050301012E-5</v>
      </c>
      <c r="AT260" s="28">
        <f t="shared" si="410"/>
        <v>6.8007958483497841</v>
      </c>
      <c r="AU260" s="33"/>
      <c r="AY260" s="31"/>
      <c r="BG260" s="35">
        <f t="shared" si="378"/>
        <v>0</v>
      </c>
      <c r="BH260" s="35">
        <f t="shared" si="396"/>
        <v>0</v>
      </c>
      <c r="BI260" s="15">
        <f t="shared" si="411"/>
        <v>2.124637498777053E-6</v>
      </c>
      <c r="BJ260" s="28">
        <f t="shared" si="412"/>
        <v>1.6116966472251509E-5</v>
      </c>
      <c r="BK260" s="28">
        <f t="shared" si="413"/>
        <v>7.5857488543473774</v>
      </c>
      <c r="BL260" s="33"/>
      <c r="BP260" s="31"/>
      <c r="BX260" s="35">
        <f t="shared" si="379"/>
        <v>0</v>
      </c>
      <c r="BY260" s="35">
        <f t="shared" si="397"/>
        <v>0</v>
      </c>
      <c r="BZ260" s="15">
        <f t="shared" si="414"/>
        <v>1.6155042488720541E-6</v>
      </c>
      <c r="CA260" s="28">
        <f t="shared" si="415"/>
        <v>1.0015926777097246E-5</v>
      </c>
      <c r="CB260" s="28">
        <f t="shared" si="416"/>
        <v>6.1998764683474965</v>
      </c>
      <c r="CC260" s="33"/>
      <c r="CG260" s="31"/>
      <c r="CO260" s="35">
        <f t="shared" si="380"/>
        <v>0</v>
      </c>
      <c r="CP260" s="35">
        <f t="shared" si="398"/>
        <v>0</v>
      </c>
      <c r="CQ260" s="15">
        <f t="shared" si="417"/>
        <v>1.7699903228576338E-6</v>
      </c>
      <c r="CR260" s="28">
        <f t="shared" si="418"/>
        <v>1.2961168400942225E-5</v>
      </c>
      <c r="CS260" s="28">
        <f t="shared" si="419"/>
        <v>7.3227340475040181</v>
      </c>
      <c r="CT260" s="33"/>
      <c r="CX260" s="31"/>
      <c r="DF260" s="35">
        <f t="shared" si="381"/>
        <v>0</v>
      </c>
      <c r="DG260" s="35">
        <f t="shared" si="399"/>
        <v>0</v>
      </c>
      <c r="DH260" s="15">
        <f t="shared" si="420"/>
        <v>1.7215668013980063E-6</v>
      </c>
      <c r="DI260" s="28">
        <f t="shared" si="421"/>
        <v>7.8754957898994458E-6</v>
      </c>
      <c r="DJ260" s="28">
        <f t="shared" si="422"/>
        <v>4.5746094682495695</v>
      </c>
      <c r="DK260" s="33"/>
      <c r="DO260" s="31"/>
      <c r="DW260" s="35">
        <f t="shared" si="382"/>
        <v>0</v>
      </c>
      <c r="DX260" s="35">
        <f t="shared" si="400"/>
        <v>0</v>
      </c>
      <c r="DY260" s="15">
        <f t="shared" si="423"/>
        <v>1.7824265231041269E-6</v>
      </c>
      <c r="DZ260" s="28">
        <f t="shared" si="424"/>
        <v>7.6888589534363421E-6</v>
      </c>
      <c r="EA260" s="28">
        <f t="shared" si="425"/>
        <v>4.3137031758515691</v>
      </c>
      <c r="EB260" s="33"/>
      <c r="EF260" s="31"/>
      <c r="EN260" s="35">
        <f t="shared" si="383"/>
        <v>0</v>
      </c>
      <c r="EO260" s="35">
        <f t="shared" si="401"/>
        <v>0</v>
      </c>
      <c r="EP260" s="15">
        <f t="shared" si="426"/>
        <v>1.9030693040325086E-6</v>
      </c>
      <c r="EQ260" s="28">
        <f t="shared" si="427"/>
        <v>1.5108216114177706E-5</v>
      </c>
      <c r="ER260" s="28">
        <f t="shared" si="428"/>
        <v>7.9388680602246868</v>
      </c>
      <c r="ES260" s="33"/>
      <c r="EW260" s="31"/>
      <c r="FE260" s="35">
        <f t="shared" si="384"/>
        <v>0</v>
      </c>
      <c r="FF260" s="35">
        <f t="shared" si="402"/>
        <v>0</v>
      </c>
      <c r="FG260" s="15">
        <f t="shared" si="429"/>
        <v>1.8385651036702606E-6</v>
      </c>
      <c r="FH260" s="28">
        <f t="shared" si="430"/>
        <v>1.3830181085857958E-5</v>
      </c>
      <c r="FI260" s="28">
        <f t="shared" si="431"/>
        <v>7.5222688923276477</v>
      </c>
      <c r="FJ260" s="33"/>
      <c r="FN260" s="31"/>
      <c r="FV260" s="35">
        <f t="shared" si="385"/>
        <v>0</v>
      </c>
      <c r="FW260" s="35">
        <f t="shared" si="403"/>
        <v>0</v>
      </c>
      <c r="FX260" s="15">
        <f t="shared" si="432"/>
        <v>1.7308101844522865E-6</v>
      </c>
      <c r="FY260" s="28">
        <f t="shared" si="433"/>
        <v>1.3848402402444306E-5</v>
      </c>
      <c r="FZ260" s="28">
        <f t="shared" si="434"/>
        <v>8.0011098425715712</v>
      </c>
      <c r="GA260" s="33"/>
      <c r="GE260" s="31"/>
      <c r="GM260" s="35">
        <f t="shared" si="386"/>
        <v>0</v>
      </c>
      <c r="GN260" s="35">
        <f t="shared" si="404"/>
        <v>0</v>
      </c>
      <c r="GO260" s="15">
        <f t="shared" si="435"/>
        <v>1.7885101161547825E-6</v>
      </c>
      <c r="GP260" s="28">
        <f t="shared" si="436"/>
        <v>1.4272284906760236E-5</v>
      </c>
      <c r="GQ260" s="28">
        <f t="shared" si="437"/>
        <v>7.9799855633162506</v>
      </c>
      <c r="GR260" s="33"/>
      <c r="GV260" s="31"/>
      <c r="HD260" s="35">
        <f t="shared" si="387"/>
        <v>0</v>
      </c>
      <c r="HE260" s="35">
        <f t="shared" si="405"/>
        <v>0</v>
      </c>
      <c r="HF260" s="15">
        <f t="shared" si="438"/>
        <v>2.5194827483850793E-6</v>
      </c>
      <c r="HG260" s="28">
        <f t="shared" si="439"/>
        <v>1.0352586528372229E-5</v>
      </c>
      <c r="HH260" s="28">
        <f t="shared" si="440"/>
        <v>4.1090126673849854</v>
      </c>
      <c r="HI260" s="33"/>
      <c r="HM260" s="31"/>
      <c r="HU260" s="35">
        <f t="shared" si="388"/>
        <v>0</v>
      </c>
      <c r="HV260" s="35">
        <f t="shared" si="406"/>
        <v>0</v>
      </c>
      <c r="HW260" s="15">
        <f t="shared" si="441"/>
        <v>5.8166932515736841E-15</v>
      </c>
      <c r="HX260" s="28">
        <f t="shared" si="442"/>
        <v>3.6382812023313284E-18</v>
      </c>
      <c r="HY260" s="28">
        <f t="shared" si="443"/>
        <v>6.2548961153263585E-4</v>
      </c>
      <c r="HZ260" s="33"/>
      <c r="ID260" s="31"/>
      <c r="II260" s="12"/>
      <c r="IL260" s="35">
        <f t="shared" si="389"/>
        <v>0</v>
      </c>
      <c r="IM260" s="35">
        <f t="shared" si="390"/>
        <v>30.999427251957339</v>
      </c>
      <c r="IN260" s="15">
        <f t="shared" si="444"/>
        <v>5.7321752482761081E-7</v>
      </c>
      <c r="IO260" s="28">
        <f t="shared" si="445"/>
        <v>2.6910396247528122E-7</v>
      </c>
      <c r="IP260" s="28">
        <f t="shared" si="446"/>
        <v>0.46946220382255655</v>
      </c>
      <c r="IQ260" s="33"/>
      <c r="IU260" s="31"/>
      <c r="JC260" s="35">
        <f t="shared" si="458"/>
        <v>0</v>
      </c>
      <c r="JD260" s="35">
        <f t="shared" si="391"/>
        <v>36.613727392164662</v>
      </c>
      <c r="JE260" s="15">
        <f t="shared" si="447"/>
        <v>6.9220655401149092E-7</v>
      </c>
      <c r="JF260" s="28">
        <f t="shared" si="448"/>
        <v>3.434718221934496E-7</v>
      </c>
      <c r="JG260" s="28">
        <f t="shared" si="449"/>
        <v>0.49619845435290089</v>
      </c>
      <c r="JH260" s="33"/>
      <c r="JL260" s="31"/>
      <c r="JR260" s="99"/>
      <c r="JS260" s="99"/>
      <c r="JT260" s="99"/>
      <c r="JU260" s="99"/>
      <c r="JV260" s="99"/>
      <c r="JW260" s="99"/>
      <c r="JX260" s="99"/>
      <c r="JY260" s="99"/>
      <c r="JZ260" s="99"/>
      <c r="KA260" s="99"/>
      <c r="KB260" s="99"/>
      <c r="KC260" s="99"/>
      <c r="KD260" s="99"/>
      <c r="KE260" s="99"/>
      <c r="KF260" s="99"/>
      <c r="KG260" s="99"/>
      <c r="KH260" s="99"/>
      <c r="KI260" s="99"/>
      <c r="KJ260" s="99"/>
      <c r="KK260" s="99"/>
      <c r="KL260" s="99"/>
      <c r="KM260" s="99"/>
      <c r="KN260" s="99"/>
      <c r="KO260" s="99"/>
      <c r="KP260" s="99"/>
      <c r="KQ260" s="99"/>
      <c r="KR260" s="99"/>
      <c r="KS260" s="99"/>
      <c r="KT260" s="99"/>
      <c r="KU260" s="99"/>
      <c r="KV260" s="99"/>
      <c r="KW260" s="99"/>
      <c r="KX260" s="99"/>
      <c r="KY260" s="99"/>
      <c r="KZ260" s="99"/>
      <c r="LA260" s="99"/>
      <c r="LB260" s="99"/>
      <c r="LC260" s="99"/>
      <c r="LD260" s="99"/>
      <c r="LE260" s="99"/>
      <c r="LF260" s="99"/>
      <c r="LG260" s="99"/>
      <c r="LH260" s="99"/>
      <c r="LI260" s="99"/>
      <c r="LJ260" s="99"/>
      <c r="LK260" s="99"/>
      <c r="LL260" s="99"/>
      <c r="LM260" s="99"/>
      <c r="LN260" s="99"/>
      <c r="LO260" s="99"/>
      <c r="LP260" s="99"/>
      <c r="LQ260" s="99"/>
      <c r="LR260" s="99"/>
      <c r="LS260" s="99"/>
      <c r="LT260" s="99"/>
      <c r="LU260" s="99"/>
      <c r="LV260" s="99"/>
      <c r="LW260" s="99"/>
      <c r="LX260" s="99"/>
      <c r="LY260" s="99"/>
      <c r="LZ260" s="99"/>
      <c r="MA260" s="99"/>
      <c r="MB260" s="99"/>
      <c r="MC260" s="99"/>
      <c r="MD260" s="99"/>
      <c r="ME260" s="99"/>
      <c r="MF260" s="99"/>
    </row>
    <row r="261" spans="1:344" ht="17.25" customHeight="1" x14ac:dyDescent="0.25">
      <c r="A261" s="156"/>
      <c r="B261" s="81" t="s">
        <v>6</v>
      </c>
      <c r="C261" s="82">
        <v>45395</v>
      </c>
      <c r="D261" s="49"/>
      <c r="G261" s="89">
        <f t="shared" si="373"/>
        <v>0</v>
      </c>
      <c r="H261" s="35">
        <f t="shared" si="374"/>
        <v>0</v>
      </c>
      <c r="I261" s="39"/>
      <c r="L261" s="89">
        <f t="shared" si="375"/>
        <v>0</v>
      </c>
      <c r="M261" s="35">
        <f t="shared" si="392"/>
        <v>0</v>
      </c>
      <c r="N261" s="35">
        <f t="shared" si="393"/>
        <v>0</v>
      </c>
      <c r="O261" s="97" t="e">
        <f>SUM($Z261,$BH261,$AQ261,$BY261,$CP261,$DG261,$DX261,$EO261,$FF261,$FW261,$GN261)/D261</f>
        <v>#DIV/0!</v>
      </c>
      <c r="P261" s="150"/>
      <c r="Q261" s="132">
        <f t="shared" si="457"/>
        <v>0</v>
      </c>
      <c r="R261" s="134">
        <f t="shared" si="453"/>
        <v>0</v>
      </c>
      <c r="S261" s="136">
        <f t="shared" si="454"/>
        <v>0</v>
      </c>
      <c r="T261" s="138">
        <f t="shared" si="455"/>
        <v>0</v>
      </c>
      <c r="U261" s="144">
        <f t="shared" si="456"/>
        <v>0</v>
      </c>
      <c r="W261" s="11">
        <v>0</v>
      </c>
      <c r="X261" s="1">
        <v>0</v>
      </c>
      <c r="Y261" s="35">
        <f t="shared" si="376"/>
        <v>0</v>
      </c>
      <c r="Z261" s="35">
        <f t="shared" si="394"/>
        <v>0</v>
      </c>
      <c r="AA261" s="15">
        <f t="shared" si="407"/>
        <v>4.1150740627921087E-9</v>
      </c>
      <c r="AB261" s="43">
        <f t="shared" si="451"/>
        <v>3.7740057623149564E-9</v>
      </c>
      <c r="AC261" s="43">
        <f t="shared" si="452"/>
        <v>0.91711733609826329</v>
      </c>
      <c r="AD261" s="33"/>
      <c r="AH261" s="31"/>
      <c r="AP261" s="35">
        <f t="shared" si="377"/>
        <v>0</v>
      </c>
      <c r="AQ261" s="35">
        <f t="shared" si="395"/>
        <v>0</v>
      </c>
      <c r="AR261" s="15">
        <f t="shared" si="408"/>
        <v>1.2427116384742108E-6</v>
      </c>
      <c r="AS261" s="28">
        <f t="shared" si="409"/>
        <v>7.8685710377257584E-6</v>
      </c>
      <c r="AT261" s="28">
        <f t="shared" si="410"/>
        <v>6.3317754450153156</v>
      </c>
      <c r="AU261" s="33"/>
      <c r="AY261" s="31"/>
      <c r="BG261" s="35">
        <f t="shared" si="378"/>
        <v>0</v>
      </c>
      <c r="BH261" s="35">
        <f t="shared" si="396"/>
        <v>0</v>
      </c>
      <c r="BI261" s="15">
        <f t="shared" si="411"/>
        <v>1.7115135406815151E-6</v>
      </c>
      <c r="BJ261" s="28">
        <f t="shared" si="412"/>
        <v>1.2087724854188633E-5</v>
      </c>
      <c r="BK261" s="28">
        <f t="shared" si="413"/>
        <v>7.0625937609441101</v>
      </c>
      <c r="BL261" s="33"/>
      <c r="BP261" s="31"/>
      <c r="BX261" s="35">
        <f t="shared" si="379"/>
        <v>0</v>
      </c>
      <c r="BY261" s="35">
        <f t="shared" si="397"/>
        <v>0</v>
      </c>
      <c r="BZ261" s="15">
        <f t="shared" si="414"/>
        <v>1.3013784227024881E-6</v>
      </c>
      <c r="CA261" s="28">
        <f t="shared" si="415"/>
        <v>7.5119450828229347E-6</v>
      </c>
      <c r="CB261" s="28">
        <f t="shared" si="416"/>
        <v>5.7722987808752553</v>
      </c>
      <c r="CC261" s="33"/>
      <c r="CG261" s="31"/>
      <c r="CO261" s="35">
        <f t="shared" si="380"/>
        <v>0</v>
      </c>
      <c r="CP261" s="35">
        <f t="shared" si="398"/>
        <v>0</v>
      </c>
      <c r="CQ261" s="15">
        <f t="shared" si="417"/>
        <v>1.4258255378575384E-6</v>
      </c>
      <c r="CR261" s="28">
        <f t="shared" si="418"/>
        <v>9.720876300706669E-6</v>
      </c>
      <c r="CS261" s="28">
        <f t="shared" si="419"/>
        <v>6.8177179062968447</v>
      </c>
      <c r="CT261" s="33"/>
      <c r="CX261" s="31"/>
      <c r="DF261" s="35">
        <f t="shared" si="381"/>
        <v>0</v>
      </c>
      <c r="DG261" s="35">
        <f t="shared" si="399"/>
        <v>0</v>
      </c>
      <c r="DH261" s="15">
        <f t="shared" si="420"/>
        <v>1.3868177011261719E-6</v>
      </c>
      <c r="DI261" s="28">
        <f t="shared" si="421"/>
        <v>5.9066218424245843E-6</v>
      </c>
      <c r="DJ261" s="28">
        <f t="shared" si="422"/>
        <v>4.2591191600944267</v>
      </c>
      <c r="DK261" s="33"/>
      <c r="DO261" s="31"/>
      <c r="DW261" s="35">
        <f t="shared" si="382"/>
        <v>0</v>
      </c>
      <c r="DX261" s="35">
        <f t="shared" si="400"/>
        <v>0</v>
      </c>
      <c r="DY261" s="15">
        <f t="shared" si="423"/>
        <v>1.435843588056102E-6</v>
      </c>
      <c r="DZ261" s="28">
        <f t="shared" si="424"/>
        <v>5.7666442150772561E-6</v>
      </c>
      <c r="EA261" s="28">
        <f t="shared" si="425"/>
        <v>4.0162064051031852</v>
      </c>
      <c r="EB261" s="33"/>
      <c r="EF261" s="31"/>
      <c r="EN261" s="35">
        <f t="shared" si="383"/>
        <v>0</v>
      </c>
      <c r="EO261" s="35">
        <f t="shared" si="401"/>
        <v>0</v>
      </c>
      <c r="EP261" s="15">
        <f t="shared" si="426"/>
        <v>1.5330280504706319E-6</v>
      </c>
      <c r="EQ261" s="28">
        <f t="shared" si="427"/>
        <v>1.133116208563328E-5</v>
      </c>
      <c r="ER261" s="28">
        <f t="shared" si="428"/>
        <v>7.3913599181402256</v>
      </c>
      <c r="ES261" s="33"/>
      <c r="EW261" s="31"/>
      <c r="FE261" s="35">
        <f t="shared" si="384"/>
        <v>0</v>
      </c>
      <c r="FF261" s="35">
        <f t="shared" si="402"/>
        <v>0</v>
      </c>
      <c r="FG261" s="15">
        <f t="shared" si="429"/>
        <v>1.4810663335121543E-6</v>
      </c>
      <c r="FH261" s="28">
        <f t="shared" si="430"/>
        <v>1.0372635814393468E-5</v>
      </c>
      <c r="FI261" s="28">
        <f t="shared" si="431"/>
        <v>7.0034917273395338</v>
      </c>
      <c r="FJ261" s="33"/>
      <c r="FN261" s="31"/>
      <c r="FV261" s="35">
        <f t="shared" si="385"/>
        <v>0</v>
      </c>
      <c r="FW261" s="35">
        <f t="shared" si="403"/>
        <v>0</v>
      </c>
      <c r="FX261" s="15">
        <f t="shared" si="432"/>
        <v>1.3942637596976753E-6</v>
      </c>
      <c r="FY261" s="28">
        <f t="shared" si="433"/>
        <v>1.038630180183323E-5</v>
      </c>
      <c r="FZ261" s="28">
        <f t="shared" si="434"/>
        <v>7.449309163773532</v>
      </c>
      <c r="GA261" s="33"/>
      <c r="GE261" s="31"/>
      <c r="GM261" s="35">
        <f t="shared" si="386"/>
        <v>0</v>
      </c>
      <c r="GN261" s="35">
        <f t="shared" si="404"/>
        <v>0</v>
      </c>
      <c r="GO261" s="15">
        <f t="shared" si="435"/>
        <v>1.4407442602357971E-6</v>
      </c>
      <c r="GP261" s="28">
        <f t="shared" si="436"/>
        <v>1.0704213680070177E-5</v>
      </c>
      <c r="GQ261" s="28">
        <f t="shared" si="437"/>
        <v>7.4296417313634056</v>
      </c>
      <c r="GR261" s="33"/>
      <c r="GV261" s="31"/>
      <c r="HD261" s="35">
        <f t="shared" si="387"/>
        <v>0</v>
      </c>
      <c r="HE261" s="35">
        <f t="shared" si="405"/>
        <v>0</v>
      </c>
      <c r="HF261" s="15">
        <f t="shared" si="438"/>
        <v>2.0295833250879804E-6</v>
      </c>
      <c r="HG261" s="28">
        <f t="shared" si="439"/>
        <v>7.7644398962791715E-6</v>
      </c>
      <c r="HH261" s="28">
        <f t="shared" si="440"/>
        <v>3.8256324834274</v>
      </c>
      <c r="HI261" s="33"/>
      <c r="HM261" s="31"/>
      <c r="HU261" s="35">
        <f t="shared" si="388"/>
        <v>0</v>
      </c>
      <c r="HV261" s="35">
        <f t="shared" si="406"/>
        <v>0</v>
      </c>
      <c r="HW261" s="15">
        <f t="shared" si="441"/>
        <v>4.68566956376769E-15</v>
      </c>
      <c r="HX261" s="28">
        <f t="shared" si="442"/>
        <v>2.7287109017484963E-18</v>
      </c>
      <c r="HY261" s="28">
        <f t="shared" si="443"/>
        <v>5.8235239694417822E-4</v>
      </c>
      <c r="HZ261" s="33"/>
      <c r="ID261" s="31"/>
      <c r="II261" s="12"/>
      <c r="IL261" s="35">
        <f t="shared" si="389"/>
        <v>0</v>
      </c>
      <c r="IM261" s="35">
        <f t="shared" si="390"/>
        <v>28.861527856291875</v>
      </c>
      <c r="IN261" s="15">
        <f t="shared" si="444"/>
        <v>4.6175856166668655E-7</v>
      </c>
      <c r="IO261" s="28">
        <f t="shared" si="445"/>
        <v>2.018279718564609E-7</v>
      </c>
      <c r="IP261" s="28">
        <f t="shared" si="446"/>
        <v>0.43708550011065606</v>
      </c>
      <c r="IQ261" s="33"/>
      <c r="IU261" s="31"/>
      <c r="JC261" s="35">
        <f t="shared" si="458"/>
        <v>0</v>
      </c>
      <c r="JD261" s="35">
        <f t="shared" si="391"/>
        <v>34.088632692466042</v>
      </c>
      <c r="JE261" s="15">
        <f t="shared" si="447"/>
        <v>5.5761083517592322E-7</v>
      </c>
      <c r="JF261" s="28">
        <f t="shared" si="448"/>
        <v>2.5760386664508719E-7</v>
      </c>
      <c r="JG261" s="28">
        <f t="shared" si="449"/>
        <v>0.46197787129408013</v>
      </c>
      <c r="JH261" s="33"/>
      <c r="JL261" s="31"/>
      <c r="JR261" s="99"/>
      <c r="JS261" s="99"/>
      <c r="JT261" s="99"/>
      <c r="JU261" s="99"/>
      <c r="JV261" s="99"/>
      <c r="JW261" s="99"/>
      <c r="JX261" s="99"/>
      <c r="JY261" s="99"/>
      <c r="JZ261" s="99"/>
      <c r="KA261" s="99"/>
      <c r="KB261" s="99"/>
      <c r="KC261" s="99"/>
      <c r="KD261" s="99"/>
      <c r="KE261" s="99"/>
      <c r="KF261" s="99"/>
      <c r="KG261" s="99"/>
      <c r="KH261" s="99"/>
      <c r="KI261" s="99"/>
      <c r="KJ261" s="99"/>
      <c r="KK261" s="99"/>
      <c r="KL261" s="99"/>
      <c r="KM261" s="99"/>
      <c r="KN261" s="99"/>
      <c r="KO261" s="99"/>
      <c r="KP261" s="99"/>
      <c r="KQ261" s="99"/>
      <c r="KR261" s="99"/>
      <c r="KS261" s="99"/>
      <c r="KT261" s="99"/>
      <c r="KU261" s="99"/>
      <c r="KV261" s="99"/>
      <c r="KW261" s="99"/>
      <c r="KX261" s="99"/>
      <c r="KY261" s="99"/>
      <c r="KZ261" s="99"/>
      <c r="LA261" s="99"/>
      <c r="LB261" s="99"/>
      <c r="LC261" s="99"/>
      <c r="LD261" s="99"/>
      <c r="LE261" s="99"/>
      <c r="LF261" s="99"/>
      <c r="LG261" s="99"/>
      <c r="LH261" s="99"/>
      <c r="LI261" s="99"/>
      <c r="LJ261" s="99"/>
      <c r="LK261" s="99"/>
      <c r="LL261" s="99"/>
      <c r="LM261" s="99"/>
      <c r="LN261" s="99"/>
      <c r="LO261" s="99"/>
      <c r="LP261" s="99"/>
      <c r="LQ261" s="99"/>
      <c r="LR261" s="99"/>
      <c r="LS261" s="99"/>
      <c r="LT261" s="99"/>
      <c r="LU261" s="99"/>
      <c r="LV261" s="99"/>
      <c r="LW261" s="99"/>
      <c r="LX261" s="99"/>
      <c r="LY261" s="99"/>
      <c r="LZ261" s="99"/>
      <c r="MA261" s="99"/>
      <c r="MB261" s="99"/>
      <c r="MC261" s="99"/>
      <c r="MD261" s="99"/>
      <c r="ME261" s="99"/>
      <c r="MF261" s="99"/>
    </row>
    <row r="262" spans="1:344" ht="17.25" customHeight="1" x14ac:dyDescent="0.25">
      <c r="A262" s="157"/>
      <c r="B262" s="83" t="s">
        <v>7</v>
      </c>
      <c r="C262" s="84">
        <v>45396</v>
      </c>
      <c r="D262" s="51"/>
      <c r="E262" s="48"/>
      <c r="F262" s="104"/>
      <c r="G262" s="37">
        <f t="shared" si="373"/>
        <v>0</v>
      </c>
      <c r="H262" s="26">
        <f t="shared" si="374"/>
        <v>0</v>
      </c>
      <c r="I262" s="48"/>
      <c r="J262" s="48"/>
      <c r="K262" s="104"/>
      <c r="L262" s="37">
        <f t="shared" si="375"/>
        <v>0</v>
      </c>
      <c r="M262" s="26">
        <f t="shared" si="392"/>
        <v>0</v>
      </c>
      <c r="N262" s="26">
        <f t="shared" si="393"/>
        <v>0</v>
      </c>
      <c r="O262" s="98" t="e">
        <f>SUM($Z262,$BH262,$AQ262,$BY262,$CP262,$DG262,$DX262,$EO262,$FF262,$FW262,$GN262)/D262</f>
        <v>#DIV/0!</v>
      </c>
      <c r="P262" s="151"/>
      <c r="Q262" s="139">
        <f t="shared" si="457"/>
        <v>0</v>
      </c>
      <c r="R262" s="140">
        <f t="shared" si="453"/>
        <v>0</v>
      </c>
      <c r="S262" s="141">
        <f t="shared" si="454"/>
        <v>0</v>
      </c>
      <c r="T262" s="142">
        <f t="shared" si="455"/>
        <v>0</v>
      </c>
      <c r="U262" s="145">
        <f t="shared" si="456"/>
        <v>0</v>
      </c>
      <c r="V262" s="23"/>
      <c r="W262" s="13">
        <v>0</v>
      </c>
      <c r="X262" s="2">
        <v>0</v>
      </c>
      <c r="Y262" s="26">
        <f t="shared" si="376"/>
        <v>0</v>
      </c>
      <c r="Z262" s="26">
        <f t="shared" si="394"/>
        <v>0</v>
      </c>
      <c r="AA262" s="16">
        <f t="shared" si="407"/>
        <v>3.3149207728047547E-9</v>
      </c>
      <c r="AB262" s="44">
        <f t="shared" si="451"/>
        <v>2.8305043217362173E-9</v>
      </c>
      <c r="AC262" s="44">
        <f t="shared" si="452"/>
        <v>0.85386786464321063</v>
      </c>
      <c r="AD262" s="34"/>
      <c r="AE262" s="4"/>
      <c r="AF262" s="5"/>
      <c r="AG262" s="6"/>
      <c r="AH262" s="32"/>
      <c r="AI262" s="3"/>
      <c r="AJ262" s="4"/>
      <c r="AK262" s="5"/>
      <c r="AL262" s="6"/>
      <c r="AM262" s="14"/>
      <c r="AN262" s="13"/>
      <c r="AO262" s="2"/>
      <c r="AP262" s="26">
        <f t="shared" si="377"/>
        <v>0</v>
      </c>
      <c r="AQ262" s="26">
        <f t="shared" si="395"/>
        <v>0</v>
      </c>
      <c r="AR262" s="16">
        <f t="shared" si="408"/>
        <v>1.0010732643264476E-6</v>
      </c>
      <c r="AS262" s="29">
        <f t="shared" si="409"/>
        <v>5.9014282782943188E-6</v>
      </c>
      <c r="AT262" s="29">
        <f t="shared" si="410"/>
        <v>5.8951012763935697</v>
      </c>
      <c r="AU262" s="34"/>
      <c r="AV262" s="4"/>
      <c r="AW262" s="5"/>
      <c r="AX262" s="6"/>
      <c r="AY262" s="32"/>
      <c r="AZ262" s="3"/>
      <c r="BA262" s="4"/>
      <c r="BB262" s="5"/>
      <c r="BC262" s="6"/>
      <c r="BD262" s="14"/>
      <c r="BE262" s="13"/>
      <c r="BF262" s="2"/>
      <c r="BG262" s="26">
        <f t="shared" si="378"/>
        <v>0</v>
      </c>
      <c r="BH262" s="26">
        <f t="shared" si="396"/>
        <v>0</v>
      </c>
      <c r="BI262" s="16">
        <f t="shared" si="411"/>
        <v>1.378719241104554E-6</v>
      </c>
      <c r="BJ262" s="29">
        <f t="shared" si="412"/>
        <v>9.0657936406414753E-6</v>
      </c>
      <c r="BK262" s="29">
        <f t="shared" si="413"/>
        <v>6.5755183291548613</v>
      </c>
      <c r="BL262" s="34"/>
      <c r="BM262" s="4"/>
      <c r="BN262" s="5"/>
      <c r="BO262" s="6"/>
      <c r="BP262" s="32"/>
      <c r="BQ262" s="3"/>
      <c r="BR262" s="4"/>
      <c r="BS262" s="5"/>
      <c r="BT262" s="6"/>
      <c r="BU262" s="14"/>
      <c r="BV262" s="13"/>
      <c r="BW262" s="2"/>
      <c r="BX262" s="26">
        <f t="shared" si="379"/>
        <v>0</v>
      </c>
      <c r="BY262" s="26">
        <f t="shared" si="397"/>
        <v>0</v>
      </c>
      <c r="BZ262" s="16">
        <f t="shared" si="414"/>
        <v>1.0483326182881156E-6</v>
      </c>
      <c r="CA262" s="29">
        <f t="shared" si="415"/>
        <v>5.6339588121172013E-6</v>
      </c>
      <c r="CB262" s="29">
        <f t="shared" si="416"/>
        <v>5.3742092097804095</v>
      </c>
      <c r="CC262" s="34"/>
      <c r="CD262" s="4"/>
      <c r="CE262" s="5"/>
      <c r="CF262" s="6"/>
      <c r="CG262" s="32"/>
      <c r="CH262" s="3"/>
      <c r="CI262" s="4"/>
      <c r="CJ262" s="5"/>
      <c r="CK262" s="6"/>
      <c r="CL262" s="14"/>
      <c r="CM262" s="13"/>
      <c r="CN262" s="2"/>
      <c r="CO262" s="26">
        <f t="shared" si="380"/>
        <v>0</v>
      </c>
      <c r="CP262" s="26">
        <f t="shared" si="398"/>
        <v>0</v>
      </c>
      <c r="CQ262" s="16">
        <f t="shared" si="417"/>
        <v>1.1485816832741283E-6</v>
      </c>
      <c r="CR262" s="29">
        <f t="shared" si="418"/>
        <v>7.2906572255300017E-6</v>
      </c>
      <c r="CS262" s="29">
        <f t="shared" si="419"/>
        <v>6.3475304644832686</v>
      </c>
      <c r="CT262" s="34"/>
      <c r="CU262" s="4"/>
      <c r="CV262" s="5"/>
      <c r="CW262" s="6"/>
      <c r="CX262" s="32"/>
      <c r="CY262" s="3"/>
      <c r="CZ262" s="4"/>
      <c r="DA262" s="5"/>
      <c r="DB262" s="6"/>
      <c r="DC262" s="14"/>
      <c r="DD262" s="13"/>
      <c r="DE262" s="2"/>
      <c r="DF262" s="26">
        <f t="shared" si="381"/>
        <v>0</v>
      </c>
      <c r="DG262" s="26">
        <f t="shared" si="399"/>
        <v>0</v>
      </c>
      <c r="DH262" s="16">
        <f t="shared" si="420"/>
        <v>1.1171587036849715E-6</v>
      </c>
      <c r="DI262" s="29">
        <f t="shared" si="421"/>
        <v>4.4299663818184378E-6</v>
      </c>
      <c r="DJ262" s="29">
        <f t="shared" si="422"/>
        <v>3.9653868042258456</v>
      </c>
      <c r="DK262" s="34"/>
      <c r="DL262" s="4"/>
      <c r="DM262" s="5"/>
      <c r="DN262" s="6"/>
      <c r="DO262" s="32"/>
      <c r="DP262" s="3"/>
      <c r="DQ262" s="4"/>
      <c r="DR262" s="5"/>
      <c r="DS262" s="6"/>
      <c r="DT262" s="14"/>
      <c r="DU262" s="13"/>
      <c r="DV262" s="2"/>
      <c r="DW262" s="26">
        <f t="shared" si="382"/>
        <v>0</v>
      </c>
      <c r="DX262" s="26">
        <f t="shared" si="400"/>
        <v>0</v>
      </c>
      <c r="DY262" s="16">
        <f t="shared" si="423"/>
        <v>1.1566517792674155E-6</v>
      </c>
      <c r="DZ262" s="29">
        <f t="shared" si="424"/>
        <v>4.3249831613079417E-6</v>
      </c>
      <c r="EA262" s="29">
        <f t="shared" si="425"/>
        <v>3.7392266530271034</v>
      </c>
      <c r="EB262" s="34"/>
      <c r="EC262" s="4"/>
      <c r="ED262" s="5"/>
      <c r="EE262" s="6"/>
      <c r="EF262" s="32"/>
      <c r="EG262" s="3"/>
      <c r="EH262" s="4"/>
      <c r="EI262" s="5"/>
      <c r="EJ262" s="6"/>
      <c r="EK262" s="14"/>
      <c r="EL262" s="13"/>
      <c r="EM262" s="2"/>
      <c r="EN262" s="26">
        <f t="shared" si="383"/>
        <v>0</v>
      </c>
      <c r="EO262" s="26">
        <f t="shared" si="401"/>
        <v>0</v>
      </c>
      <c r="EP262" s="16">
        <f t="shared" si="426"/>
        <v>1.2349392628791202E-6</v>
      </c>
      <c r="EQ262" s="29">
        <f t="shared" si="427"/>
        <v>8.4983715642249605E-6</v>
      </c>
      <c r="ER262" s="29">
        <f t="shared" si="428"/>
        <v>6.8816109582684861</v>
      </c>
      <c r="ES262" s="34"/>
      <c r="ET262" s="4"/>
      <c r="EU262" s="5"/>
      <c r="EV262" s="6"/>
      <c r="EW262" s="32"/>
      <c r="EX262" s="3"/>
      <c r="EY262" s="4"/>
      <c r="EZ262" s="5"/>
      <c r="FA262" s="6"/>
      <c r="FB262" s="14"/>
      <c r="FC262" s="13"/>
      <c r="FD262" s="2"/>
      <c r="FE262" s="26">
        <f t="shared" si="384"/>
        <v>0</v>
      </c>
      <c r="FF262" s="26">
        <f t="shared" si="402"/>
        <v>0</v>
      </c>
      <c r="FG262" s="16">
        <f t="shared" si="429"/>
        <v>1.1930812131070133E-6</v>
      </c>
      <c r="FH262" s="29">
        <f t="shared" si="430"/>
        <v>7.7794768607951015E-6</v>
      </c>
      <c r="FI262" s="29">
        <f t="shared" si="431"/>
        <v>6.5204922978678415</v>
      </c>
      <c r="FJ262" s="34"/>
      <c r="FK262" s="4"/>
      <c r="FL262" s="5"/>
      <c r="FM262" s="6"/>
      <c r="FN262" s="32"/>
      <c r="FO262" s="3"/>
      <c r="FP262" s="4"/>
      <c r="FQ262" s="5"/>
      <c r="FR262" s="6"/>
      <c r="FS262" s="14"/>
      <c r="FT262" s="13"/>
      <c r="FU262" s="2"/>
      <c r="FV262" s="26">
        <f t="shared" si="385"/>
        <v>0</v>
      </c>
      <c r="FW262" s="26">
        <f t="shared" si="403"/>
        <v>0</v>
      </c>
      <c r="FX262" s="16">
        <f t="shared" si="432"/>
        <v>1.1231569175342383E-6</v>
      </c>
      <c r="FY262" s="29">
        <f t="shared" si="433"/>
        <v>7.7897263513749219E-6</v>
      </c>
      <c r="FZ262" s="29">
        <f t="shared" si="434"/>
        <v>6.9355637042029432</v>
      </c>
      <c r="GA262" s="34"/>
      <c r="GB262" s="4"/>
      <c r="GC262" s="5"/>
      <c r="GD262" s="6"/>
      <c r="GE262" s="32"/>
      <c r="GF262" s="3"/>
      <c r="GG262" s="4"/>
      <c r="GH262" s="5"/>
      <c r="GI262" s="6"/>
      <c r="GJ262" s="14"/>
      <c r="GK262" s="13"/>
      <c r="GL262" s="2"/>
      <c r="GM262" s="26">
        <f t="shared" si="386"/>
        <v>0</v>
      </c>
      <c r="GN262" s="26">
        <f t="shared" si="404"/>
        <v>0</v>
      </c>
      <c r="GO262" s="16">
        <f t="shared" si="435"/>
        <v>1.1605995429677256E-6</v>
      </c>
      <c r="GP262" s="29">
        <f t="shared" si="436"/>
        <v>8.0281602600526328E-6</v>
      </c>
      <c r="GQ262" s="29">
        <f t="shared" si="437"/>
        <v>6.9172526464417912</v>
      </c>
      <c r="GR262" s="34"/>
      <c r="GS262" s="4"/>
      <c r="GT262" s="5"/>
      <c r="GU262" s="6"/>
      <c r="GV262" s="32"/>
      <c r="GW262" s="3"/>
      <c r="GX262" s="4"/>
      <c r="GY262" s="5"/>
      <c r="GZ262" s="6"/>
      <c r="HA262" s="14"/>
      <c r="HB262" s="13"/>
      <c r="HC262" s="2"/>
      <c r="HD262" s="26">
        <f t="shared" si="387"/>
        <v>0</v>
      </c>
      <c r="HE262" s="26">
        <f t="shared" si="405"/>
        <v>0</v>
      </c>
      <c r="HF262" s="16">
        <f t="shared" si="438"/>
        <v>1.63494212298754E-6</v>
      </c>
      <c r="HG262" s="29">
        <f t="shared" si="439"/>
        <v>5.8233299222093786E-6</v>
      </c>
      <c r="HH262" s="29">
        <f t="shared" si="440"/>
        <v>3.5617957604324069</v>
      </c>
      <c r="HI262" s="34"/>
      <c r="HJ262" s="4"/>
      <c r="HK262" s="5"/>
      <c r="HL262" s="6"/>
      <c r="HM262" s="32"/>
      <c r="HN262" s="3"/>
      <c r="HO262" s="4"/>
      <c r="HP262" s="5"/>
      <c r="HQ262" s="6"/>
      <c r="HR262" s="14"/>
      <c r="HS262" s="13"/>
      <c r="HT262" s="2"/>
      <c r="HU262" s="26">
        <f t="shared" si="388"/>
        <v>0</v>
      </c>
      <c r="HV262" s="26">
        <f t="shared" si="406"/>
        <v>0</v>
      </c>
      <c r="HW262" s="16">
        <f t="shared" si="441"/>
        <v>3.7745671485906391E-15</v>
      </c>
      <c r="HX262" s="29">
        <f t="shared" si="442"/>
        <v>2.0465331763113721E-18</v>
      </c>
      <c r="HY262" s="29">
        <f t="shared" si="443"/>
        <v>5.421901626721659E-4</v>
      </c>
      <c r="HZ262" s="34"/>
      <c r="IA262" s="4"/>
      <c r="IB262" s="5"/>
      <c r="IC262" s="6"/>
      <c r="ID262" s="32"/>
      <c r="IE262" s="3"/>
      <c r="IF262" s="4"/>
      <c r="IG262" s="5"/>
      <c r="IH262" s="6"/>
      <c r="II262" s="14"/>
      <c r="IJ262" s="13"/>
      <c r="IK262" s="2"/>
      <c r="IL262" s="26">
        <f t="shared" si="389"/>
        <v>0</v>
      </c>
      <c r="IM262" s="26">
        <f t="shared" si="390"/>
        <v>26.871071729735153</v>
      </c>
      <c r="IN262" s="16">
        <f t="shared" si="444"/>
        <v>3.7197217467594194E-7</v>
      </c>
      <c r="IO262" s="29">
        <f t="shared" si="445"/>
        <v>1.5137097889234568E-7</v>
      </c>
      <c r="IP262" s="29">
        <f t="shared" si="446"/>
        <v>0.40694167251681768</v>
      </c>
      <c r="IQ262" s="34"/>
      <c r="IR262" s="4"/>
      <c r="IS262" s="5"/>
      <c r="IT262" s="6"/>
      <c r="IU262" s="32"/>
      <c r="IV262" s="3"/>
      <c r="IW262" s="4"/>
      <c r="IX262" s="5"/>
      <c r="IY262" s="6"/>
      <c r="IZ262" s="14"/>
      <c r="JA262" s="13"/>
      <c r="JB262" s="2"/>
      <c r="JC262" s="26">
        <f t="shared" si="458"/>
        <v>0</v>
      </c>
      <c r="JD262" s="26">
        <f t="shared" si="391"/>
        <v>31.737684930790298</v>
      </c>
      <c r="JE262" s="16">
        <f t="shared" si="447"/>
        <v>4.4918650611393815E-7</v>
      </c>
      <c r="JF262" s="29">
        <f t="shared" si="448"/>
        <v>1.9320289998381539E-7</v>
      </c>
      <c r="JG262" s="29">
        <f t="shared" si="449"/>
        <v>0.43011732844621253</v>
      </c>
      <c r="JH262" s="34"/>
      <c r="JI262" s="4"/>
      <c r="JJ262" s="5"/>
      <c r="JK262" s="6"/>
      <c r="JL262" s="32"/>
      <c r="JM262" s="3"/>
      <c r="JN262" s="4"/>
      <c r="JO262" s="5"/>
      <c r="JP262" s="6"/>
      <c r="JQ262" s="14"/>
      <c r="JR262" s="99"/>
      <c r="JS262" s="99"/>
      <c r="JT262" s="99"/>
      <c r="JU262" s="99"/>
      <c r="JV262" s="99"/>
      <c r="JW262" s="99"/>
      <c r="JX262" s="99"/>
      <c r="JY262" s="99"/>
      <c r="JZ262" s="99"/>
      <c r="KA262" s="99"/>
      <c r="KB262" s="99"/>
      <c r="KC262" s="99"/>
      <c r="KD262" s="99"/>
      <c r="KE262" s="99"/>
      <c r="KF262" s="99"/>
      <c r="KG262" s="99"/>
      <c r="KH262" s="99"/>
      <c r="KI262" s="99"/>
      <c r="KJ262" s="99"/>
      <c r="KK262" s="99"/>
      <c r="KL262" s="99"/>
      <c r="KM262" s="99"/>
      <c r="KN262" s="99"/>
      <c r="KO262" s="99"/>
      <c r="KP262" s="99"/>
      <c r="KQ262" s="99"/>
      <c r="KR262" s="99"/>
      <c r="KS262" s="99"/>
      <c r="KT262" s="99"/>
      <c r="KU262" s="99"/>
      <c r="KV262" s="99"/>
      <c r="KW262" s="99"/>
      <c r="KX262" s="99"/>
      <c r="KY262" s="99"/>
      <c r="KZ262" s="99"/>
      <c r="LA262" s="99"/>
      <c r="LB262" s="99"/>
      <c r="LC262" s="99"/>
      <c r="LD262" s="99"/>
      <c r="LE262" s="99"/>
      <c r="LF262" s="99"/>
      <c r="LG262" s="99"/>
      <c r="LH262" s="99"/>
      <c r="LI262" s="99"/>
      <c r="LJ262" s="99"/>
      <c r="LK262" s="99"/>
      <c r="LL262" s="99"/>
      <c r="LM262" s="99"/>
      <c r="LN262" s="99"/>
      <c r="LO262" s="99"/>
      <c r="LP262" s="99"/>
      <c r="LQ262" s="99"/>
      <c r="LR262" s="99"/>
      <c r="LS262" s="99"/>
      <c r="LT262" s="99"/>
      <c r="LU262" s="99"/>
      <c r="LV262" s="99"/>
      <c r="LW262" s="99"/>
      <c r="LX262" s="99"/>
      <c r="LY262" s="99"/>
      <c r="LZ262" s="99"/>
      <c r="MA262" s="99"/>
      <c r="MB262" s="99"/>
      <c r="MC262" s="99"/>
      <c r="MD262" s="99"/>
      <c r="ME262" s="99"/>
      <c r="MF262" s="99"/>
    </row>
    <row r="263" spans="1:344" ht="17.25" customHeight="1" x14ac:dyDescent="0.25">
      <c r="A263" s="155" t="s">
        <v>43</v>
      </c>
      <c r="B263" s="79" t="s">
        <v>1</v>
      </c>
      <c r="C263" s="80">
        <v>45397</v>
      </c>
      <c r="D263" s="50"/>
      <c r="G263" s="36">
        <f t="shared" si="373"/>
        <v>0</v>
      </c>
      <c r="H263" s="27">
        <f t="shared" si="374"/>
        <v>0</v>
      </c>
      <c r="I263" s="47"/>
      <c r="K263" s="105"/>
      <c r="L263" s="89">
        <f t="shared" si="375"/>
        <v>0</v>
      </c>
      <c r="M263" s="27">
        <f t="shared" si="392"/>
        <v>0</v>
      </c>
      <c r="N263" s="35">
        <f t="shared" si="393"/>
        <v>0</v>
      </c>
      <c r="O263" s="97" t="e">
        <f>SUM($Z263,$BH263,$AQ263,$BY263,$CP263,$DG263,$DX263,$EO263,$FF263,$FW263,$GN263)/I263</f>
        <v>#DIV/0!</v>
      </c>
      <c r="P263" s="149">
        <f t="shared" si="450"/>
        <v>0</v>
      </c>
      <c r="Q263" s="131">
        <f t="shared" si="457"/>
        <v>0</v>
      </c>
      <c r="R263" s="133">
        <f t="shared" si="453"/>
        <v>0</v>
      </c>
      <c r="S263" s="135">
        <f t="shared" si="454"/>
        <v>0</v>
      </c>
      <c r="T263" s="137">
        <f t="shared" si="455"/>
        <v>0</v>
      </c>
      <c r="U263" s="143">
        <f t="shared" si="456"/>
        <v>0</v>
      </c>
      <c r="W263" s="11">
        <v>0</v>
      </c>
      <c r="X263" s="1">
        <v>0</v>
      </c>
      <c r="Y263" s="27">
        <f t="shared" si="376"/>
        <v>0</v>
      </c>
      <c r="Z263" s="27">
        <f t="shared" si="394"/>
        <v>0</v>
      </c>
      <c r="AA263" s="15">
        <f t="shared" si="407"/>
        <v>2.6703528447593857E-9</v>
      </c>
      <c r="AB263" s="43">
        <f t="shared" si="451"/>
        <v>2.1228782413021631E-9</v>
      </c>
      <c r="AC263" s="43">
        <f t="shared" si="452"/>
        <v>0.79498042570229954</v>
      </c>
      <c r="AD263" s="33"/>
      <c r="AH263" s="31"/>
      <c r="AP263" s="27">
        <f t="shared" si="377"/>
        <v>0</v>
      </c>
      <c r="AQ263" s="27">
        <f t="shared" si="395"/>
        <v>0</v>
      </c>
      <c r="AR263" s="15">
        <f t="shared" si="408"/>
        <v>8.0642012959630504E-7</v>
      </c>
      <c r="AS263" s="28">
        <f t="shared" si="409"/>
        <v>4.4260712087207391E-6</v>
      </c>
      <c r="AT263" s="28">
        <f t="shared" si="410"/>
        <v>5.4885425676767721</v>
      </c>
      <c r="AU263" s="33"/>
      <c r="AY263" s="31"/>
      <c r="BG263" s="27">
        <f t="shared" si="378"/>
        <v>0</v>
      </c>
      <c r="BH263" s="27">
        <f t="shared" si="396"/>
        <v>0</v>
      </c>
      <c r="BI263" s="15">
        <f t="shared" si="411"/>
        <v>1.1106349442231131E-6</v>
      </c>
      <c r="BJ263" s="28">
        <f t="shared" si="412"/>
        <v>6.7993452304811065E-6</v>
      </c>
      <c r="BK263" s="28">
        <f t="shared" si="413"/>
        <v>6.122034306454526</v>
      </c>
      <c r="BL263" s="33"/>
      <c r="BP263" s="31"/>
      <c r="BX263" s="27">
        <f t="shared" si="379"/>
        <v>0</v>
      </c>
      <c r="BY263" s="27">
        <f t="shared" si="397"/>
        <v>0</v>
      </c>
      <c r="BZ263" s="15">
        <f t="shared" si="414"/>
        <v>8.4449016473209314E-7</v>
      </c>
      <c r="CA263" s="28">
        <f t="shared" si="415"/>
        <v>4.2254691090879009E-6</v>
      </c>
      <c r="CB263" s="28">
        <f t="shared" si="416"/>
        <v>5.0035740918645191</v>
      </c>
      <c r="CC263" s="33"/>
      <c r="CG263" s="31"/>
      <c r="CO263" s="27">
        <f t="shared" si="380"/>
        <v>0</v>
      </c>
      <c r="CP263" s="27">
        <f t="shared" si="398"/>
        <v>0</v>
      </c>
      <c r="CQ263" s="15">
        <f t="shared" si="417"/>
        <v>9.2524635597082572E-7</v>
      </c>
      <c r="CR263" s="28">
        <f t="shared" si="418"/>
        <v>5.4679929191475017E-6</v>
      </c>
      <c r="CS263" s="28">
        <f t="shared" si="419"/>
        <v>5.9097697427947669</v>
      </c>
      <c r="CT263" s="33"/>
      <c r="CX263" s="31"/>
      <c r="DF263" s="27">
        <f t="shared" si="381"/>
        <v>0</v>
      </c>
      <c r="DG263" s="27">
        <f t="shared" si="399"/>
        <v>0</v>
      </c>
      <c r="DH263" s="15">
        <f t="shared" si="420"/>
        <v>8.9993340019067155E-7</v>
      </c>
      <c r="DI263" s="28">
        <f t="shared" si="421"/>
        <v>3.3224747863638284E-6</v>
      </c>
      <c r="DJ263" s="28">
        <f t="shared" si="422"/>
        <v>3.6919118522102701</v>
      </c>
      <c r="DK263" s="33"/>
      <c r="DO263" s="31"/>
      <c r="DW263" s="27">
        <f t="shared" si="382"/>
        <v>0</v>
      </c>
      <c r="DX263" s="27">
        <f t="shared" si="400"/>
        <v>0</v>
      </c>
      <c r="DY263" s="15">
        <f t="shared" si="423"/>
        <v>9.3174726663208462E-7</v>
      </c>
      <c r="DZ263" s="28">
        <f t="shared" si="424"/>
        <v>3.2437373709809563E-6</v>
      </c>
      <c r="EA263" s="28">
        <f t="shared" si="425"/>
        <v>3.4813489528183377</v>
      </c>
      <c r="EB263" s="33"/>
      <c r="EF263" s="31"/>
      <c r="EN263" s="27">
        <f t="shared" si="383"/>
        <v>0</v>
      </c>
      <c r="EO263" s="27">
        <f t="shared" si="401"/>
        <v>0</v>
      </c>
      <c r="EP263" s="15">
        <f t="shared" si="426"/>
        <v>9.9481218398595803E-7</v>
      </c>
      <c r="EQ263" s="28">
        <f t="shared" si="427"/>
        <v>6.3737786731687204E-6</v>
      </c>
      <c r="ER263" s="28">
        <f t="shared" si="428"/>
        <v>6.4070170990775557</v>
      </c>
      <c r="ES263" s="33"/>
      <c r="EW263" s="31"/>
      <c r="FE263" s="27">
        <f t="shared" si="384"/>
        <v>0</v>
      </c>
      <c r="FF263" s="27">
        <f t="shared" si="402"/>
        <v>0</v>
      </c>
      <c r="FG263" s="15">
        <f t="shared" si="429"/>
        <v>9.610931994473164E-7</v>
      </c>
      <c r="FH263" s="28">
        <f t="shared" si="430"/>
        <v>5.8346076455963261E-6</v>
      </c>
      <c r="FI263" s="28">
        <f t="shared" si="431"/>
        <v>6.0708031738769552</v>
      </c>
      <c r="FJ263" s="33"/>
      <c r="FN263" s="31"/>
      <c r="FV263" s="27">
        <f t="shared" si="385"/>
        <v>0</v>
      </c>
      <c r="FW263" s="27">
        <f t="shared" si="403"/>
        <v>0</v>
      </c>
      <c r="FX263" s="15">
        <f t="shared" si="432"/>
        <v>9.0476529468035857E-7</v>
      </c>
      <c r="FY263" s="28">
        <f t="shared" si="433"/>
        <v>5.842294763531191E-6</v>
      </c>
      <c r="FZ263" s="28">
        <f t="shared" si="434"/>
        <v>6.4572489659820507</v>
      </c>
      <c r="GA263" s="33"/>
      <c r="GE263" s="31"/>
      <c r="GM263" s="27">
        <f t="shared" si="386"/>
        <v>0</v>
      </c>
      <c r="GN263" s="27">
        <f t="shared" si="404"/>
        <v>0</v>
      </c>
      <c r="GO263" s="15">
        <f t="shared" si="435"/>
        <v>9.3492740961289E-7</v>
      </c>
      <c r="GP263" s="28">
        <f t="shared" si="436"/>
        <v>6.0211201950394746E-6</v>
      </c>
      <c r="GQ263" s="28">
        <f t="shared" si="437"/>
        <v>6.4402007397906331</v>
      </c>
      <c r="GR263" s="33"/>
      <c r="GV263" s="31"/>
      <c r="HD263" s="27">
        <f t="shared" si="387"/>
        <v>0</v>
      </c>
      <c r="HE263" s="27">
        <f t="shared" si="405"/>
        <v>0</v>
      </c>
      <c r="HF263" s="15">
        <f t="shared" si="438"/>
        <v>1.3170367101844071E-6</v>
      </c>
      <c r="HG263" s="28">
        <f t="shared" si="439"/>
        <v>4.3674974416570338E-6</v>
      </c>
      <c r="HH263" s="28">
        <f t="shared" si="440"/>
        <v>3.3161546735060341</v>
      </c>
      <c r="HI263" s="33"/>
      <c r="HM263" s="31"/>
      <c r="HU263" s="27">
        <f t="shared" si="388"/>
        <v>0</v>
      </c>
      <c r="HV263" s="27">
        <f t="shared" si="406"/>
        <v>0</v>
      </c>
      <c r="HW263" s="15">
        <f t="shared" si="441"/>
        <v>3.0406235363646815E-15</v>
      </c>
      <c r="HX263" s="28">
        <f t="shared" si="442"/>
        <v>1.5348998822335291E-18</v>
      </c>
      <c r="HY263" s="28">
        <f t="shared" si="443"/>
        <v>5.0479773766029241E-4</v>
      </c>
      <c r="HZ263" s="33"/>
      <c r="ID263" s="31"/>
      <c r="II263" s="12"/>
      <c r="IL263" s="27">
        <f t="shared" si="389"/>
        <v>0</v>
      </c>
      <c r="IM263" s="27">
        <f t="shared" si="390"/>
        <v>25.017889894669526</v>
      </c>
      <c r="IN263" s="15">
        <f t="shared" si="444"/>
        <v>2.9964425182228663E-7</v>
      </c>
      <c r="IO263" s="28">
        <f t="shared" si="445"/>
        <v>1.1352823416925926E-7</v>
      </c>
      <c r="IP263" s="28">
        <f t="shared" si="446"/>
        <v>0.37887672958462332</v>
      </c>
      <c r="IQ263" s="33"/>
      <c r="IU263" s="31"/>
      <c r="JC263" s="27">
        <f t="shared" si="458"/>
        <v>0</v>
      </c>
      <c r="JD263" s="27">
        <f t="shared" si="391"/>
        <v>29.548873361684578</v>
      </c>
      <c r="JE263" s="15">
        <f t="shared" si="447"/>
        <v>3.6184468548067242E-7</v>
      </c>
      <c r="JF263" s="28">
        <f t="shared" si="448"/>
        <v>1.4490217498786155E-7</v>
      </c>
      <c r="JG263" s="28">
        <f t="shared" si="449"/>
        <v>0.40045406441543924</v>
      </c>
      <c r="JH263" s="33"/>
      <c r="JL263" s="31"/>
      <c r="JR263" s="99"/>
      <c r="JS263" s="99"/>
      <c r="JT263" s="99"/>
      <c r="JU263" s="99"/>
      <c r="JV263" s="99"/>
      <c r="JW263" s="99"/>
      <c r="JX263" s="99"/>
      <c r="JY263" s="99"/>
      <c r="JZ263" s="99"/>
      <c r="KA263" s="99"/>
      <c r="KB263" s="99"/>
      <c r="KC263" s="99"/>
      <c r="KD263" s="99"/>
      <c r="KE263" s="99"/>
      <c r="KF263" s="99"/>
      <c r="KG263" s="99"/>
      <c r="KH263" s="99"/>
      <c r="KI263" s="99"/>
      <c r="KJ263" s="99"/>
      <c r="KK263" s="99"/>
      <c r="KL263" s="99"/>
      <c r="KM263" s="99"/>
      <c r="KN263" s="99"/>
      <c r="KO263" s="99"/>
      <c r="KP263" s="99"/>
      <c r="KQ263" s="99"/>
      <c r="KR263" s="99"/>
      <c r="KS263" s="99"/>
      <c r="KT263" s="99"/>
      <c r="KU263" s="99"/>
      <c r="KV263" s="99"/>
      <c r="KW263" s="99"/>
      <c r="KX263" s="99"/>
      <c r="KY263" s="99"/>
      <c r="KZ263" s="99"/>
      <c r="LA263" s="99"/>
      <c r="LB263" s="99"/>
      <c r="LC263" s="99"/>
      <c r="LD263" s="99"/>
      <c r="LE263" s="99"/>
      <c r="LF263" s="99"/>
      <c r="LG263" s="99"/>
      <c r="LH263" s="99"/>
      <c r="LI263" s="99"/>
      <c r="LJ263" s="99"/>
      <c r="LK263" s="99"/>
      <c r="LL263" s="99"/>
      <c r="LM263" s="99"/>
      <c r="LN263" s="99"/>
      <c r="LO263" s="99"/>
      <c r="LP263" s="99"/>
      <c r="LQ263" s="99"/>
      <c r="LR263" s="99"/>
      <c r="LS263" s="99"/>
      <c r="LT263" s="99"/>
      <c r="LU263" s="99"/>
      <c r="LV263" s="99"/>
      <c r="LW263" s="99"/>
      <c r="LX263" s="99"/>
      <c r="LY263" s="99"/>
      <c r="LZ263" s="99"/>
      <c r="MA263" s="99"/>
      <c r="MB263" s="99"/>
      <c r="MC263" s="99"/>
      <c r="MD263" s="99"/>
      <c r="ME263" s="99"/>
      <c r="MF263" s="99"/>
    </row>
    <row r="264" spans="1:344" ht="17.25" customHeight="1" x14ac:dyDescent="0.25">
      <c r="A264" s="156"/>
      <c r="B264" s="81" t="s">
        <v>2</v>
      </c>
      <c r="C264" s="82">
        <v>45398</v>
      </c>
      <c r="D264" s="49"/>
      <c r="G264" s="89">
        <f t="shared" si="373"/>
        <v>0</v>
      </c>
      <c r="H264" s="35">
        <f t="shared" si="374"/>
        <v>0</v>
      </c>
      <c r="I264" s="39"/>
      <c r="L264" s="89">
        <f t="shared" si="375"/>
        <v>0</v>
      </c>
      <c r="M264" s="35">
        <f t="shared" si="392"/>
        <v>0</v>
      </c>
      <c r="N264" s="35">
        <f t="shared" si="393"/>
        <v>0</v>
      </c>
      <c r="O264" s="97" t="e">
        <f>SUM($Z264,$BH264,$AQ264,$BY264,$CP264,$DG264,$DX264,$EO264,$FF264,$FW264,$GN264)/I264</f>
        <v>#DIV/0!</v>
      </c>
      <c r="P264" s="150"/>
      <c r="Q264" s="132">
        <f t="shared" si="457"/>
        <v>0</v>
      </c>
      <c r="R264" s="134">
        <f t="shared" si="453"/>
        <v>0</v>
      </c>
      <c r="S264" s="136">
        <f t="shared" si="454"/>
        <v>0</v>
      </c>
      <c r="T264" s="138">
        <f t="shared" si="455"/>
        <v>0</v>
      </c>
      <c r="U264" s="144">
        <f t="shared" si="456"/>
        <v>0</v>
      </c>
      <c r="W264" s="11">
        <v>0</v>
      </c>
      <c r="X264" s="1">
        <v>0</v>
      </c>
      <c r="Y264" s="35">
        <f t="shared" si="376"/>
        <v>0</v>
      </c>
      <c r="Z264" s="35">
        <f t="shared" si="394"/>
        <v>0</v>
      </c>
      <c r="AA264" s="15">
        <f t="shared" si="407"/>
        <v>2.1511175693895052E-9</v>
      </c>
      <c r="AB264" s="43">
        <f t="shared" si="451"/>
        <v>1.5921586809766223E-9</v>
      </c>
      <c r="AC264" s="43">
        <f t="shared" si="452"/>
        <v>0.74015418944696854</v>
      </c>
      <c r="AD264" s="33"/>
      <c r="AH264" s="31"/>
      <c r="AP264" s="35">
        <f t="shared" si="377"/>
        <v>0</v>
      </c>
      <c r="AQ264" s="35">
        <f t="shared" si="395"/>
        <v>0</v>
      </c>
      <c r="AR264" s="15">
        <f t="shared" si="408"/>
        <v>6.4961621550813459E-7</v>
      </c>
      <c r="AS264" s="28">
        <f t="shared" si="409"/>
        <v>3.3195534065405545E-6</v>
      </c>
      <c r="AT264" s="28">
        <f t="shared" si="410"/>
        <v>5.1100223905956152</v>
      </c>
      <c r="AU264" s="33"/>
      <c r="AY264" s="31"/>
      <c r="BG264" s="35">
        <f t="shared" si="378"/>
        <v>0</v>
      </c>
      <c r="BH264" s="35">
        <f t="shared" si="396"/>
        <v>0</v>
      </c>
      <c r="BI264" s="15">
        <f t="shared" si="411"/>
        <v>8.9467814951306323E-7</v>
      </c>
      <c r="BJ264" s="28">
        <f t="shared" si="412"/>
        <v>5.0995089228608303E-6</v>
      </c>
      <c r="BK264" s="28">
        <f t="shared" si="413"/>
        <v>5.6998250439404208</v>
      </c>
      <c r="BL264" s="33"/>
      <c r="BP264" s="31"/>
      <c r="BX264" s="35">
        <f t="shared" si="379"/>
        <v>0</v>
      </c>
      <c r="BY264" s="35">
        <f t="shared" si="397"/>
        <v>0</v>
      </c>
      <c r="BZ264" s="15">
        <f t="shared" si="414"/>
        <v>6.8028374381196396E-7</v>
      </c>
      <c r="CA264" s="28">
        <f t="shared" si="415"/>
        <v>3.1691018318159259E-6</v>
      </c>
      <c r="CB264" s="28">
        <f t="shared" si="416"/>
        <v>4.6585000165635178</v>
      </c>
      <c r="CC264" s="33"/>
      <c r="CG264" s="31"/>
      <c r="CO264" s="35">
        <f t="shared" si="380"/>
        <v>0</v>
      </c>
      <c r="CP264" s="35">
        <f t="shared" si="398"/>
        <v>0</v>
      </c>
      <c r="CQ264" s="15">
        <f t="shared" si="417"/>
        <v>7.4533734230983165E-7</v>
      </c>
      <c r="CR264" s="28">
        <f t="shared" si="418"/>
        <v>4.1009946893606259E-6</v>
      </c>
      <c r="CS264" s="28">
        <f t="shared" si="419"/>
        <v>5.5021994157054728</v>
      </c>
      <c r="CT264" s="33"/>
      <c r="CX264" s="31"/>
      <c r="DF264" s="35">
        <f t="shared" si="381"/>
        <v>0</v>
      </c>
      <c r="DG264" s="35">
        <f t="shared" si="399"/>
        <v>0</v>
      </c>
      <c r="DH264" s="15">
        <f t="shared" si="420"/>
        <v>7.2494635015359644E-7</v>
      </c>
      <c r="DI264" s="28">
        <f t="shared" si="421"/>
        <v>2.4918560897728711E-6</v>
      </c>
      <c r="DJ264" s="28">
        <f t="shared" si="422"/>
        <v>3.4372972417130101</v>
      </c>
      <c r="DK264" s="33"/>
      <c r="DO264" s="31"/>
      <c r="DW264" s="35">
        <f t="shared" si="382"/>
        <v>0</v>
      </c>
      <c r="DX264" s="35">
        <f t="shared" si="400"/>
        <v>0</v>
      </c>
      <c r="DY264" s="15">
        <f t="shared" si="423"/>
        <v>7.5057418700917932E-7</v>
      </c>
      <c r="DZ264" s="28">
        <f t="shared" si="424"/>
        <v>2.4328030282357172E-6</v>
      </c>
      <c r="EA264" s="28">
        <f t="shared" si="425"/>
        <v>3.2412559215894867</v>
      </c>
      <c r="EB264" s="33"/>
      <c r="EF264" s="31"/>
      <c r="EN264" s="35">
        <f t="shared" si="383"/>
        <v>0</v>
      </c>
      <c r="EO264" s="35">
        <f t="shared" si="401"/>
        <v>0</v>
      </c>
      <c r="EP264" s="15">
        <f t="shared" si="426"/>
        <v>8.0137648154424396E-7</v>
      </c>
      <c r="EQ264" s="28">
        <f t="shared" si="427"/>
        <v>4.7803340048765401E-6</v>
      </c>
      <c r="ER264" s="28">
        <f t="shared" si="428"/>
        <v>5.9651538508653106</v>
      </c>
      <c r="ES264" s="33"/>
      <c r="EW264" s="31"/>
      <c r="FE264" s="35">
        <f t="shared" si="384"/>
        <v>0</v>
      </c>
      <c r="FF264" s="35">
        <f t="shared" si="402"/>
        <v>0</v>
      </c>
      <c r="FG264" s="15">
        <f t="shared" si="429"/>
        <v>7.7421396622144934E-7</v>
      </c>
      <c r="FH264" s="28">
        <f t="shared" si="430"/>
        <v>4.3759557341972442E-6</v>
      </c>
      <c r="FI264" s="28">
        <f t="shared" si="431"/>
        <v>5.6521270929199234</v>
      </c>
      <c r="FJ264" s="33"/>
      <c r="FN264" s="31"/>
      <c r="FV264" s="35">
        <f t="shared" si="385"/>
        <v>0</v>
      </c>
      <c r="FW264" s="35">
        <f t="shared" si="403"/>
        <v>0</v>
      </c>
      <c r="FX264" s="15">
        <f t="shared" si="432"/>
        <v>7.2883870960362218E-7</v>
      </c>
      <c r="FY264" s="28">
        <f t="shared" si="433"/>
        <v>4.3817210726483928E-6</v>
      </c>
      <c r="FZ264" s="28">
        <f t="shared" si="434"/>
        <v>6.0119214510867369</v>
      </c>
      <c r="GA264" s="33"/>
      <c r="GE264" s="31"/>
      <c r="GM264" s="35">
        <f t="shared" si="386"/>
        <v>0</v>
      </c>
      <c r="GN264" s="35">
        <f t="shared" si="404"/>
        <v>0</v>
      </c>
      <c r="GO264" s="15">
        <f t="shared" si="435"/>
        <v>7.5313596885482816E-7</v>
      </c>
      <c r="GP264" s="28">
        <f t="shared" si="436"/>
        <v>4.5158401462796062E-6</v>
      </c>
      <c r="GQ264" s="28">
        <f t="shared" si="437"/>
        <v>5.9960489646326582</v>
      </c>
      <c r="GR264" s="33"/>
      <c r="GV264" s="31"/>
      <c r="HD264" s="35">
        <f t="shared" si="387"/>
        <v>0</v>
      </c>
      <c r="HE264" s="35">
        <f t="shared" si="405"/>
        <v>0</v>
      </c>
      <c r="HF264" s="15">
        <f t="shared" si="438"/>
        <v>1.0609462387596614E-6</v>
      </c>
      <c r="HG264" s="28">
        <f t="shared" si="439"/>
        <v>3.2756230812427755E-6</v>
      </c>
      <c r="HH264" s="28">
        <f t="shared" si="440"/>
        <v>3.087454351195273</v>
      </c>
      <c r="HI264" s="33"/>
      <c r="HM264" s="31"/>
      <c r="HU264" s="35">
        <f t="shared" si="388"/>
        <v>0</v>
      </c>
      <c r="HV264" s="35">
        <f t="shared" si="406"/>
        <v>0</v>
      </c>
      <c r="HW264" s="15">
        <f t="shared" si="441"/>
        <v>2.4493911820715487E-15</v>
      </c>
      <c r="HX264" s="28">
        <f t="shared" si="442"/>
        <v>1.1511749116751467E-18</v>
      </c>
      <c r="HY264" s="28">
        <f t="shared" si="443"/>
        <v>4.6998410058027225E-4</v>
      </c>
      <c r="HZ264" s="33"/>
      <c r="ID264" s="31"/>
      <c r="II264" s="12"/>
      <c r="IL264" s="35">
        <f t="shared" si="389"/>
        <v>0</v>
      </c>
      <c r="IM264" s="35">
        <f t="shared" si="390"/>
        <v>23.292514800076148</v>
      </c>
      <c r="IN264" s="15">
        <f t="shared" si="444"/>
        <v>2.413800917457309E-7</v>
      </c>
      <c r="IO264" s="28">
        <f t="shared" si="445"/>
        <v>8.5146175626944446E-8</v>
      </c>
      <c r="IP264" s="28">
        <f t="shared" si="446"/>
        <v>0.35274729995809756</v>
      </c>
      <c r="IQ264" s="33"/>
      <c r="IU264" s="31"/>
      <c r="JC264" s="35">
        <f t="shared" si="458"/>
        <v>0</v>
      </c>
      <c r="JD264" s="35">
        <f t="shared" si="391"/>
        <v>27.511015718518149</v>
      </c>
      <c r="JE264" s="15">
        <f t="shared" si="447"/>
        <v>2.9148599663720839E-7</v>
      </c>
      <c r="JF264" s="28">
        <f t="shared" si="448"/>
        <v>1.0867663124089617E-7</v>
      </c>
      <c r="JG264" s="28">
        <f t="shared" si="449"/>
        <v>0.37283654273161582</v>
      </c>
      <c r="JH264" s="33"/>
      <c r="JL264" s="31"/>
      <c r="JR264" s="99"/>
      <c r="JS264" s="99"/>
      <c r="JT264" s="99"/>
      <c r="JU264" s="99"/>
      <c r="JV264" s="99"/>
      <c r="JW264" s="99"/>
      <c r="JX264" s="99"/>
      <c r="JY264" s="99"/>
      <c r="JZ264" s="99"/>
      <c r="KA264" s="99"/>
      <c r="KB264" s="99"/>
      <c r="KC264" s="99"/>
      <c r="KD264" s="99"/>
      <c r="KE264" s="99"/>
      <c r="KF264" s="99"/>
      <c r="KG264" s="99"/>
      <c r="KH264" s="99"/>
      <c r="KI264" s="99"/>
      <c r="KJ264" s="99"/>
      <c r="KK264" s="99"/>
      <c r="KL264" s="99"/>
      <c r="KM264" s="99"/>
      <c r="KN264" s="99"/>
      <c r="KO264" s="99"/>
      <c r="KP264" s="99"/>
      <c r="KQ264" s="99"/>
      <c r="KR264" s="99"/>
      <c r="KS264" s="99"/>
      <c r="KT264" s="99"/>
      <c r="KU264" s="99"/>
      <c r="KV264" s="99"/>
      <c r="KW264" s="99"/>
      <c r="KX264" s="99"/>
      <c r="KY264" s="99"/>
      <c r="KZ264" s="99"/>
      <c r="LA264" s="99"/>
      <c r="LB264" s="99"/>
      <c r="LC264" s="99"/>
      <c r="LD264" s="99"/>
      <c r="LE264" s="99"/>
      <c r="LF264" s="99"/>
      <c r="LG264" s="99"/>
      <c r="LH264" s="99"/>
      <c r="LI264" s="99"/>
      <c r="LJ264" s="99"/>
      <c r="LK264" s="99"/>
      <c r="LL264" s="99"/>
      <c r="LM264" s="99"/>
      <c r="LN264" s="99"/>
      <c r="LO264" s="99"/>
      <c r="LP264" s="99"/>
      <c r="LQ264" s="99"/>
      <c r="LR264" s="99"/>
      <c r="LS264" s="99"/>
      <c r="LT264" s="99"/>
      <c r="LU264" s="99"/>
      <c r="LV264" s="99"/>
      <c r="LW264" s="99"/>
      <c r="LX264" s="99"/>
      <c r="LY264" s="99"/>
      <c r="LZ264" s="99"/>
      <c r="MA264" s="99"/>
      <c r="MB264" s="99"/>
      <c r="MC264" s="99"/>
      <c r="MD264" s="99"/>
      <c r="ME264" s="99"/>
      <c r="MF264" s="99"/>
    </row>
    <row r="265" spans="1:344" ht="17.25" customHeight="1" x14ac:dyDescent="0.25">
      <c r="A265" s="156"/>
      <c r="B265" s="81" t="s">
        <v>3</v>
      </c>
      <c r="C265" s="82">
        <v>45399</v>
      </c>
      <c r="D265" s="49"/>
      <c r="G265" s="89">
        <f t="shared" si="373"/>
        <v>0</v>
      </c>
      <c r="H265" s="35">
        <f t="shared" si="374"/>
        <v>0</v>
      </c>
      <c r="I265" s="39"/>
      <c r="L265" s="89">
        <f t="shared" si="375"/>
        <v>0</v>
      </c>
      <c r="M265" s="35">
        <f t="shared" si="392"/>
        <v>0</v>
      </c>
      <c r="N265" s="35">
        <f t="shared" si="393"/>
        <v>0</v>
      </c>
      <c r="O265" s="97" t="e">
        <f>SUM($Z265,$BH265,$AQ265,$BY265,$CP265,$DG265,$DX265,$EO265,$FF265,$FW265,$GN265)/D265</f>
        <v>#DIV/0!</v>
      </c>
      <c r="P265" s="150"/>
      <c r="Q265" s="132">
        <f t="shared" si="457"/>
        <v>0</v>
      </c>
      <c r="R265" s="134">
        <f t="shared" si="453"/>
        <v>0</v>
      </c>
      <c r="S265" s="136">
        <f t="shared" si="454"/>
        <v>0</v>
      </c>
      <c r="T265" s="138">
        <f t="shared" si="455"/>
        <v>0</v>
      </c>
      <c r="U265" s="144">
        <f t="shared" si="456"/>
        <v>0</v>
      </c>
      <c r="W265" s="11">
        <v>0</v>
      </c>
      <c r="X265" s="1">
        <v>0</v>
      </c>
      <c r="Y265" s="35">
        <f t="shared" si="376"/>
        <v>0</v>
      </c>
      <c r="Z265" s="35">
        <f t="shared" si="394"/>
        <v>0</v>
      </c>
      <c r="AA265" s="15">
        <f t="shared" si="407"/>
        <v>1.7328447086748791E-9</v>
      </c>
      <c r="AB265" s="43">
        <f t="shared" si="451"/>
        <v>1.1941190107324667E-9</v>
      </c>
      <c r="AC265" s="43">
        <f t="shared" si="452"/>
        <v>0.68910907293338453</v>
      </c>
      <c r="AD265" s="33"/>
      <c r="AH265" s="31"/>
      <c r="AP265" s="35">
        <f t="shared" si="377"/>
        <v>0</v>
      </c>
      <c r="AQ265" s="35">
        <f t="shared" si="395"/>
        <v>0</v>
      </c>
      <c r="AR265" s="15">
        <f t="shared" si="408"/>
        <v>5.23301951381553E-7</v>
      </c>
      <c r="AS265" s="28">
        <f t="shared" si="409"/>
        <v>2.4896650549054161E-6</v>
      </c>
      <c r="AT265" s="28">
        <f t="shared" si="410"/>
        <v>4.7576070533131585</v>
      </c>
      <c r="AU265" s="33"/>
      <c r="AY265" s="31"/>
      <c r="BG265" s="35">
        <f t="shared" si="378"/>
        <v>0</v>
      </c>
      <c r="BH265" s="35">
        <f t="shared" si="396"/>
        <v>0</v>
      </c>
      <c r="BI265" s="15">
        <f t="shared" si="411"/>
        <v>7.2071295377441217E-7</v>
      </c>
      <c r="BJ265" s="28">
        <f t="shared" si="412"/>
        <v>3.8246316921456227E-6</v>
      </c>
      <c r="BK265" s="28">
        <f t="shared" si="413"/>
        <v>5.3067336615997016</v>
      </c>
      <c r="BL265" s="33"/>
      <c r="BP265" s="31"/>
      <c r="BX265" s="35">
        <f t="shared" si="379"/>
        <v>0</v>
      </c>
      <c r="BY265" s="35">
        <f t="shared" si="397"/>
        <v>0</v>
      </c>
      <c r="BZ265" s="15">
        <f t="shared" si="414"/>
        <v>5.4800634918185992E-7</v>
      </c>
      <c r="CA265" s="28">
        <f t="shared" si="415"/>
        <v>2.3768263738619447E-6</v>
      </c>
      <c r="CB265" s="28">
        <f t="shared" si="416"/>
        <v>4.3372241533522402</v>
      </c>
      <c r="CC265" s="33"/>
      <c r="CG265" s="31"/>
      <c r="CO265" s="35">
        <f t="shared" si="380"/>
        <v>0</v>
      </c>
      <c r="CP265" s="35">
        <f t="shared" si="398"/>
        <v>0</v>
      </c>
      <c r="CQ265" s="15">
        <f t="shared" si="417"/>
        <v>6.0041063686069786E-7</v>
      </c>
      <c r="CR265" s="28">
        <f t="shared" si="418"/>
        <v>3.0757460170204694E-6</v>
      </c>
      <c r="CS265" s="28">
        <f t="shared" si="419"/>
        <v>5.1227373870361292</v>
      </c>
      <c r="CT265" s="33"/>
      <c r="CX265" s="31"/>
      <c r="DF265" s="35">
        <f t="shared" si="381"/>
        <v>0</v>
      </c>
      <c r="DG265" s="35">
        <f t="shared" si="399"/>
        <v>0</v>
      </c>
      <c r="DH265" s="15">
        <f t="shared" si="420"/>
        <v>5.839845598459527E-7</v>
      </c>
      <c r="DI265" s="28">
        <f t="shared" si="421"/>
        <v>1.8688920673296533E-6</v>
      </c>
      <c r="DJ265" s="28">
        <f t="shared" si="422"/>
        <v>3.2002422595259059</v>
      </c>
      <c r="DK265" s="33"/>
      <c r="DO265" s="31"/>
      <c r="DW265" s="35">
        <f t="shared" si="382"/>
        <v>0</v>
      </c>
      <c r="DX265" s="35">
        <f t="shared" si="400"/>
        <v>0</v>
      </c>
      <c r="DY265" s="15">
        <f t="shared" si="423"/>
        <v>6.0462920620183881E-7</v>
      </c>
      <c r="DZ265" s="28">
        <f t="shared" si="424"/>
        <v>1.8246022711767878E-6</v>
      </c>
      <c r="EA265" s="28">
        <f t="shared" si="425"/>
        <v>3.0177210304453843</v>
      </c>
      <c r="EB265" s="33"/>
      <c r="EF265" s="31"/>
      <c r="EN265" s="35">
        <f t="shared" si="383"/>
        <v>0</v>
      </c>
      <c r="EO265" s="35">
        <f t="shared" si="401"/>
        <v>0</v>
      </c>
      <c r="EP265" s="15">
        <f t="shared" si="426"/>
        <v>6.4555327679952978E-7</v>
      </c>
      <c r="EQ265" s="28">
        <f t="shared" si="427"/>
        <v>3.5852505036574051E-6</v>
      </c>
      <c r="ER265" s="28">
        <f t="shared" si="428"/>
        <v>5.5537639301159789</v>
      </c>
      <c r="ES265" s="33"/>
      <c r="EW265" s="31"/>
      <c r="FE265" s="35">
        <f t="shared" si="384"/>
        <v>0</v>
      </c>
      <c r="FF265" s="35">
        <f t="shared" si="402"/>
        <v>0</v>
      </c>
      <c r="FG265" s="15">
        <f t="shared" si="429"/>
        <v>6.2367236167838971E-7</v>
      </c>
      <c r="FH265" s="28">
        <f t="shared" si="430"/>
        <v>3.2819668006479331E-6</v>
      </c>
      <c r="FI265" s="28">
        <f t="shared" si="431"/>
        <v>5.2623252244426872</v>
      </c>
      <c r="FJ265" s="33"/>
      <c r="FN265" s="31"/>
      <c r="FV265" s="35">
        <f t="shared" si="385"/>
        <v>0</v>
      </c>
      <c r="FW265" s="35">
        <f t="shared" si="403"/>
        <v>0</v>
      </c>
      <c r="FX265" s="15">
        <f t="shared" si="432"/>
        <v>5.8712007162514009E-7</v>
      </c>
      <c r="FY265" s="28">
        <f t="shared" si="433"/>
        <v>3.2862908044862946E-6</v>
      </c>
      <c r="FZ265" s="28">
        <f t="shared" si="434"/>
        <v>5.5973061785979965</v>
      </c>
      <c r="GA265" s="33"/>
      <c r="GE265" s="31"/>
      <c r="GM265" s="35">
        <f t="shared" si="386"/>
        <v>0</v>
      </c>
      <c r="GN265" s="35">
        <f t="shared" si="404"/>
        <v>0</v>
      </c>
      <c r="GO265" s="15">
        <f t="shared" si="435"/>
        <v>6.0669286379972266E-7</v>
      </c>
      <c r="GP265" s="28">
        <f t="shared" si="436"/>
        <v>3.3868801097097046E-6</v>
      </c>
      <c r="GQ265" s="28">
        <f t="shared" si="437"/>
        <v>5.58252834638213</v>
      </c>
      <c r="GR265" s="33"/>
      <c r="GV265" s="31"/>
      <c r="HD265" s="35">
        <f t="shared" si="387"/>
        <v>0</v>
      </c>
      <c r="HE265" s="35">
        <f t="shared" si="405"/>
        <v>0</v>
      </c>
      <c r="HF265" s="15">
        <f t="shared" si="438"/>
        <v>8.5465113677861612E-7</v>
      </c>
      <c r="HG265" s="28">
        <f t="shared" si="439"/>
        <v>2.4567173109320819E-6</v>
      </c>
      <c r="HH265" s="28">
        <f t="shared" si="440"/>
        <v>2.8745264649059439</v>
      </c>
      <c r="HI265" s="33"/>
      <c r="HM265" s="31"/>
      <c r="HU265" s="35">
        <f t="shared" si="388"/>
        <v>0</v>
      </c>
      <c r="HV265" s="35">
        <f t="shared" si="406"/>
        <v>0</v>
      </c>
      <c r="HW265" s="15">
        <f t="shared" si="441"/>
        <v>1.9731206744465256E-15</v>
      </c>
      <c r="HX265" s="28">
        <f t="shared" si="442"/>
        <v>8.6338118375636004E-19</v>
      </c>
      <c r="HY265" s="28">
        <f t="shared" si="443"/>
        <v>4.375714039885293E-4</v>
      </c>
      <c r="HZ265" s="33"/>
      <c r="ID265" s="31"/>
      <c r="II265" s="12"/>
      <c r="IL265" s="35">
        <f t="shared" si="389"/>
        <v>0</v>
      </c>
      <c r="IM265" s="35">
        <f t="shared" si="390"/>
        <v>21.686131918085742</v>
      </c>
      <c r="IN265" s="15">
        <f t="shared" si="444"/>
        <v>1.9444507390628324E-7</v>
      </c>
      <c r="IO265" s="28">
        <f t="shared" si="445"/>
        <v>6.3859631720208334E-8</v>
      </c>
      <c r="IP265" s="28">
        <f t="shared" si="446"/>
        <v>0.32841989996098736</v>
      </c>
      <c r="IQ265" s="33"/>
      <c r="IU265" s="31"/>
      <c r="JC265" s="35">
        <f t="shared" si="458"/>
        <v>0</v>
      </c>
      <c r="JD265" s="35">
        <f t="shared" si="391"/>
        <v>25.613701039396624</v>
      </c>
      <c r="JE265" s="15">
        <f t="shared" si="447"/>
        <v>2.3480816395775122E-7</v>
      </c>
      <c r="JF265" s="28">
        <f t="shared" si="448"/>
        <v>8.1507473430672127E-8</v>
      </c>
      <c r="JG265" s="28">
        <f t="shared" si="449"/>
        <v>0.34712367771564229</v>
      </c>
      <c r="JH265" s="33"/>
      <c r="JL265" s="31"/>
      <c r="JR265" s="99"/>
      <c r="JS265" s="99"/>
      <c r="JT265" s="99"/>
      <c r="JU265" s="99"/>
      <c r="JV265" s="99"/>
      <c r="JW265" s="99"/>
      <c r="JX265" s="99"/>
      <c r="JY265" s="99"/>
      <c r="JZ265" s="99"/>
      <c r="KA265" s="99"/>
      <c r="KB265" s="99"/>
      <c r="KC265" s="99"/>
      <c r="KD265" s="99"/>
      <c r="KE265" s="99"/>
      <c r="KF265" s="99"/>
      <c r="KG265" s="99"/>
      <c r="KH265" s="99"/>
      <c r="KI265" s="99"/>
      <c r="KJ265" s="99"/>
      <c r="KK265" s="99"/>
      <c r="KL265" s="99"/>
      <c r="KM265" s="99"/>
      <c r="KN265" s="99"/>
      <c r="KO265" s="99"/>
      <c r="KP265" s="99"/>
      <c r="KQ265" s="99"/>
      <c r="KR265" s="99"/>
      <c r="KS265" s="99"/>
      <c r="KT265" s="99"/>
      <c r="KU265" s="99"/>
      <c r="KV265" s="99"/>
      <c r="KW265" s="99"/>
      <c r="KX265" s="99"/>
      <c r="KY265" s="99"/>
      <c r="KZ265" s="99"/>
      <c r="LA265" s="99"/>
      <c r="LB265" s="99"/>
      <c r="LC265" s="99"/>
      <c r="LD265" s="99"/>
      <c r="LE265" s="99"/>
      <c r="LF265" s="99"/>
      <c r="LG265" s="99"/>
      <c r="LH265" s="99"/>
      <c r="LI265" s="99"/>
      <c r="LJ265" s="99"/>
      <c r="LK265" s="99"/>
      <c r="LL265" s="99"/>
      <c r="LM265" s="99"/>
      <c r="LN265" s="99"/>
      <c r="LO265" s="99"/>
      <c r="LP265" s="99"/>
      <c r="LQ265" s="99"/>
      <c r="LR265" s="99"/>
      <c r="LS265" s="99"/>
      <c r="LT265" s="99"/>
      <c r="LU265" s="99"/>
      <c r="LV265" s="99"/>
      <c r="LW265" s="99"/>
      <c r="LX265" s="99"/>
      <c r="LY265" s="99"/>
      <c r="LZ265" s="99"/>
      <c r="MA265" s="99"/>
      <c r="MB265" s="99"/>
      <c r="MC265" s="99"/>
      <c r="MD265" s="99"/>
      <c r="ME265" s="99"/>
      <c r="MF265" s="99"/>
    </row>
    <row r="266" spans="1:344" ht="17.25" customHeight="1" x14ac:dyDescent="0.25">
      <c r="A266" s="156"/>
      <c r="B266" s="81" t="s">
        <v>4</v>
      </c>
      <c r="C266" s="82">
        <v>45400</v>
      </c>
      <c r="D266" s="49"/>
      <c r="G266" s="89">
        <f t="shared" si="373"/>
        <v>0</v>
      </c>
      <c r="H266" s="35">
        <f t="shared" si="374"/>
        <v>0</v>
      </c>
      <c r="I266" s="39"/>
      <c r="L266" s="89">
        <f t="shared" si="375"/>
        <v>0</v>
      </c>
      <c r="M266" s="35">
        <f t="shared" si="392"/>
        <v>0</v>
      </c>
      <c r="N266" s="35">
        <f t="shared" si="393"/>
        <v>0</v>
      </c>
      <c r="O266" s="97" t="e">
        <f>SUM($Z266,$BH266,$AQ266,$BY266,$CP266,$DG266,$DX266,$EO266,$FF266,$FW266,$GN266)/D266</f>
        <v>#DIV/0!</v>
      </c>
      <c r="P266" s="150"/>
      <c r="Q266" s="132">
        <f t="shared" si="457"/>
        <v>0</v>
      </c>
      <c r="R266" s="134">
        <f t="shared" si="453"/>
        <v>0</v>
      </c>
      <c r="S266" s="136">
        <f t="shared" si="454"/>
        <v>0</v>
      </c>
      <c r="T266" s="138">
        <f t="shared" si="455"/>
        <v>0</v>
      </c>
      <c r="U266" s="144">
        <f t="shared" si="456"/>
        <v>0</v>
      </c>
      <c r="W266" s="11">
        <v>0</v>
      </c>
      <c r="X266" s="1">
        <v>0</v>
      </c>
      <c r="Y266" s="35">
        <f t="shared" si="376"/>
        <v>0</v>
      </c>
      <c r="Z266" s="35">
        <f t="shared" si="394"/>
        <v>0</v>
      </c>
      <c r="AA266" s="15">
        <f t="shared" si="407"/>
        <v>1.395902681988097E-9</v>
      </c>
      <c r="AB266" s="43">
        <f t="shared" si="451"/>
        <v>8.9558925804935004E-10</v>
      </c>
      <c r="AC266" s="43">
        <f t="shared" si="452"/>
        <v>0.6415843092828063</v>
      </c>
      <c r="AD266" s="33"/>
      <c r="AH266" s="31"/>
      <c r="AP266" s="35">
        <f t="shared" si="377"/>
        <v>0</v>
      </c>
      <c r="AQ266" s="35">
        <f t="shared" si="395"/>
        <v>0</v>
      </c>
      <c r="AR266" s="15">
        <f t="shared" si="408"/>
        <v>4.2154879416847324E-7</v>
      </c>
      <c r="AS266" s="28">
        <f t="shared" si="409"/>
        <v>1.8672487911790621E-6</v>
      </c>
      <c r="AT266" s="28">
        <f t="shared" si="410"/>
        <v>4.4294962220501821</v>
      </c>
      <c r="AU266" s="33"/>
      <c r="AY266" s="31"/>
      <c r="BG266" s="35">
        <f t="shared" si="378"/>
        <v>0</v>
      </c>
      <c r="BH266" s="35">
        <f t="shared" si="396"/>
        <v>0</v>
      </c>
      <c r="BI266" s="15">
        <f t="shared" si="411"/>
        <v>5.8057432387383204E-7</v>
      </c>
      <c r="BJ266" s="28">
        <f t="shared" si="412"/>
        <v>2.868473769109217E-6</v>
      </c>
      <c r="BK266" s="28">
        <f t="shared" si="413"/>
        <v>4.940752029765239</v>
      </c>
      <c r="BL266" s="33"/>
      <c r="BP266" s="31"/>
      <c r="BX266" s="35">
        <f t="shared" si="379"/>
        <v>0</v>
      </c>
      <c r="BY266" s="35">
        <f t="shared" si="397"/>
        <v>0</v>
      </c>
      <c r="BZ266" s="15">
        <f t="shared" si="414"/>
        <v>4.4144955906316501E-7</v>
      </c>
      <c r="CA266" s="28">
        <f t="shared" si="415"/>
        <v>1.7826197803964585E-6</v>
      </c>
      <c r="CB266" s="28">
        <f t="shared" si="416"/>
        <v>4.0381052462244993</v>
      </c>
      <c r="CC266" s="33"/>
      <c r="CG266" s="31"/>
      <c r="CO266" s="35">
        <f t="shared" si="380"/>
        <v>0</v>
      </c>
      <c r="CP266" s="35">
        <f t="shared" si="398"/>
        <v>0</v>
      </c>
      <c r="CQ266" s="15">
        <f t="shared" si="417"/>
        <v>4.8366412413778432E-7</v>
      </c>
      <c r="CR266" s="28">
        <f t="shared" si="418"/>
        <v>2.3068095127653522E-6</v>
      </c>
      <c r="CS266" s="28">
        <f t="shared" si="419"/>
        <v>4.7694451534474309</v>
      </c>
      <c r="CT266" s="33"/>
      <c r="CX266" s="31"/>
      <c r="DF266" s="35">
        <f t="shared" si="381"/>
        <v>0</v>
      </c>
      <c r="DG266" s="35">
        <f t="shared" si="399"/>
        <v>0</v>
      </c>
      <c r="DH266" s="15">
        <f t="shared" si="420"/>
        <v>4.7043200654257302E-7</v>
      </c>
      <c r="DI266" s="28">
        <f t="shared" si="421"/>
        <v>1.4016690504972399E-6</v>
      </c>
      <c r="DJ266" s="28">
        <f t="shared" si="422"/>
        <v>2.9795358967999812</v>
      </c>
      <c r="DK266" s="33"/>
      <c r="DO266" s="31"/>
      <c r="DW266" s="35">
        <f t="shared" si="382"/>
        <v>0</v>
      </c>
      <c r="DX266" s="35">
        <f t="shared" si="400"/>
        <v>0</v>
      </c>
      <c r="DY266" s="15">
        <f t="shared" si="423"/>
        <v>4.870624161070368E-7</v>
      </c>
      <c r="DZ266" s="28">
        <f t="shared" si="424"/>
        <v>1.3684517033825907E-6</v>
      </c>
      <c r="EA266" s="28">
        <f t="shared" si="425"/>
        <v>2.8096023386905302</v>
      </c>
      <c r="EB266" s="33"/>
      <c r="EF266" s="31"/>
      <c r="EN266" s="35">
        <f t="shared" si="383"/>
        <v>0</v>
      </c>
      <c r="EO266" s="35">
        <f t="shared" si="401"/>
        <v>0</v>
      </c>
      <c r="EP266" s="15">
        <f t="shared" si="426"/>
        <v>5.2002902853295456E-7</v>
      </c>
      <c r="EQ266" s="28">
        <f t="shared" si="427"/>
        <v>2.6889378777430536E-6</v>
      </c>
      <c r="ER266" s="28">
        <f t="shared" si="428"/>
        <v>5.170745728039015</v>
      </c>
      <c r="ES266" s="33"/>
      <c r="EW266" s="31"/>
      <c r="FE266" s="35">
        <f t="shared" si="384"/>
        <v>0</v>
      </c>
      <c r="FF266" s="35">
        <f t="shared" si="402"/>
        <v>0</v>
      </c>
      <c r="FG266" s="15">
        <f t="shared" si="429"/>
        <v>5.0240273579648066E-7</v>
      </c>
      <c r="FH266" s="28">
        <f t="shared" si="430"/>
        <v>2.46147510048595E-6</v>
      </c>
      <c r="FI266" s="28">
        <f t="shared" si="431"/>
        <v>4.8994062434466397</v>
      </c>
      <c r="FJ266" s="33"/>
      <c r="FN266" s="31"/>
      <c r="FV266" s="35">
        <f t="shared" si="385"/>
        <v>0</v>
      </c>
      <c r="FW266" s="35">
        <f t="shared" si="403"/>
        <v>0</v>
      </c>
      <c r="FX266" s="15">
        <f t="shared" si="432"/>
        <v>4.7295783547580726E-7</v>
      </c>
      <c r="FY266" s="28">
        <f t="shared" si="433"/>
        <v>2.464718103364721E-6</v>
      </c>
      <c r="FZ266" s="28">
        <f t="shared" si="434"/>
        <v>5.2112850628326175</v>
      </c>
      <c r="GA266" s="33"/>
      <c r="GE266" s="31"/>
      <c r="GM266" s="35">
        <f t="shared" si="386"/>
        <v>0</v>
      </c>
      <c r="GN266" s="35">
        <f t="shared" si="404"/>
        <v>0</v>
      </c>
      <c r="GO266" s="15">
        <f t="shared" si="435"/>
        <v>4.8872480694977663E-7</v>
      </c>
      <c r="GP266" s="28">
        <f t="shared" si="436"/>
        <v>2.5401600822822785E-6</v>
      </c>
      <c r="GQ266" s="28">
        <f t="shared" si="437"/>
        <v>5.197526391459224</v>
      </c>
      <c r="GR266" s="33"/>
      <c r="GV266" s="31"/>
      <c r="HD266" s="35">
        <f t="shared" si="387"/>
        <v>0</v>
      </c>
      <c r="HE266" s="35">
        <f t="shared" si="405"/>
        <v>0</v>
      </c>
      <c r="HF266" s="15">
        <f t="shared" si="438"/>
        <v>6.8846897129388522E-7</v>
      </c>
      <c r="HG266" s="28">
        <f t="shared" si="439"/>
        <v>1.8425379831990614E-6</v>
      </c>
      <c r="HH266" s="28">
        <f t="shared" si="440"/>
        <v>2.6762832604296718</v>
      </c>
      <c r="HI266" s="33"/>
      <c r="HM266" s="31"/>
      <c r="HU266" s="35">
        <f t="shared" si="388"/>
        <v>0</v>
      </c>
      <c r="HV266" s="35">
        <f t="shared" si="406"/>
        <v>0</v>
      </c>
      <c r="HW266" s="15">
        <f t="shared" si="441"/>
        <v>1.5894583210819234E-15</v>
      </c>
      <c r="HX266" s="28">
        <f t="shared" si="442"/>
        <v>6.4753588781727008E-19</v>
      </c>
      <c r="HY266" s="28">
        <f t="shared" si="443"/>
        <v>4.0739406578242383E-4</v>
      </c>
      <c r="HZ266" s="33"/>
      <c r="ID266" s="31"/>
      <c r="II266" s="12"/>
      <c r="IL266" s="35">
        <f t="shared" si="389"/>
        <v>0</v>
      </c>
      <c r="IM266" s="35">
        <f t="shared" si="390"/>
        <v>20.190534685950297</v>
      </c>
      <c r="IN266" s="15">
        <f t="shared" si="444"/>
        <v>1.5663630953561709E-7</v>
      </c>
      <c r="IO266" s="28">
        <f t="shared" si="445"/>
        <v>4.7894723790156254E-8</v>
      </c>
      <c r="IP266" s="28">
        <f t="shared" si="446"/>
        <v>0.3057702516878158</v>
      </c>
      <c r="IQ266" s="33"/>
      <c r="IU266" s="31"/>
      <c r="JC266" s="35">
        <f t="shared" si="458"/>
        <v>0</v>
      </c>
      <c r="JD266" s="35">
        <f t="shared" si="391"/>
        <v>23.84723644546758</v>
      </c>
      <c r="JE266" s="15">
        <f t="shared" si="447"/>
        <v>1.8915102096596626E-7</v>
      </c>
      <c r="JF266" s="28">
        <f t="shared" si="448"/>
        <v>6.1130605073004092E-8</v>
      </c>
      <c r="JG266" s="28">
        <f t="shared" si="449"/>
        <v>0.32318411373525313</v>
      </c>
      <c r="JH266" s="33"/>
      <c r="JL266" s="31"/>
      <c r="JR266" s="99"/>
      <c r="JS266" s="99"/>
      <c r="JT266" s="99"/>
      <c r="JU266" s="99"/>
      <c r="JV266" s="99"/>
      <c r="JW266" s="99"/>
      <c r="JX266" s="99"/>
      <c r="JY266" s="99"/>
      <c r="JZ266" s="99"/>
      <c r="KA266" s="99"/>
      <c r="KB266" s="99"/>
      <c r="KC266" s="99"/>
      <c r="KD266" s="99"/>
      <c r="KE266" s="99"/>
      <c r="KF266" s="99"/>
      <c r="KG266" s="99"/>
      <c r="KH266" s="99"/>
      <c r="KI266" s="99"/>
      <c r="KJ266" s="99"/>
      <c r="KK266" s="99"/>
      <c r="KL266" s="99"/>
      <c r="KM266" s="99"/>
      <c r="KN266" s="99"/>
      <c r="KO266" s="99"/>
      <c r="KP266" s="99"/>
      <c r="KQ266" s="99"/>
      <c r="KR266" s="99"/>
      <c r="KS266" s="99"/>
      <c r="KT266" s="99"/>
      <c r="KU266" s="99"/>
      <c r="KV266" s="99"/>
      <c r="KW266" s="99"/>
      <c r="KX266" s="99"/>
      <c r="KY266" s="99"/>
      <c r="KZ266" s="99"/>
      <c r="LA266" s="99"/>
      <c r="LB266" s="99"/>
      <c r="LC266" s="99"/>
      <c r="LD266" s="99"/>
      <c r="LE266" s="99"/>
      <c r="LF266" s="99"/>
      <c r="LG266" s="99"/>
      <c r="LH266" s="99"/>
      <c r="LI266" s="99"/>
      <c r="LJ266" s="99"/>
      <c r="LK266" s="99"/>
      <c r="LL266" s="99"/>
      <c r="LM266" s="99"/>
      <c r="LN266" s="99"/>
      <c r="LO266" s="99"/>
      <c r="LP266" s="99"/>
      <c r="LQ266" s="99"/>
      <c r="LR266" s="99"/>
      <c r="LS266" s="99"/>
      <c r="LT266" s="99"/>
      <c r="LU266" s="99"/>
      <c r="LV266" s="99"/>
      <c r="LW266" s="99"/>
      <c r="LX266" s="99"/>
      <c r="LY266" s="99"/>
      <c r="LZ266" s="99"/>
      <c r="MA266" s="99"/>
      <c r="MB266" s="99"/>
      <c r="MC266" s="99"/>
      <c r="MD266" s="99"/>
      <c r="ME266" s="99"/>
      <c r="MF266" s="99"/>
    </row>
    <row r="267" spans="1:344" ht="17.25" customHeight="1" x14ac:dyDescent="0.25">
      <c r="A267" s="156"/>
      <c r="B267" s="81" t="s">
        <v>5</v>
      </c>
      <c r="C267" s="82">
        <v>45401</v>
      </c>
      <c r="D267" s="49"/>
      <c r="G267" s="89">
        <f t="shared" ref="G267:G311" si="459">AVERAGE(W267,AN267,BE267,BV267,CM267,DD267,DU267,EL267,FC267,FT267,GK267,KI257)</f>
        <v>0</v>
      </c>
      <c r="H267" s="35">
        <f t="shared" ref="H267:H318" si="460">F267*G267</f>
        <v>0</v>
      </c>
      <c r="I267" s="39"/>
      <c r="L267" s="89">
        <f t="shared" ref="L267:L318" si="461">AVERAGE(X267,AO267,BF267,BW267,CN267,DE267,DV267,EM267,FD267,FU267,GL267)</f>
        <v>0</v>
      </c>
      <c r="M267" s="35">
        <f t="shared" si="392"/>
        <v>0</v>
      </c>
      <c r="N267" s="35">
        <f t="shared" si="393"/>
        <v>0</v>
      </c>
      <c r="O267" s="97" t="e">
        <f>SUM($Z267,$BH267,$AQ267,$BY267,$CP267,$DG267,$DX267,$EO267,$FF267,$FW267,$GN267)/D267</f>
        <v>#DIV/0!</v>
      </c>
      <c r="P267" s="150"/>
      <c r="Q267" s="132">
        <f t="shared" si="457"/>
        <v>0</v>
      </c>
      <c r="R267" s="134">
        <f t="shared" si="453"/>
        <v>0</v>
      </c>
      <c r="S267" s="136">
        <f t="shared" si="454"/>
        <v>0</v>
      </c>
      <c r="T267" s="138">
        <f t="shared" si="455"/>
        <v>0</v>
      </c>
      <c r="U267" s="144">
        <f t="shared" si="456"/>
        <v>0</v>
      </c>
      <c r="W267" s="11">
        <v>0</v>
      </c>
      <c r="X267" s="1">
        <v>0</v>
      </c>
      <c r="Y267" s="35">
        <f t="shared" ref="Y267:Y318" si="462">(W267*F267)+X267*K267</f>
        <v>0</v>
      </c>
      <c r="Z267" s="35">
        <f t="shared" si="394"/>
        <v>0</v>
      </c>
      <c r="AA267" s="15">
        <f t="shared" si="407"/>
        <v>1.1244771604904116E-9</v>
      </c>
      <c r="AB267" s="43">
        <f t="shared" si="451"/>
        <v>6.7169194353701256E-10</v>
      </c>
      <c r="AC267" s="43">
        <f t="shared" si="452"/>
        <v>0.59733711553916446</v>
      </c>
      <c r="AD267" s="33"/>
      <c r="AH267" s="31"/>
      <c r="AP267" s="35">
        <f t="shared" ref="AP267:AP318" si="463">(AN267*$F267)+AO267*$K267</f>
        <v>0</v>
      </c>
      <c r="AQ267" s="35">
        <f t="shared" si="395"/>
        <v>0</v>
      </c>
      <c r="AR267" s="15">
        <f t="shared" si="408"/>
        <v>3.3958097308015903E-7</v>
      </c>
      <c r="AS267" s="28">
        <f t="shared" si="409"/>
        <v>1.4004365933842966E-6</v>
      </c>
      <c r="AT267" s="28">
        <f t="shared" si="410"/>
        <v>4.1240137239777557</v>
      </c>
      <c r="AU267" s="33"/>
      <c r="AY267" s="31"/>
      <c r="BG267" s="35">
        <f t="shared" ref="BG267:BG318" si="464">(BE267*$F267)+BF267*$K267</f>
        <v>0</v>
      </c>
      <c r="BH267" s="35">
        <f t="shared" si="396"/>
        <v>0</v>
      </c>
      <c r="BI267" s="15">
        <f t="shared" si="411"/>
        <v>4.6768487200947587E-7</v>
      </c>
      <c r="BJ267" s="28">
        <f t="shared" si="412"/>
        <v>2.1513553268319128E-6</v>
      </c>
      <c r="BK267" s="28">
        <f t="shared" si="413"/>
        <v>4.6000105104710842</v>
      </c>
      <c r="BL267" s="33"/>
      <c r="BP267" s="31"/>
      <c r="BX267" s="35">
        <f t="shared" ref="BX267:BX318" si="465">(BV267*$F267)+BW267*$K267</f>
        <v>0</v>
      </c>
      <c r="BY267" s="35">
        <f t="shared" si="397"/>
        <v>0</v>
      </c>
      <c r="BZ267" s="15">
        <f t="shared" si="414"/>
        <v>3.5561214480088287E-7</v>
      </c>
      <c r="CA267" s="28">
        <f t="shared" si="415"/>
        <v>1.3369648352973438E-6</v>
      </c>
      <c r="CB267" s="28">
        <f t="shared" si="416"/>
        <v>3.7596152292434994</v>
      </c>
      <c r="CC267" s="33"/>
      <c r="CG267" s="31"/>
      <c r="CO267" s="35">
        <f t="shared" ref="CO267:CO318" si="466">(CM267*$F267)+CN267*$K267</f>
        <v>0</v>
      </c>
      <c r="CP267" s="35">
        <f t="shared" si="398"/>
        <v>0</v>
      </c>
      <c r="CQ267" s="15">
        <f t="shared" si="417"/>
        <v>3.8961832222210402E-7</v>
      </c>
      <c r="CR267" s="28">
        <f t="shared" si="418"/>
        <v>1.7301071345740141E-6</v>
      </c>
      <c r="CS267" s="28">
        <f t="shared" si="419"/>
        <v>4.4405179014855394</v>
      </c>
      <c r="CT267" s="33"/>
      <c r="CX267" s="31"/>
      <c r="DF267" s="35">
        <f t="shared" ref="DF267:DF318" si="467">(DD267*$F267)+DE267*$K267</f>
        <v>0</v>
      </c>
      <c r="DG267" s="35">
        <f t="shared" si="399"/>
        <v>0</v>
      </c>
      <c r="DH267" s="15">
        <f t="shared" si="420"/>
        <v>3.7895911638151716E-7</v>
      </c>
      <c r="DI267" s="28">
        <f t="shared" si="421"/>
        <v>1.0512517878729298E-6</v>
      </c>
      <c r="DJ267" s="28">
        <f t="shared" si="422"/>
        <v>2.7740506625379133</v>
      </c>
      <c r="DK267" s="33"/>
      <c r="DO267" s="31"/>
      <c r="DW267" s="35">
        <f t="shared" ref="DW267:DW318" si="468">(DU267*$F267)+DV267*$K267</f>
        <v>0</v>
      </c>
      <c r="DX267" s="35">
        <f t="shared" si="400"/>
        <v>0</v>
      </c>
      <c r="DY267" s="15">
        <f t="shared" si="423"/>
        <v>3.923558351973352E-7</v>
      </c>
      <c r="DZ267" s="28">
        <f t="shared" si="424"/>
        <v>1.0263387775369431E-6</v>
      </c>
      <c r="EA267" s="28">
        <f t="shared" si="425"/>
        <v>2.6158366601601486</v>
      </c>
      <c r="EB267" s="33"/>
      <c r="EF267" s="31"/>
      <c r="EN267" s="35">
        <f t="shared" ref="EN267:EN318" si="469">(EL267*$F267)+EM267*$K267</f>
        <v>0</v>
      </c>
      <c r="EO267" s="35">
        <f t="shared" si="401"/>
        <v>0</v>
      </c>
      <c r="EP267" s="15">
        <f t="shared" si="426"/>
        <v>4.1891227298488001E-7</v>
      </c>
      <c r="EQ267" s="28">
        <f t="shared" si="427"/>
        <v>2.0167034083072902E-6</v>
      </c>
      <c r="ER267" s="28">
        <f t="shared" si="428"/>
        <v>4.8141425743811519</v>
      </c>
      <c r="ES267" s="33"/>
      <c r="EW267" s="31"/>
      <c r="FE267" s="35">
        <f t="shared" ref="FE267:FE318" si="470">(FC267*$F267)+FD267*$K267</f>
        <v>0</v>
      </c>
      <c r="FF267" s="35">
        <f t="shared" si="402"/>
        <v>0</v>
      </c>
      <c r="FG267" s="15">
        <f t="shared" si="429"/>
        <v>4.0471331494716503E-7</v>
      </c>
      <c r="FH267" s="28">
        <f t="shared" si="430"/>
        <v>1.8461063253644626E-6</v>
      </c>
      <c r="FI267" s="28">
        <f t="shared" si="431"/>
        <v>4.5615161576916989</v>
      </c>
      <c r="FJ267" s="33"/>
      <c r="FN267" s="31"/>
      <c r="FV267" s="35">
        <f t="shared" ref="FV267:FV318" si="471">(FT267*$F267)+FU267*$K267</f>
        <v>0</v>
      </c>
      <c r="FW267" s="35">
        <f t="shared" si="403"/>
        <v>0</v>
      </c>
      <c r="FX267" s="15">
        <f t="shared" si="432"/>
        <v>3.8099381191106698E-7</v>
      </c>
      <c r="FY267" s="28">
        <f t="shared" si="433"/>
        <v>1.8485385775235407E-6</v>
      </c>
      <c r="FZ267" s="28">
        <f t="shared" si="434"/>
        <v>4.8518860929820917</v>
      </c>
      <c r="GA267" s="33"/>
      <c r="GE267" s="31"/>
      <c r="GM267" s="35">
        <f t="shared" ref="GM267:GM318" si="472">(GK267*$F267)+GL267*$K267</f>
        <v>0</v>
      </c>
      <c r="GN267" s="35">
        <f t="shared" si="404"/>
        <v>0</v>
      </c>
      <c r="GO267" s="15">
        <f t="shared" si="435"/>
        <v>3.9369498337620894E-7</v>
      </c>
      <c r="GP267" s="28">
        <f t="shared" si="436"/>
        <v>1.9051200617117089E-6</v>
      </c>
      <c r="GQ267" s="28">
        <f t="shared" si="437"/>
        <v>4.8390762954965192</v>
      </c>
      <c r="GR267" s="33"/>
      <c r="GV267" s="31"/>
      <c r="HD267" s="35">
        <f t="shared" ref="HD267:HD318" si="473">(HB267*$F267)+HC267*$K267</f>
        <v>0</v>
      </c>
      <c r="HE267" s="35">
        <f t="shared" si="405"/>
        <v>0</v>
      </c>
      <c r="HF267" s="15">
        <f t="shared" si="438"/>
        <v>5.5460000465340764E-7</v>
      </c>
      <c r="HG267" s="28">
        <f t="shared" si="439"/>
        <v>1.3819034873992961E-6</v>
      </c>
      <c r="HH267" s="28">
        <f t="shared" si="440"/>
        <v>2.4917120010896943</v>
      </c>
      <c r="HI267" s="33"/>
      <c r="HM267" s="31"/>
      <c r="HU267" s="35">
        <f t="shared" ref="HU267:HU318" si="474">(HS267*$F267)+HT267*$K267</f>
        <v>0</v>
      </c>
      <c r="HV267" s="35">
        <f t="shared" si="406"/>
        <v>0</v>
      </c>
      <c r="HW267" s="15">
        <f t="shared" si="441"/>
        <v>1.2803969808715495E-15</v>
      </c>
      <c r="HX267" s="28">
        <f t="shared" si="442"/>
        <v>4.8565191586295256E-19</v>
      </c>
      <c r="HY267" s="28">
        <f t="shared" si="443"/>
        <v>3.7929792331467045E-4</v>
      </c>
      <c r="HZ267" s="33"/>
      <c r="ID267" s="31"/>
      <c r="II267" s="12"/>
      <c r="IL267" s="35">
        <f t="shared" ref="IL267:IL318" si="475">(IJ267*$F267)+IK267*$K267</f>
        <v>0</v>
      </c>
      <c r="IM267" s="35">
        <f t="shared" ref="IM267:IM318" si="476">(BX267*1+BY267*2+BZ267*3+CA267*4+CB267*5)+(CC267*1+CD267*2+CE267*3+CF267*4+CG267*5)</f>
        <v>18.798082560913272</v>
      </c>
      <c r="IN267" s="15">
        <f t="shared" si="444"/>
        <v>1.2617924934813601E-7</v>
      </c>
      <c r="IO267" s="28">
        <f t="shared" si="445"/>
        <v>3.5921042842617194E-8</v>
      </c>
      <c r="IP267" s="28">
        <f t="shared" si="446"/>
        <v>0.28468264812313882</v>
      </c>
      <c r="IQ267" s="33"/>
      <c r="IU267" s="31"/>
      <c r="JC267" s="35">
        <f t="shared" si="458"/>
        <v>0</v>
      </c>
      <c r="JD267" s="35">
        <f t="shared" ref="JD267:JD318" si="477">(CO267*1+CP267*2+CQ267*3+CR267*4+CS267*5)+(CT267*1+CU267*2+CV267*3+CW267*4+CX267*5)</f>
        <v>22.2025975967112</v>
      </c>
      <c r="JE267" s="15">
        <f t="shared" si="447"/>
        <v>1.523716557781395E-7</v>
      </c>
      <c r="JF267" s="28">
        <f t="shared" si="448"/>
        <v>4.5847953804753069E-8</v>
      </c>
      <c r="JG267" s="28">
        <f t="shared" si="449"/>
        <v>0.30089555416730462</v>
      </c>
      <c r="JH267" s="33"/>
      <c r="JL267" s="31"/>
      <c r="JR267" s="99"/>
      <c r="JS267" s="99"/>
      <c r="JT267" s="99"/>
      <c r="JU267" s="99"/>
      <c r="JV267" s="99"/>
      <c r="JW267" s="99"/>
      <c r="JX267" s="99"/>
      <c r="JY267" s="99"/>
      <c r="JZ267" s="99"/>
      <c r="KA267" s="99"/>
      <c r="KB267" s="99"/>
      <c r="KC267" s="99"/>
      <c r="KD267" s="99"/>
      <c r="KE267" s="99"/>
      <c r="KF267" s="99"/>
      <c r="KG267" s="99"/>
      <c r="KH267" s="99"/>
      <c r="KI267" s="99"/>
      <c r="KJ267" s="99"/>
      <c r="KK267" s="99"/>
      <c r="KL267" s="99"/>
      <c r="KM267" s="99"/>
      <c r="KN267" s="99"/>
      <c r="KO267" s="99"/>
      <c r="KP267" s="99"/>
      <c r="KQ267" s="99"/>
      <c r="KR267" s="99"/>
      <c r="KS267" s="99"/>
      <c r="KT267" s="99"/>
      <c r="KU267" s="99"/>
      <c r="KV267" s="99"/>
      <c r="KW267" s="99"/>
      <c r="KX267" s="99"/>
      <c r="KY267" s="99"/>
      <c r="KZ267" s="99"/>
      <c r="LA267" s="99"/>
      <c r="LB267" s="99"/>
      <c r="LC267" s="99"/>
      <c r="LD267" s="99"/>
      <c r="LE267" s="99"/>
      <c r="LF267" s="99"/>
      <c r="LG267" s="99"/>
      <c r="LH267" s="99"/>
      <c r="LI267" s="99"/>
      <c r="LJ267" s="99"/>
      <c r="LK267" s="99"/>
      <c r="LL267" s="99"/>
      <c r="LM267" s="99"/>
      <c r="LN267" s="99"/>
      <c r="LO267" s="99"/>
      <c r="LP267" s="99"/>
      <c r="LQ267" s="99"/>
      <c r="LR267" s="99"/>
      <c r="LS267" s="99"/>
      <c r="LT267" s="99"/>
      <c r="LU267" s="99"/>
      <c r="LV267" s="99"/>
      <c r="LW267" s="99"/>
      <c r="LX267" s="99"/>
      <c r="LY267" s="99"/>
      <c r="LZ267" s="99"/>
      <c r="MA267" s="99"/>
      <c r="MB267" s="99"/>
      <c r="MC267" s="99"/>
      <c r="MD267" s="99"/>
      <c r="ME267" s="99"/>
      <c r="MF267" s="99"/>
    </row>
    <row r="268" spans="1:344" ht="17.25" customHeight="1" x14ac:dyDescent="0.25">
      <c r="A268" s="156"/>
      <c r="B268" s="81" t="s">
        <v>6</v>
      </c>
      <c r="C268" s="82">
        <v>45402</v>
      </c>
      <c r="D268" s="49"/>
      <c r="G268" s="89">
        <f t="shared" si="459"/>
        <v>0</v>
      </c>
      <c r="H268" s="35">
        <f t="shared" si="460"/>
        <v>0</v>
      </c>
      <c r="I268" s="39"/>
      <c r="L268" s="89">
        <f t="shared" si="461"/>
        <v>0</v>
      </c>
      <c r="M268" s="35">
        <f t="shared" ref="M268:M318" si="478">K268*L268</f>
        <v>0</v>
      </c>
      <c r="N268" s="35">
        <f t="shared" ref="N268:N318" si="479">H268+M268</f>
        <v>0</v>
      </c>
      <c r="O268" s="97" t="e">
        <f>SUM($Z268,$BH268,$AQ268,$BY268,$CP268,$DG268,$DX268,$EO268,$FF268,$FW268,$GN268)/D268</f>
        <v>#DIV/0!</v>
      </c>
      <c r="P268" s="150"/>
      <c r="Q268" s="132">
        <f t="shared" si="457"/>
        <v>0</v>
      </c>
      <c r="R268" s="134">
        <f t="shared" si="453"/>
        <v>0</v>
      </c>
      <c r="S268" s="136">
        <f t="shared" si="454"/>
        <v>0</v>
      </c>
      <c r="T268" s="138">
        <f t="shared" si="455"/>
        <v>0</v>
      </c>
      <c r="U268" s="144">
        <f t="shared" si="456"/>
        <v>0</v>
      </c>
      <c r="W268" s="11">
        <v>0</v>
      </c>
      <c r="X268" s="1">
        <v>0</v>
      </c>
      <c r="Y268" s="35">
        <f t="shared" si="462"/>
        <v>0</v>
      </c>
      <c r="Z268" s="35">
        <f t="shared" ref="Z268:Z318" si="480">(AD268*1+AE268*2+AF268*3+AG268*4+AH268*5)+(AI268*1+AJ268*2+AK268*3+AL268*4+AM268*5)</f>
        <v>0</v>
      </c>
      <c r="AA268" s="15">
        <f t="shared" si="407"/>
        <v>9.0582882372838714E-10</v>
      </c>
      <c r="AB268" s="43">
        <f t="shared" si="451"/>
        <v>5.0376895765275944E-10</v>
      </c>
      <c r="AC268" s="43">
        <f t="shared" si="452"/>
        <v>0.55614145239853241</v>
      </c>
      <c r="AD268" s="33"/>
      <c r="AH268" s="31"/>
      <c r="AP268" s="35">
        <f t="shared" si="463"/>
        <v>0</v>
      </c>
      <c r="AQ268" s="35">
        <f t="shared" ref="AQ268:AQ318" si="481">(AU268*1+AV268*2+AW268*3+AX268*4+AY268*5)+(AZ268*1+BA268*2+BB268*3+BC268*4+BD268*5)</f>
        <v>0</v>
      </c>
      <c r="AR268" s="15">
        <f t="shared" si="408"/>
        <v>2.7355133942568366E-7</v>
      </c>
      <c r="AS268" s="28">
        <f t="shared" si="409"/>
        <v>1.0503274450382224E-6</v>
      </c>
      <c r="AT268" s="28">
        <f t="shared" si="410"/>
        <v>3.8395989843930827</v>
      </c>
      <c r="AU268" s="33"/>
      <c r="AY268" s="31"/>
      <c r="BG268" s="35">
        <f t="shared" si="464"/>
        <v>0</v>
      </c>
      <c r="BH268" s="35">
        <f t="shared" ref="BH268:BH318" si="482">(BL268*1+BM268*2+BN268*3+BO268*4+BP268*5)+(BQ268*1+BR268*2+BS268*3+BT268*4+BU268*5)</f>
        <v>0</v>
      </c>
      <c r="BI268" s="15">
        <f t="shared" si="411"/>
        <v>3.7674614689652225E-7</v>
      </c>
      <c r="BJ268" s="28">
        <f t="shared" si="412"/>
        <v>1.6135164951239346E-6</v>
      </c>
      <c r="BK268" s="28">
        <f t="shared" si="413"/>
        <v>4.2827684063006641</v>
      </c>
      <c r="BL268" s="33"/>
      <c r="BP268" s="31"/>
      <c r="BX268" s="35">
        <f t="shared" si="465"/>
        <v>0</v>
      </c>
      <c r="BY268" s="35">
        <f t="shared" ref="BY268:BY318" si="483">(CC268*1+CD268*2+CE268*3+CF268*4+CG268*5)+(CH268*1+CI268*2+CJ268*3+CK268*4+CL268*5)</f>
        <v>0</v>
      </c>
      <c r="BZ268" s="15">
        <f t="shared" si="414"/>
        <v>2.8646533886737786E-7</v>
      </c>
      <c r="CA268" s="28">
        <f t="shared" si="415"/>
        <v>1.0027236264730079E-6</v>
      </c>
      <c r="CB268" s="28">
        <f t="shared" si="416"/>
        <v>3.5003314203301548</v>
      </c>
      <c r="CC268" s="33"/>
      <c r="CG268" s="31"/>
      <c r="CO268" s="35">
        <f t="shared" si="466"/>
        <v>0</v>
      </c>
      <c r="CP268" s="35">
        <f t="shared" ref="CP268:CP318" si="484">(CT268*1+CU268*2+CV268*3+CW268*4+CX268*5)+(CY268*1+CZ268*2+DA268*3+DB268*4+DC268*5)</f>
        <v>0</v>
      </c>
      <c r="CQ268" s="15">
        <f t="shared" si="417"/>
        <v>3.1385920401225048E-7</v>
      </c>
      <c r="CR268" s="28">
        <f t="shared" si="418"/>
        <v>1.2975803509305105E-6</v>
      </c>
      <c r="CS268" s="28">
        <f t="shared" si="419"/>
        <v>4.1342752875899844</v>
      </c>
      <c r="CT268" s="33"/>
      <c r="CX268" s="31"/>
      <c r="DF268" s="35">
        <f t="shared" si="467"/>
        <v>0</v>
      </c>
      <c r="DG268" s="35">
        <f t="shared" ref="DG268:DG318" si="485">(DK268*1+DL268*2+DM268*3+DN268*4+DO268*5)+(DP268*1+DQ268*2+DR268*3+DS268*4+DT268*5)</f>
        <v>0</v>
      </c>
      <c r="DH268" s="15">
        <f t="shared" si="420"/>
        <v>3.0527262152955548E-7</v>
      </c>
      <c r="DI268" s="28">
        <f t="shared" si="421"/>
        <v>7.8843884090469737E-7</v>
      </c>
      <c r="DJ268" s="28">
        <f t="shared" si="422"/>
        <v>2.582736823742195</v>
      </c>
      <c r="DK268" s="33"/>
      <c r="DO268" s="31"/>
      <c r="DW268" s="35">
        <f t="shared" si="468"/>
        <v>0</v>
      </c>
      <c r="DX268" s="35">
        <f t="shared" ref="DX268:DX318" si="486">(EB268*1+EC268*2+ED268*3+EE268*4+EF268*5)+(EG268*1+EH268*2+EI268*3+EJ268*4+EK268*5)</f>
        <v>0</v>
      </c>
      <c r="DY268" s="15">
        <f t="shared" si="423"/>
        <v>3.1606442279785341E-7</v>
      </c>
      <c r="DZ268" s="28">
        <f t="shared" si="424"/>
        <v>7.6975408315270734E-7</v>
      </c>
      <c r="EA268" s="28">
        <f t="shared" si="425"/>
        <v>2.4354341318732415</v>
      </c>
      <c r="EB268" s="33"/>
      <c r="EF268" s="31"/>
      <c r="EN268" s="35">
        <f t="shared" si="469"/>
        <v>0</v>
      </c>
      <c r="EO268" s="35">
        <f t="shared" ref="EO268:EO318" si="487">(ES268*1+ET268*2+EU268*3+EV268*4+EW268*5)+(EX268*1+EY268*2+EZ268*3+FA268*4+FB268*5)</f>
        <v>0</v>
      </c>
      <c r="EP268" s="15">
        <f t="shared" si="426"/>
        <v>3.3745710879337558E-7</v>
      </c>
      <c r="EQ268" s="28">
        <f t="shared" si="427"/>
        <v>1.5125275562304676E-6</v>
      </c>
      <c r="ER268" s="28">
        <f t="shared" si="428"/>
        <v>4.4821327416652101</v>
      </c>
      <c r="ES268" s="33"/>
      <c r="EW268" s="31"/>
      <c r="FE268" s="35">
        <f t="shared" si="470"/>
        <v>0</v>
      </c>
      <c r="FF268" s="35">
        <f t="shared" ref="FF268:FF318" si="488">(FJ268*1+FK268*2+FL268*3+FM268*4+FN268*5)+(FO268*1+FP268*2+FQ268*3+FR268*4+FS268*5)</f>
        <v>0</v>
      </c>
      <c r="FG268" s="15">
        <f t="shared" si="429"/>
        <v>3.2601905926299402E-7</v>
      </c>
      <c r="FH268" s="28">
        <f t="shared" si="430"/>
        <v>1.3845797440233468E-6</v>
      </c>
      <c r="FI268" s="28">
        <f t="shared" si="431"/>
        <v>4.2469288364715814</v>
      </c>
      <c r="FJ268" s="33"/>
      <c r="FN268" s="31"/>
      <c r="FV268" s="35">
        <f t="shared" si="471"/>
        <v>0</v>
      </c>
      <c r="FW268" s="35">
        <f t="shared" ref="FW268:FW318" si="489">(GA268*1+GB268*2+GC268*3+GD268*4+GE268*5)+(GF268*1+GG268*2+GH268*3+GI268*4+GJ268*5)</f>
        <v>0</v>
      </c>
      <c r="FX268" s="15">
        <f t="shared" si="432"/>
        <v>3.0691168181724841E-7</v>
      </c>
      <c r="FY268" s="28">
        <f t="shared" si="433"/>
        <v>1.3864039331426555E-6</v>
      </c>
      <c r="FZ268" s="28">
        <f t="shared" si="434"/>
        <v>4.5172732589833267</v>
      </c>
      <c r="GA268" s="33"/>
      <c r="GE268" s="31"/>
      <c r="GM268" s="35">
        <f t="shared" si="472"/>
        <v>0</v>
      </c>
      <c r="GN268" s="35">
        <f t="shared" ref="GN268:GN318" si="490">(GR268*1+GS268*2+GT268*3+GU268*4+GV268*5)+(GW268*1+GX268*2+GY268*3+GZ268*4+HA268*5)</f>
        <v>0</v>
      </c>
      <c r="GO268" s="15">
        <f t="shared" si="435"/>
        <v>3.1714318105305718E-7</v>
      </c>
      <c r="GP268" s="28">
        <f t="shared" si="436"/>
        <v>1.4288400462837816E-6</v>
      </c>
      <c r="GQ268" s="28">
        <f t="shared" si="437"/>
        <v>4.5053468958071043</v>
      </c>
      <c r="GR268" s="33"/>
      <c r="GV268" s="31"/>
      <c r="HD268" s="35">
        <f t="shared" si="473"/>
        <v>0</v>
      </c>
      <c r="HE268" s="35">
        <f t="shared" ref="HE268:HE318" si="491">(HI268*1+HJ268*2+HK268*3+HL268*4+HM268*5)+(HN268*1+HO268*2+HP268*3+HQ268*4+HR268*5)</f>
        <v>0</v>
      </c>
      <c r="HF268" s="15">
        <f t="shared" si="438"/>
        <v>4.467611148596895E-7</v>
      </c>
      <c r="HG268" s="28">
        <f t="shared" si="439"/>
        <v>1.036427615549472E-6</v>
      </c>
      <c r="HH268" s="28">
        <f t="shared" si="440"/>
        <v>2.3198697941179911</v>
      </c>
      <c r="HI268" s="33"/>
      <c r="HM268" s="31"/>
      <c r="HU268" s="35">
        <f t="shared" si="474"/>
        <v>0</v>
      </c>
      <c r="HV268" s="35">
        <f t="shared" ref="HV268:HV318" si="492">(HZ268*1+IA268*2+IB268*3+IC268*4+ID268*5)+(IE268*1+IF268*2+IG268*3+IH268*4+II268*5)</f>
        <v>0</v>
      </c>
      <c r="HW268" s="15">
        <f t="shared" si="441"/>
        <v>1.0314309012576371E-15</v>
      </c>
      <c r="HX268" s="28">
        <f t="shared" si="442"/>
        <v>3.6423893689721442E-19</v>
      </c>
      <c r="HY268" s="28">
        <f t="shared" si="443"/>
        <v>3.5313944584469318E-4</v>
      </c>
      <c r="HZ268" s="33"/>
      <c r="ID268" s="31"/>
      <c r="II268" s="12"/>
      <c r="IL268" s="35">
        <f t="shared" si="475"/>
        <v>0</v>
      </c>
      <c r="IM268" s="35">
        <f t="shared" si="476"/>
        <v>17.501661971941296</v>
      </c>
      <c r="IN268" s="15">
        <f t="shared" si="444"/>
        <v>1.0164439530822066E-7</v>
      </c>
      <c r="IO268" s="28">
        <f t="shared" si="445"/>
        <v>2.6940782131962895E-8</v>
      </c>
      <c r="IP268" s="28">
        <f t="shared" si="446"/>
        <v>0.26504936204568097</v>
      </c>
      <c r="IQ268" s="33"/>
      <c r="IU268" s="31"/>
      <c r="JC268" s="35">
        <f t="shared" si="458"/>
        <v>0</v>
      </c>
      <c r="JD268" s="35">
        <f t="shared" si="477"/>
        <v>20.671382569848941</v>
      </c>
      <c r="JE268" s="15">
        <f t="shared" si="447"/>
        <v>1.2274383382127902E-7</v>
      </c>
      <c r="JF268" s="28">
        <f t="shared" si="448"/>
        <v>3.43859653535648E-8</v>
      </c>
      <c r="JG268" s="28">
        <f t="shared" si="449"/>
        <v>0.280144136638525</v>
      </c>
      <c r="JH268" s="33"/>
      <c r="JL268" s="31"/>
      <c r="JR268" s="99"/>
      <c r="JS268" s="99"/>
      <c r="JT268" s="99"/>
      <c r="JU268" s="99"/>
      <c r="JV268" s="99"/>
      <c r="JW268" s="99"/>
      <c r="JX268" s="99"/>
      <c r="JY268" s="99"/>
      <c r="JZ268" s="99"/>
      <c r="KA268" s="99"/>
      <c r="KB268" s="99"/>
      <c r="KC268" s="99"/>
      <c r="KD268" s="99"/>
      <c r="KE268" s="99"/>
      <c r="KF268" s="99"/>
      <c r="KG268" s="99"/>
      <c r="KH268" s="99"/>
      <c r="KI268" s="99"/>
      <c r="KJ268" s="99"/>
      <c r="KK268" s="99"/>
      <c r="KL268" s="99"/>
      <c r="KM268" s="99"/>
      <c r="KN268" s="99"/>
      <c r="KO268" s="99"/>
      <c r="KP268" s="99"/>
      <c r="KQ268" s="99"/>
      <c r="KR268" s="99"/>
      <c r="KS268" s="99"/>
      <c r="KT268" s="99"/>
      <c r="KU268" s="99"/>
      <c r="KV268" s="99"/>
      <c r="KW268" s="99"/>
      <c r="KX268" s="99"/>
      <c r="KY268" s="99"/>
      <c r="KZ268" s="99"/>
      <c r="LA268" s="99"/>
      <c r="LB268" s="99"/>
      <c r="LC268" s="99"/>
      <c r="LD268" s="99"/>
      <c r="LE268" s="99"/>
      <c r="LF268" s="99"/>
      <c r="LG268" s="99"/>
      <c r="LH268" s="99"/>
      <c r="LI268" s="99"/>
      <c r="LJ268" s="99"/>
      <c r="LK268" s="99"/>
      <c r="LL268" s="99"/>
      <c r="LM268" s="99"/>
      <c r="LN268" s="99"/>
      <c r="LO268" s="99"/>
      <c r="LP268" s="99"/>
      <c r="LQ268" s="99"/>
      <c r="LR268" s="99"/>
      <c r="LS268" s="99"/>
      <c r="LT268" s="99"/>
      <c r="LU268" s="99"/>
      <c r="LV268" s="99"/>
      <c r="LW268" s="99"/>
      <c r="LX268" s="99"/>
      <c r="LY268" s="99"/>
      <c r="LZ268" s="99"/>
      <c r="MA268" s="99"/>
      <c r="MB268" s="99"/>
      <c r="MC268" s="99"/>
      <c r="MD268" s="99"/>
      <c r="ME268" s="99"/>
      <c r="MF268" s="99"/>
    </row>
    <row r="269" spans="1:344" ht="17.25" customHeight="1" x14ac:dyDescent="0.25">
      <c r="A269" s="157"/>
      <c r="B269" s="83" t="s">
        <v>7</v>
      </c>
      <c r="C269" s="84">
        <v>45403</v>
      </c>
      <c r="D269" s="51"/>
      <c r="E269" s="48"/>
      <c r="F269" s="104"/>
      <c r="G269" s="37">
        <f t="shared" si="459"/>
        <v>0</v>
      </c>
      <c r="H269" s="26">
        <f t="shared" si="460"/>
        <v>0</v>
      </c>
      <c r="I269" s="48"/>
      <c r="J269" s="48"/>
      <c r="K269" s="104"/>
      <c r="L269" s="37">
        <f t="shared" si="461"/>
        <v>0</v>
      </c>
      <c r="M269" s="26">
        <f t="shared" si="478"/>
        <v>0</v>
      </c>
      <c r="N269" s="26">
        <f t="shared" si="479"/>
        <v>0</v>
      </c>
      <c r="O269" s="98" t="e">
        <f>SUM($Z269,$BH269,$AQ269,$BY269,$CP269,$DG269,$DX269,$EO269,$FF269,$FW269,$GN269)/D269</f>
        <v>#DIV/0!</v>
      </c>
      <c r="P269" s="151"/>
      <c r="Q269" s="139">
        <f t="shared" si="457"/>
        <v>0</v>
      </c>
      <c r="R269" s="140">
        <f t="shared" si="453"/>
        <v>0</v>
      </c>
      <c r="S269" s="141">
        <f t="shared" si="454"/>
        <v>0</v>
      </c>
      <c r="T269" s="142">
        <f t="shared" si="455"/>
        <v>0</v>
      </c>
      <c r="U269" s="145">
        <f t="shared" si="456"/>
        <v>0</v>
      </c>
      <c r="V269" s="23"/>
      <c r="W269" s="13">
        <v>0</v>
      </c>
      <c r="X269" s="2">
        <v>0</v>
      </c>
      <c r="Y269" s="26">
        <f t="shared" si="462"/>
        <v>0</v>
      </c>
      <c r="Z269" s="26">
        <f t="shared" si="480"/>
        <v>0</v>
      </c>
      <c r="AA269" s="16">
        <f t="shared" ref="AA269:AA318" si="493">AB269/AC269</f>
        <v>7.2969544133675636E-10</v>
      </c>
      <c r="AB269" s="44">
        <f t="shared" si="451"/>
        <v>3.7782671823956961E-10</v>
      </c>
      <c r="AC269" s="44">
        <f t="shared" si="452"/>
        <v>0.5177868694744957</v>
      </c>
      <c r="AD269" s="34"/>
      <c r="AE269" s="4"/>
      <c r="AF269" s="5"/>
      <c r="AG269" s="6"/>
      <c r="AH269" s="32"/>
      <c r="AI269" s="3"/>
      <c r="AJ269" s="4"/>
      <c r="AK269" s="5"/>
      <c r="AL269" s="6"/>
      <c r="AM269" s="14"/>
      <c r="AN269" s="13"/>
      <c r="AO269" s="2"/>
      <c r="AP269" s="26">
        <f t="shared" si="463"/>
        <v>0</v>
      </c>
      <c r="AQ269" s="26">
        <f t="shared" si="481"/>
        <v>0</v>
      </c>
      <c r="AR269" s="16">
        <f t="shared" ref="AR269:AR318" si="494">AS269/AT269</f>
        <v>2.2036080120402294E-7</v>
      </c>
      <c r="AS269" s="29">
        <f t="shared" ref="AS269:AS318" si="495">AP269*(2/(7+1))+((1-(2/(7+1)))*AS268)</f>
        <v>7.8774558377866676E-7</v>
      </c>
      <c r="AT269" s="29">
        <f t="shared" ref="AT269:AT318" si="496">AP269*(2/(28+1))+((1-(2/(28+1)))*AT268)</f>
        <v>3.5747990544349388</v>
      </c>
      <c r="AU269" s="34"/>
      <c r="AV269" s="4"/>
      <c r="AW269" s="5"/>
      <c r="AX269" s="6"/>
      <c r="AY269" s="32"/>
      <c r="AZ269" s="3"/>
      <c r="BA269" s="4"/>
      <c r="BB269" s="5"/>
      <c r="BC269" s="6"/>
      <c r="BD269" s="14"/>
      <c r="BE269" s="13"/>
      <c r="BF269" s="2"/>
      <c r="BG269" s="26">
        <f t="shared" si="464"/>
        <v>0</v>
      </c>
      <c r="BH269" s="26">
        <f t="shared" si="482"/>
        <v>0</v>
      </c>
      <c r="BI269" s="16">
        <f t="shared" ref="BI269:BI318" si="497">BJ269/BK269</f>
        <v>3.0348995166664294E-7</v>
      </c>
      <c r="BJ269" s="29">
        <f t="shared" ref="BJ269:BJ318" si="498">BG269*(2/(7+1))+((1-(2/(7+1)))*BJ268)</f>
        <v>1.2101373713429509E-6</v>
      </c>
      <c r="BK269" s="29">
        <f t="shared" ref="BK269:BK318" si="499">BG269*(2/(28+1))+((1-(2/(28+1)))*BK268)</f>
        <v>3.987405067935101</v>
      </c>
      <c r="BL269" s="34"/>
      <c r="BM269" s="4"/>
      <c r="BN269" s="5"/>
      <c r="BO269" s="6"/>
      <c r="BP269" s="32"/>
      <c r="BQ269" s="3"/>
      <c r="BR269" s="4"/>
      <c r="BS269" s="5"/>
      <c r="BT269" s="6"/>
      <c r="BU269" s="14"/>
      <c r="BV269" s="13"/>
      <c r="BW269" s="2"/>
      <c r="BX269" s="26">
        <f t="shared" si="465"/>
        <v>0</v>
      </c>
      <c r="BY269" s="26">
        <f t="shared" si="483"/>
        <v>0</v>
      </c>
      <c r="BZ269" s="16">
        <f t="shared" ref="BZ269:BZ318" si="500">CA269/CB269</f>
        <v>2.3076374519872107E-7</v>
      </c>
      <c r="CA269" s="29">
        <f t="shared" ref="CA269:CA318" si="501">BX269*(2/(7+1))+((1-(2/(7+1)))*CA268)</f>
        <v>7.520427198547559E-7</v>
      </c>
      <c r="CB269" s="29">
        <f t="shared" ref="CB269:CB318" si="502">BX269*(2/(28+1))+((1-(2/(28+1)))*CB268)</f>
        <v>3.2589292534108338</v>
      </c>
      <c r="CC269" s="34"/>
      <c r="CD269" s="4"/>
      <c r="CE269" s="5"/>
      <c r="CF269" s="6"/>
      <c r="CG269" s="32"/>
      <c r="CH269" s="3"/>
      <c r="CI269" s="4"/>
      <c r="CJ269" s="5"/>
      <c r="CK269" s="6"/>
      <c r="CL269" s="14"/>
      <c r="CM269" s="13"/>
      <c r="CN269" s="2"/>
      <c r="CO269" s="26">
        <f t="shared" si="466"/>
        <v>0</v>
      </c>
      <c r="CP269" s="26">
        <f t="shared" si="484"/>
        <v>0</v>
      </c>
      <c r="CQ269" s="16">
        <f t="shared" ref="CQ269:CQ318" si="503">CR269/CS269</f>
        <v>2.5283102545431288E-7</v>
      </c>
      <c r="CR269" s="29">
        <f t="shared" ref="CR269:CR318" si="504">CO269*(2/(7+1))+((1-(2/(7+1)))*CR268)</f>
        <v>9.7318526319788285E-7</v>
      </c>
      <c r="CS269" s="29">
        <f t="shared" ref="CS269:CS318" si="505">CO269*(2/(28+1))+((1-(2/(28+1)))*CS268)</f>
        <v>3.8491528539630888</v>
      </c>
      <c r="CT269" s="34"/>
      <c r="CU269" s="4"/>
      <c r="CV269" s="5"/>
      <c r="CW269" s="6"/>
      <c r="CX269" s="32"/>
      <c r="CY269" s="3"/>
      <c r="CZ269" s="4"/>
      <c r="DA269" s="5"/>
      <c r="DB269" s="6"/>
      <c r="DC269" s="14"/>
      <c r="DD269" s="13"/>
      <c r="DE269" s="2"/>
      <c r="DF269" s="26">
        <f t="shared" si="467"/>
        <v>0</v>
      </c>
      <c r="DG269" s="26">
        <f t="shared" si="485"/>
        <v>0</v>
      </c>
      <c r="DH269" s="16">
        <f t="shared" ref="DH269:DH318" si="506">DI269/DJ269</f>
        <v>2.4591405623214193E-7</v>
      </c>
      <c r="DI269" s="29">
        <f t="shared" ref="DI269:DI318" si="507">DF269*(2/(7+1))+((1-(2/(7+1)))*DI268)</f>
        <v>5.91329130678523E-7</v>
      </c>
      <c r="DJ269" s="29">
        <f t="shared" ref="DJ269:DJ318" si="508">DF269*(2/(28+1))+((1-(2/(28+1)))*DJ268)</f>
        <v>2.4046170427944573</v>
      </c>
      <c r="DK269" s="34"/>
      <c r="DL269" s="4"/>
      <c r="DM269" s="5"/>
      <c r="DN269" s="6"/>
      <c r="DO269" s="32"/>
      <c r="DP269" s="3"/>
      <c r="DQ269" s="4"/>
      <c r="DR269" s="5"/>
      <c r="DS269" s="6"/>
      <c r="DT269" s="14"/>
      <c r="DU269" s="13"/>
      <c r="DV269" s="2"/>
      <c r="DW269" s="26">
        <f t="shared" si="468"/>
        <v>0</v>
      </c>
      <c r="DX269" s="26">
        <f t="shared" si="486"/>
        <v>0</v>
      </c>
      <c r="DY269" s="16">
        <f t="shared" ref="DY269:DY318" si="509">DZ269/EA269</f>
        <v>2.5460745169827082E-7</v>
      </c>
      <c r="DZ269" s="29">
        <f t="shared" ref="DZ269:DZ318" si="510">DW269*(2/(7+1))+((1-(2/(7+1)))*DZ268)</f>
        <v>5.7731556236453045E-7</v>
      </c>
      <c r="EA269" s="29">
        <f t="shared" ref="EA269:EA318" si="511">DW269*(2/(28+1))+((1-(2/(28+1)))*EA268)</f>
        <v>2.2674731572612936</v>
      </c>
      <c r="EB269" s="34"/>
      <c r="EC269" s="4"/>
      <c r="ED269" s="5"/>
      <c r="EE269" s="6"/>
      <c r="EF269" s="32"/>
      <c r="EG269" s="3"/>
      <c r="EH269" s="4"/>
      <c r="EI269" s="5"/>
      <c r="EJ269" s="6"/>
      <c r="EK269" s="14"/>
      <c r="EL269" s="13"/>
      <c r="EM269" s="2"/>
      <c r="EN269" s="26">
        <f t="shared" si="469"/>
        <v>0</v>
      </c>
      <c r="EO269" s="26">
        <f t="shared" si="487"/>
        <v>0</v>
      </c>
      <c r="EP269" s="16">
        <f t="shared" ref="EP269:EP318" si="512">EQ269/ER269</f>
        <v>2.7184044875021927E-7</v>
      </c>
      <c r="EQ269" s="29">
        <f t="shared" ref="EQ269:EQ318" si="513">EN269*(2/(7+1))+((1-(2/(7+1)))*EQ268)</f>
        <v>1.1343956671728508E-6</v>
      </c>
      <c r="ER269" s="29">
        <f t="shared" ref="ER269:ER318" si="514">EN269*(2/(28+1))+((1-(2/(28+1)))*ER268)</f>
        <v>4.1730201387917472</v>
      </c>
      <c r="ES269" s="34"/>
      <c r="ET269" s="4"/>
      <c r="EU269" s="5"/>
      <c r="EV269" s="6"/>
      <c r="EW269" s="32"/>
      <c r="EX269" s="3"/>
      <c r="EY269" s="4"/>
      <c r="EZ269" s="5"/>
      <c r="FA269" s="6"/>
      <c r="FB269" s="14"/>
      <c r="FC269" s="13"/>
      <c r="FD269" s="2"/>
      <c r="FE269" s="26">
        <f t="shared" si="470"/>
        <v>0</v>
      </c>
      <c r="FF269" s="26">
        <f t="shared" si="488"/>
        <v>0</v>
      </c>
      <c r="FG269" s="16">
        <f t="shared" ref="FG269:FG318" si="515">FH269/FI269</f>
        <v>2.6262646440630074E-7</v>
      </c>
      <c r="FH269" s="29">
        <f t="shared" ref="FH269:FH318" si="516">FE269*(2/(7+1))+((1-(2/(7+1)))*FH268)</f>
        <v>1.03843480801751E-6</v>
      </c>
      <c r="FI269" s="29">
        <f t="shared" ref="FI269:FI318" si="517">FE269*(2/(28+1))+((1-(2/(28+1)))*FI268)</f>
        <v>3.9540371925769895</v>
      </c>
      <c r="FJ269" s="34"/>
      <c r="FK269" s="4"/>
      <c r="FL269" s="5"/>
      <c r="FM269" s="6"/>
      <c r="FN269" s="32"/>
      <c r="FO269" s="3"/>
      <c r="FP269" s="4"/>
      <c r="FQ269" s="5"/>
      <c r="FR269" s="6"/>
      <c r="FS269" s="14"/>
      <c r="FT269" s="13"/>
      <c r="FU269" s="2"/>
      <c r="FV269" s="26">
        <f t="shared" si="471"/>
        <v>0</v>
      </c>
      <c r="FW269" s="26">
        <f t="shared" si="489"/>
        <v>0</v>
      </c>
      <c r="FX269" s="16">
        <f t="shared" ref="FX269:FX318" si="518">FY269/FZ269</f>
        <v>2.4723441035278343E-7</v>
      </c>
      <c r="FY269" s="29">
        <f t="shared" ref="FY269:FY318" si="519">FV269*(2/(7+1))+((1-(2/(7+1)))*FY268)</f>
        <v>1.0398029498569917E-6</v>
      </c>
      <c r="FZ269" s="29">
        <f t="shared" ref="FZ269:FZ318" si="520">FV269*(2/(28+1))+((1-(2/(28+1)))*FZ268)</f>
        <v>4.2057371721568906</v>
      </c>
      <c r="GA269" s="34"/>
      <c r="GB269" s="4"/>
      <c r="GC269" s="5"/>
      <c r="GD269" s="6"/>
      <c r="GE269" s="32"/>
      <c r="GF269" s="3"/>
      <c r="GG269" s="4"/>
      <c r="GH269" s="5"/>
      <c r="GI269" s="6"/>
      <c r="GJ269" s="14"/>
      <c r="GK269" s="13"/>
      <c r="GL269" s="2"/>
      <c r="GM269" s="26">
        <f t="shared" si="472"/>
        <v>0</v>
      </c>
      <c r="GN269" s="26">
        <f t="shared" si="490"/>
        <v>0</v>
      </c>
      <c r="GO269" s="16">
        <f t="shared" ref="GO269:GO318" si="521">GP269/GQ269</f>
        <v>2.5547645140385165E-7</v>
      </c>
      <c r="GP269" s="29">
        <f t="shared" ref="GP269:GP318" si="522">GM269*(2/(7+1))+((1-(2/(7+1)))*GP268)</f>
        <v>1.0716300347128362E-6</v>
      </c>
      <c r="GQ269" s="29">
        <f t="shared" ref="GQ269:GQ318" si="523">GM269*(2/(28+1))+((1-(2/(28+1)))*GQ268)</f>
        <v>4.1946333167859242</v>
      </c>
      <c r="GR269" s="34"/>
      <c r="GS269" s="4"/>
      <c r="GT269" s="5"/>
      <c r="GU269" s="6"/>
      <c r="GV269" s="32"/>
      <c r="GW269" s="3"/>
      <c r="GX269" s="4"/>
      <c r="GY269" s="5"/>
      <c r="GZ269" s="6"/>
      <c r="HA269" s="14"/>
      <c r="HB269" s="13"/>
      <c r="HC269" s="2"/>
      <c r="HD269" s="26">
        <f t="shared" si="473"/>
        <v>0</v>
      </c>
      <c r="HE269" s="26">
        <f t="shared" si="491"/>
        <v>0</v>
      </c>
      <c r="HF269" s="16">
        <f t="shared" ref="HF269:HF318" si="524">HG269/HH269</f>
        <v>3.598908980814166E-7</v>
      </c>
      <c r="HG269" s="29">
        <f t="shared" ref="HG269:HG318" si="525">HD269*(2/(7+1))+((1-(2/(7+1)))*HG268)</f>
        <v>7.7732071166210407E-7</v>
      </c>
      <c r="HH269" s="29">
        <f t="shared" ref="HH269:HH318" si="526">HD269*(2/(28+1))+((1-(2/(28+1)))*HH268)</f>
        <v>2.1598787738339915</v>
      </c>
      <c r="HI269" s="34"/>
      <c r="HJ269" s="4"/>
      <c r="HK269" s="5"/>
      <c r="HL269" s="6"/>
      <c r="HM269" s="32"/>
      <c r="HN269" s="3"/>
      <c r="HO269" s="4"/>
      <c r="HP269" s="5"/>
      <c r="HQ269" s="6"/>
      <c r="HR269" s="14"/>
      <c r="HS269" s="13"/>
      <c r="HT269" s="2"/>
      <c r="HU269" s="26">
        <f t="shared" si="474"/>
        <v>0</v>
      </c>
      <c r="HV269" s="26">
        <f t="shared" si="492"/>
        <v>0</v>
      </c>
      <c r="HW269" s="16">
        <f t="shared" ref="HW269:HW318" si="527">HX269/HY269</f>
        <v>8.3087489267976329E-16</v>
      </c>
      <c r="HX269" s="29">
        <f t="shared" ref="HX269:HX318" si="528">HU269*(2/(7+1))+((1-(2/(7+1)))*HX268)</f>
        <v>2.731792026729108E-19</v>
      </c>
      <c r="HY269" s="29">
        <f t="shared" ref="HY269:HY318" si="529">HU269*(2/(28+1))+((1-(2/(28+1)))*HY268)</f>
        <v>3.2878500130367982E-4</v>
      </c>
      <c r="HZ269" s="34"/>
      <c r="IA269" s="4"/>
      <c r="IB269" s="5"/>
      <c r="IC269" s="6"/>
      <c r="ID269" s="32"/>
      <c r="IE269" s="3"/>
      <c r="IF269" s="4"/>
      <c r="IG269" s="5"/>
      <c r="IH269" s="6"/>
      <c r="II269" s="14"/>
      <c r="IJ269" s="13"/>
      <c r="IK269" s="2"/>
      <c r="IL269" s="26">
        <f t="shared" si="475"/>
        <v>0</v>
      </c>
      <c r="IM269" s="26">
        <f t="shared" si="476"/>
        <v>16.294649967516285</v>
      </c>
      <c r="IN269" s="16">
        <f t="shared" ref="IN269:IN318" si="530">IO269/IP269</f>
        <v>8.1880207331622199E-8</v>
      </c>
      <c r="IO269" s="29">
        <f t="shared" ref="IO269:IO318" si="531">IL269*(2/(7+1))+((1-(2/(7+1)))*IO268)</f>
        <v>2.0205586598972171E-8</v>
      </c>
      <c r="IP269" s="29">
        <f t="shared" ref="IP269:IP318" si="532">IL269*(2/(28+1))+((1-(2/(28+1)))*IP268)</f>
        <v>0.24677009569770297</v>
      </c>
      <c r="IQ269" s="34"/>
      <c r="IR269" s="4"/>
      <c r="IS269" s="5"/>
      <c r="IT269" s="6"/>
      <c r="IU269" s="32"/>
      <c r="IV269" s="3"/>
      <c r="IW269" s="4"/>
      <c r="IX269" s="5"/>
      <c r="IY269" s="6"/>
      <c r="IZ269" s="14"/>
      <c r="JA269" s="13"/>
      <c r="JB269" s="2"/>
      <c r="JC269" s="26">
        <f t="shared" si="458"/>
        <v>0</v>
      </c>
      <c r="JD269" s="26">
        <f t="shared" si="477"/>
        <v>19.245768921049574</v>
      </c>
      <c r="JE269" s="16">
        <f t="shared" ref="JE269:JE318" si="533">JF269/JG269</f>
        <v>9.8876977244919234E-8</v>
      </c>
      <c r="JF269" s="29">
        <f t="shared" ref="JF269:JF318" si="534">JC269*(2/(7+1))+((1-(2/(7+1)))*JF268)</f>
        <v>2.5789474015173602E-8</v>
      </c>
      <c r="JG269" s="29">
        <f t="shared" ref="JG269:JG318" si="535">JC269*(2/(28+1))+((1-(2/(28+1)))*JG268)</f>
        <v>0.26082385135310948</v>
      </c>
      <c r="JH269" s="34"/>
      <c r="JI269" s="4"/>
      <c r="JJ269" s="5"/>
      <c r="JK269" s="6"/>
      <c r="JL269" s="32"/>
      <c r="JM269" s="3"/>
      <c r="JN269" s="4"/>
      <c r="JO269" s="5"/>
      <c r="JP269" s="6"/>
      <c r="JQ269" s="14"/>
      <c r="JR269" s="99"/>
      <c r="JS269" s="99"/>
      <c r="JT269" s="99"/>
      <c r="JU269" s="99"/>
      <c r="JV269" s="99"/>
      <c r="JW269" s="99"/>
      <c r="JX269" s="99"/>
      <c r="JY269" s="99"/>
      <c r="JZ269" s="99"/>
      <c r="KA269" s="99"/>
      <c r="KB269" s="99"/>
      <c r="KC269" s="99"/>
      <c r="KD269" s="99"/>
      <c r="KE269" s="99"/>
      <c r="KF269" s="99"/>
      <c r="KG269" s="99"/>
      <c r="KH269" s="99"/>
      <c r="KI269" s="99"/>
      <c r="KJ269" s="99"/>
      <c r="KK269" s="99"/>
      <c r="KL269" s="99"/>
      <c r="KM269" s="99"/>
      <c r="KN269" s="99"/>
      <c r="KO269" s="99"/>
      <c r="KP269" s="99"/>
      <c r="KQ269" s="99"/>
      <c r="KR269" s="99"/>
      <c r="KS269" s="99"/>
      <c r="KT269" s="99"/>
      <c r="KU269" s="99"/>
      <c r="KV269" s="99"/>
      <c r="KW269" s="99"/>
      <c r="KX269" s="99"/>
      <c r="KY269" s="99"/>
      <c r="KZ269" s="99"/>
      <c r="LA269" s="99"/>
      <c r="LB269" s="99"/>
      <c r="LC269" s="99"/>
      <c r="LD269" s="99"/>
      <c r="LE269" s="99"/>
      <c r="LF269" s="99"/>
      <c r="LG269" s="99"/>
      <c r="LH269" s="99"/>
      <c r="LI269" s="99"/>
      <c r="LJ269" s="99"/>
      <c r="LK269" s="99"/>
      <c r="LL269" s="99"/>
      <c r="LM269" s="99"/>
      <c r="LN269" s="99"/>
      <c r="LO269" s="99"/>
      <c r="LP269" s="99"/>
      <c r="LQ269" s="99"/>
      <c r="LR269" s="99"/>
      <c r="LS269" s="99"/>
      <c r="LT269" s="99"/>
      <c r="LU269" s="99"/>
      <c r="LV269" s="99"/>
      <c r="LW269" s="99"/>
      <c r="LX269" s="99"/>
      <c r="LY269" s="99"/>
      <c r="LZ269" s="99"/>
      <c r="MA269" s="99"/>
      <c r="MB269" s="99"/>
      <c r="MC269" s="99"/>
      <c r="MD269" s="99"/>
      <c r="ME269" s="99"/>
      <c r="MF269" s="99"/>
    </row>
    <row r="270" spans="1:344" ht="17.25" customHeight="1" x14ac:dyDescent="0.25">
      <c r="A270" s="155" t="s">
        <v>44</v>
      </c>
      <c r="B270" s="79" t="s">
        <v>1</v>
      </c>
      <c r="C270" s="80">
        <v>45404</v>
      </c>
      <c r="D270" s="50"/>
      <c r="G270" s="36">
        <f t="shared" si="459"/>
        <v>0</v>
      </c>
      <c r="H270" s="27">
        <f t="shared" si="460"/>
        <v>0</v>
      </c>
      <c r="I270" s="47"/>
      <c r="K270" s="105"/>
      <c r="L270" s="89">
        <f t="shared" si="461"/>
        <v>0</v>
      </c>
      <c r="M270" s="27">
        <f t="shared" si="478"/>
        <v>0</v>
      </c>
      <c r="N270" s="35">
        <f t="shared" si="479"/>
        <v>0</v>
      </c>
      <c r="O270" s="97" t="e">
        <f>SUM($Z270,$BH270,$AQ270,$BY270,$CP270,$DG270,$DX270,$EO270,$FF270,$FW270,$GN270)/I270</f>
        <v>#DIV/0!</v>
      </c>
      <c r="P270" s="149">
        <f t="shared" si="450"/>
        <v>0</v>
      </c>
      <c r="Q270" s="131">
        <f t="shared" si="457"/>
        <v>0</v>
      </c>
      <c r="R270" s="133">
        <f t="shared" si="453"/>
        <v>0</v>
      </c>
      <c r="S270" s="135">
        <f t="shared" si="454"/>
        <v>0</v>
      </c>
      <c r="T270" s="137">
        <f t="shared" si="455"/>
        <v>0</v>
      </c>
      <c r="U270" s="143">
        <f t="shared" si="456"/>
        <v>0</v>
      </c>
      <c r="W270" s="11">
        <v>0</v>
      </c>
      <c r="X270" s="1">
        <v>0</v>
      </c>
      <c r="Y270" s="27">
        <f t="shared" si="462"/>
        <v>0</v>
      </c>
      <c r="Z270" s="27">
        <f t="shared" si="480"/>
        <v>0</v>
      </c>
      <c r="AA270" s="15">
        <f t="shared" si="493"/>
        <v>5.8781021663238705E-10</v>
      </c>
      <c r="AB270" s="43">
        <f t="shared" si="451"/>
        <v>2.8337003867967721E-10</v>
      </c>
      <c r="AC270" s="43">
        <f t="shared" si="452"/>
        <v>0.48207743020039256</v>
      </c>
      <c r="AD270" s="33"/>
      <c r="AH270" s="31"/>
      <c r="AP270" s="27">
        <f t="shared" si="463"/>
        <v>0</v>
      </c>
      <c r="AQ270" s="27">
        <f t="shared" si="481"/>
        <v>0</v>
      </c>
      <c r="AR270" s="15">
        <f t="shared" si="494"/>
        <v>1.7751286763657406E-7</v>
      </c>
      <c r="AS270" s="28">
        <f t="shared" si="495"/>
        <v>5.9080918783400007E-7</v>
      </c>
      <c r="AT270" s="28">
        <f t="shared" si="496"/>
        <v>3.3282611886118394</v>
      </c>
      <c r="AU270" s="33"/>
      <c r="AY270" s="31"/>
      <c r="BG270" s="27">
        <f t="shared" si="464"/>
        <v>0</v>
      </c>
      <c r="BH270" s="27">
        <f t="shared" si="482"/>
        <v>0</v>
      </c>
      <c r="BI270" s="15">
        <f t="shared" si="497"/>
        <v>2.4447801662035129E-7</v>
      </c>
      <c r="BJ270" s="28">
        <f t="shared" si="498"/>
        <v>9.0760302850721325E-7</v>
      </c>
      <c r="BK270" s="28">
        <f t="shared" si="499"/>
        <v>3.7124116149740596</v>
      </c>
      <c r="BL270" s="33"/>
      <c r="BP270" s="31"/>
      <c r="BX270" s="27">
        <f t="shared" si="465"/>
        <v>0</v>
      </c>
      <c r="BY270" s="27">
        <f t="shared" si="483"/>
        <v>0</v>
      </c>
      <c r="BZ270" s="15">
        <f t="shared" si="500"/>
        <v>1.8589301696563639E-7</v>
      </c>
      <c r="CA270" s="28">
        <f t="shared" si="501"/>
        <v>5.6403203989106689E-7</v>
      </c>
      <c r="CB270" s="28">
        <f t="shared" si="502"/>
        <v>3.0341755117962936</v>
      </c>
      <c r="CC270" s="33"/>
      <c r="CG270" s="31"/>
      <c r="CO270" s="27">
        <f t="shared" si="466"/>
        <v>0</v>
      </c>
      <c r="CP270" s="27">
        <f t="shared" si="484"/>
        <v>0</v>
      </c>
      <c r="CQ270" s="15">
        <f t="shared" si="503"/>
        <v>2.0366943717152983E-7</v>
      </c>
      <c r="CR270" s="28">
        <f t="shared" si="504"/>
        <v>7.2988894739841214E-7</v>
      </c>
      <c r="CS270" s="28">
        <f t="shared" si="505"/>
        <v>3.5836940364483931</v>
      </c>
      <c r="CT270" s="33"/>
      <c r="CX270" s="31"/>
      <c r="DF270" s="27">
        <f t="shared" si="467"/>
        <v>0</v>
      </c>
      <c r="DG270" s="27">
        <f t="shared" si="485"/>
        <v>0</v>
      </c>
      <c r="DH270" s="15">
        <f t="shared" si="506"/>
        <v>1.9809743418700321E-7</v>
      </c>
      <c r="DI270" s="28">
        <f t="shared" si="507"/>
        <v>4.4349684800889223E-7</v>
      </c>
      <c r="DJ270" s="28">
        <f t="shared" si="508"/>
        <v>2.2387813846707014</v>
      </c>
      <c r="DK270" s="33"/>
      <c r="DO270" s="31"/>
      <c r="DW270" s="27">
        <f t="shared" si="468"/>
        <v>0</v>
      </c>
      <c r="DX270" s="27">
        <f t="shared" si="486"/>
        <v>0</v>
      </c>
      <c r="DY270" s="15">
        <f t="shared" si="509"/>
        <v>2.0510044720138482E-7</v>
      </c>
      <c r="DZ270" s="28">
        <f t="shared" si="510"/>
        <v>4.3298667177339784E-7</v>
      </c>
      <c r="EA270" s="28">
        <f t="shared" si="511"/>
        <v>2.1110956981398252</v>
      </c>
      <c r="EB270" s="33"/>
      <c r="EF270" s="31"/>
      <c r="EN270" s="27">
        <f t="shared" si="469"/>
        <v>0</v>
      </c>
      <c r="EO270" s="27">
        <f t="shared" si="487"/>
        <v>0</v>
      </c>
      <c r="EP270" s="15">
        <f t="shared" si="512"/>
        <v>2.1898258371545442E-7</v>
      </c>
      <c r="EQ270" s="28">
        <f t="shared" si="513"/>
        <v>8.5079675037963809E-7</v>
      </c>
      <c r="ER270" s="28">
        <f t="shared" si="514"/>
        <v>3.8852256464612815</v>
      </c>
      <c r="ES270" s="33"/>
      <c r="EW270" s="31"/>
      <c r="FE270" s="27">
        <f t="shared" si="470"/>
        <v>0</v>
      </c>
      <c r="FF270" s="27">
        <f t="shared" si="488"/>
        <v>0</v>
      </c>
      <c r="FG270" s="15">
        <f t="shared" si="515"/>
        <v>2.1156020743840891E-7</v>
      </c>
      <c r="FH270" s="28">
        <f t="shared" si="516"/>
        <v>7.7882610601313251E-7</v>
      </c>
      <c r="FI270" s="28">
        <f t="shared" si="517"/>
        <v>3.6813449723992662</v>
      </c>
      <c r="FJ270" s="33"/>
      <c r="FN270" s="31"/>
      <c r="FV270" s="27">
        <f t="shared" si="471"/>
        <v>0</v>
      </c>
      <c r="FW270" s="27">
        <f t="shared" si="489"/>
        <v>0</v>
      </c>
      <c r="FX270" s="15">
        <f t="shared" si="518"/>
        <v>1.9916105278418667E-7</v>
      </c>
      <c r="FY270" s="28">
        <f t="shared" si="519"/>
        <v>7.7985221239274378E-7</v>
      </c>
      <c r="FZ270" s="28">
        <f t="shared" si="520"/>
        <v>3.9156863326977946</v>
      </c>
      <c r="GA270" s="33"/>
      <c r="GE270" s="31"/>
      <c r="GM270" s="27">
        <f t="shared" si="472"/>
        <v>0</v>
      </c>
      <c r="GN270" s="27">
        <f t="shared" si="490"/>
        <v>0</v>
      </c>
      <c r="GO270" s="15">
        <f t="shared" si="521"/>
        <v>2.058004747419916E-7</v>
      </c>
      <c r="GP270" s="28">
        <f t="shared" si="522"/>
        <v>8.0372252603462713E-7</v>
      </c>
      <c r="GQ270" s="28">
        <f t="shared" si="523"/>
        <v>3.9053482604558605</v>
      </c>
      <c r="GR270" s="33"/>
      <c r="GV270" s="31"/>
      <c r="HD270" s="27">
        <f t="shared" si="473"/>
        <v>0</v>
      </c>
      <c r="HE270" s="27">
        <f t="shared" si="491"/>
        <v>0</v>
      </c>
      <c r="HF270" s="15">
        <f t="shared" si="524"/>
        <v>2.8991211234336335E-7</v>
      </c>
      <c r="HG270" s="28">
        <f t="shared" si="525"/>
        <v>5.8299053374657805E-7</v>
      </c>
      <c r="HH270" s="28">
        <f t="shared" si="526"/>
        <v>2.0109216170178543</v>
      </c>
      <c r="HI270" s="33"/>
      <c r="HM270" s="31"/>
      <c r="HU270" s="27">
        <f t="shared" si="474"/>
        <v>0</v>
      </c>
      <c r="HV270" s="27">
        <f t="shared" si="492"/>
        <v>0</v>
      </c>
      <c r="HW270" s="15">
        <f t="shared" si="527"/>
        <v>6.6931588576980937E-16</v>
      </c>
      <c r="HX270" s="28">
        <f t="shared" si="528"/>
        <v>2.0488440200468309E-19</v>
      </c>
      <c r="HY270" s="28">
        <f t="shared" si="529"/>
        <v>3.0611017362756394E-4</v>
      </c>
      <c r="HZ270" s="33"/>
      <c r="ID270" s="31"/>
      <c r="II270" s="12"/>
      <c r="IL270" s="27">
        <f t="shared" si="475"/>
        <v>0</v>
      </c>
      <c r="IM270" s="27">
        <f t="shared" si="476"/>
        <v>15.170880372788679</v>
      </c>
      <c r="IN270" s="15">
        <f t="shared" si="530"/>
        <v>6.5959055906028993E-8</v>
      </c>
      <c r="IO270" s="28">
        <f t="shared" si="531"/>
        <v>1.5154189949229129E-8</v>
      </c>
      <c r="IP270" s="28">
        <f t="shared" si="532"/>
        <v>0.22975146840820621</v>
      </c>
      <c r="IQ270" s="33"/>
      <c r="IU270" s="31"/>
      <c r="JC270" s="27">
        <f t="shared" si="458"/>
        <v>0</v>
      </c>
      <c r="JD270" s="27">
        <f t="shared" si="477"/>
        <v>17.918473712806065</v>
      </c>
      <c r="JE270" s="15">
        <f t="shared" si="533"/>
        <v>7.9650898336184932E-8</v>
      </c>
      <c r="JF270" s="28">
        <f t="shared" si="534"/>
        <v>1.93421055113802E-8</v>
      </c>
      <c r="JG270" s="28">
        <f t="shared" si="535"/>
        <v>0.24283599953565366</v>
      </c>
      <c r="JH270" s="33"/>
      <c r="JL270" s="31"/>
      <c r="JR270" s="99"/>
      <c r="JS270" s="99"/>
      <c r="JT270" s="99"/>
      <c r="JU270" s="99"/>
      <c r="JV270" s="99"/>
      <c r="JW270" s="99"/>
      <c r="JX270" s="99"/>
      <c r="JY270" s="99"/>
      <c r="JZ270" s="99"/>
      <c r="KA270" s="99"/>
      <c r="KB270" s="99"/>
      <c r="KC270" s="99"/>
      <c r="KD270" s="99"/>
      <c r="KE270" s="99"/>
      <c r="KF270" s="99"/>
      <c r="KG270" s="99"/>
      <c r="KH270" s="99"/>
      <c r="KI270" s="99"/>
      <c r="KJ270" s="99"/>
      <c r="KK270" s="99"/>
      <c r="KL270" s="99"/>
      <c r="KM270" s="99"/>
      <c r="KN270" s="99"/>
      <c r="KO270" s="99"/>
      <c r="KP270" s="99"/>
      <c r="KQ270" s="99"/>
      <c r="KR270" s="99"/>
      <c r="KS270" s="99"/>
      <c r="KT270" s="99"/>
      <c r="KU270" s="99"/>
      <c r="KV270" s="99"/>
      <c r="KW270" s="99"/>
      <c r="KX270" s="99"/>
      <c r="KY270" s="99"/>
      <c r="KZ270" s="99"/>
      <c r="LA270" s="99"/>
      <c r="LB270" s="99"/>
      <c r="LC270" s="99"/>
      <c r="LD270" s="99"/>
      <c r="LE270" s="99"/>
      <c r="LF270" s="99"/>
      <c r="LG270" s="99"/>
      <c r="LH270" s="99"/>
      <c r="LI270" s="99"/>
      <c r="LJ270" s="99"/>
      <c r="LK270" s="99"/>
      <c r="LL270" s="99"/>
      <c r="LM270" s="99"/>
      <c r="LN270" s="99"/>
      <c r="LO270" s="99"/>
      <c r="LP270" s="99"/>
      <c r="LQ270" s="99"/>
      <c r="LR270" s="99"/>
      <c r="LS270" s="99"/>
      <c r="LT270" s="99"/>
      <c r="LU270" s="99"/>
      <c r="LV270" s="99"/>
      <c r="LW270" s="99"/>
      <c r="LX270" s="99"/>
      <c r="LY270" s="99"/>
      <c r="LZ270" s="99"/>
      <c r="MA270" s="99"/>
      <c r="MB270" s="99"/>
      <c r="MC270" s="99"/>
      <c r="MD270" s="99"/>
      <c r="ME270" s="99"/>
      <c r="MF270" s="99"/>
    </row>
    <row r="271" spans="1:344" ht="17.25" customHeight="1" x14ac:dyDescent="0.25">
      <c r="A271" s="156"/>
      <c r="B271" s="81" t="s">
        <v>2</v>
      </c>
      <c r="C271" s="82">
        <v>45405</v>
      </c>
      <c r="D271" s="49"/>
      <c r="G271" s="89">
        <f t="shared" si="459"/>
        <v>0</v>
      </c>
      <c r="H271" s="35">
        <f t="shared" si="460"/>
        <v>0</v>
      </c>
      <c r="I271" s="39"/>
      <c r="L271" s="89">
        <f t="shared" si="461"/>
        <v>0</v>
      </c>
      <c r="M271" s="35">
        <f t="shared" si="478"/>
        <v>0</v>
      </c>
      <c r="N271" s="35">
        <f t="shared" si="479"/>
        <v>0</v>
      </c>
      <c r="O271" s="97" t="e">
        <f>SUM($Z271,$BH271,$AQ271,$BY271,$CP271,$DG271,$DX271,$EO271,$FF271,$FW271,$GN271)/I271</f>
        <v>#DIV/0!</v>
      </c>
      <c r="P271" s="150"/>
      <c r="Q271" s="132">
        <f t="shared" si="457"/>
        <v>0</v>
      </c>
      <c r="R271" s="134">
        <f t="shared" si="453"/>
        <v>0</v>
      </c>
      <c r="S271" s="136">
        <f t="shared" si="454"/>
        <v>0</v>
      </c>
      <c r="T271" s="138">
        <f t="shared" si="455"/>
        <v>0</v>
      </c>
      <c r="U271" s="144">
        <f t="shared" si="456"/>
        <v>0</v>
      </c>
      <c r="W271" s="11">
        <v>0</v>
      </c>
      <c r="X271" s="1">
        <v>0</v>
      </c>
      <c r="Y271" s="35">
        <f t="shared" si="462"/>
        <v>0</v>
      </c>
      <c r="Z271" s="35">
        <f t="shared" si="480"/>
        <v>0</v>
      </c>
      <c r="AA271" s="15">
        <f t="shared" si="493"/>
        <v>4.73513785620534E-10</v>
      </c>
      <c r="AB271" s="43">
        <f t="shared" si="451"/>
        <v>2.1252752900975789E-10</v>
      </c>
      <c r="AC271" s="43">
        <f t="shared" si="452"/>
        <v>0.44883071087622756</v>
      </c>
      <c r="AD271" s="33"/>
      <c r="AH271" s="31"/>
      <c r="AP271" s="35">
        <f t="shared" si="463"/>
        <v>0</v>
      </c>
      <c r="AQ271" s="35">
        <f t="shared" si="481"/>
        <v>0</v>
      </c>
      <c r="AR271" s="15">
        <f t="shared" si="494"/>
        <v>1.4299647670724024E-7</v>
      </c>
      <c r="AS271" s="28">
        <f t="shared" si="495"/>
        <v>4.4310689087550008E-7</v>
      </c>
      <c r="AT271" s="28">
        <f t="shared" si="496"/>
        <v>3.0987259342248157</v>
      </c>
      <c r="AU271" s="33"/>
      <c r="AY271" s="31"/>
      <c r="BG271" s="35">
        <f t="shared" si="464"/>
        <v>0</v>
      </c>
      <c r="BH271" s="35">
        <f t="shared" si="482"/>
        <v>0</v>
      </c>
      <c r="BI271" s="15">
        <f t="shared" si="497"/>
        <v>1.9694062449972739E-7</v>
      </c>
      <c r="BJ271" s="28">
        <f t="shared" si="498"/>
        <v>6.8070227138040989E-7</v>
      </c>
      <c r="BK271" s="28">
        <f t="shared" si="499"/>
        <v>3.4563832277344693</v>
      </c>
      <c r="BL271" s="33"/>
      <c r="BP271" s="31"/>
      <c r="BX271" s="35">
        <f t="shared" si="465"/>
        <v>0</v>
      </c>
      <c r="BY271" s="35">
        <f t="shared" si="483"/>
        <v>0</v>
      </c>
      <c r="BZ271" s="15">
        <f t="shared" si="500"/>
        <v>1.4974715255565154E-7</v>
      </c>
      <c r="CA271" s="28">
        <f t="shared" si="501"/>
        <v>4.2302402991830017E-7</v>
      </c>
      <c r="CB271" s="28">
        <f t="shared" si="502"/>
        <v>2.8249220282241354</v>
      </c>
      <c r="CC271" s="33"/>
      <c r="CG271" s="31"/>
      <c r="CO271" s="35">
        <f t="shared" si="466"/>
        <v>0</v>
      </c>
      <c r="CP271" s="35">
        <f t="shared" si="484"/>
        <v>0</v>
      </c>
      <c r="CQ271" s="15">
        <f t="shared" si="503"/>
        <v>1.6406704661039901E-7</v>
      </c>
      <c r="CR271" s="28">
        <f t="shared" si="504"/>
        <v>5.4741671054880905E-7</v>
      </c>
      <c r="CS271" s="28">
        <f t="shared" si="505"/>
        <v>3.3365427235898832</v>
      </c>
      <c r="CT271" s="33"/>
      <c r="CX271" s="31"/>
      <c r="DF271" s="35">
        <f t="shared" si="467"/>
        <v>0</v>
      </c>
      <c r="DG271" s="35">
        <f t="shared" si="485"/>
        <v>0</v>
      </c>
      <c r="DH271" s="15">
        <f t="shared" si="506"/>
        <v>1.5957848865064147E-7</v>
      </c>
      <c r="DI271" s="28">
        <f t="shared" si="507"/>
        <v>3.3262263600666917E-7</v>
      </c>
      <c r="DJ271" s="28">
        <f t="shared" si="508"/>
        <v>2.0843826684865152</v>
      </c>
      <c r="DK271" s="33"/>
      <c r="DO271" s="31"/>
      <c r="DW271" s="35">
        <f t="shared" si="468"/>
        <v>0</v>
      </c>
      <c r="DX271" s="35">
        <f t="shared" si="486"/>
        <v>0</v>
      </c>
      <c r="DY271" s="15">
        <f t="shared" si="509"/>
        <v>1.6521980469000444E-7</v>
      </c>
      <c r="DZ271" s="28">
        <f t="shared" si="510"/>
        <v>3.2474000383004839E-7</v>
      </c>
      <c r="EA271" s="28">
        <f t="shared" si="511"/>
        <v>1.9655028913715613</v>
      </c>
      <c r="EB271" s="33"/>
      <c r="EF271" s="31"/>
      <c r="EN271" s="35">
        <f t="shared" si="469"/>
        <v>0</v>
      </c>
      <c r="EO271" s="35">
        <f t="shared" si="487"/>
        <v>0</v>
      </c>
      <c r="EP271" s="15">
        <f t="shared" si="512"/>
        <v>1.7640263688189383E-7</v>
      </c>
      <c r="EQ271" s="28">
        <f t="shared" si="513"/>
        <v>6.3809756278472851E-7</v>
      </c>
      <c r="ER271" s="28">
        <f t="shared" si="514"/>
        <v>3.617279050153607</v>
      </c>
      <c r="ES271" s="33"/>
      <c r="EW271" s="31"/>
      <c r="FE271" s="35">
        <f t="shared" si="470"/>
        <v>0</v>
      </c>
      <c r="FF271" s="35">
        <f t="shared" si="488"/>
        <v>0</v>
      </c>
      <c r="FG271" s="15">
        <f t="shared" si="515"/>
        <v>1.7042350043649609E-7</v>
      </c>
      <c r="FH271" s="28">
        <f t="shared" si="516"/>
        <v>5.8411957950984938E-7</v>
      </c>
      <c r="FI271" s="28">
        <f t="shared" si="517"/>
        <v>3.4274591122337994</v>
      </c>
      <c r="FJ271" s="33"/>
      <c r="FN271" s="31"/>
      <c r="FV271" s="35">
        <f t="shared" si="471"/>
        <v>0</v>
      </c>
      <c r="FW271" s="35">
        <f t="shared" si="489"/>
        <v>0</v>
      </c>
      <c r="FX271" s="15">
        <f t="shared" si="518"/>
        <v>1.6043529252059483E-7</v>
      </c>
      <c r="FY271" s="28">
        <f t="shared" si="519"/>
        <v>5.8488915929455789E-7</v>
      </c>
      <c r="FZ271" s="28">
        <f t="shared" si="520"/>
        <v>3.6456389994082916</v>
      </c>
      <c r="GA271" s="33"/>
      <c r="GE271" s="31"/>
      <c r="GM271" s="35">
        <f t="shared" si="472"/>
        <v>0</v>
      </c>
      <c r="GN271" s="35">
        <f t="shared" si="490"/>
        <v>0</v>
      </c>
      <c r="GO271" s="15">
        <f t="shared" si="521"/>
        <v>1.6578371576438214E-7</v>
      </c>
      <c r="GP271" s="28">
        <f t="shared" si="522"/>
        <v>6.027918945259704E-7</v>
      </c>
      <c r="GQ271" s="28">
        <f t="shared" si="523"/>
        <v>3.636013897665801</v>
      </c>
      <c r="GR271" s="33"/>
      <c r="GV271" s="31"/>
      <c r="HD271" s="35">
        <f t="shared" si="473"/>
        <v>0</v>
      </c>
      <c r="HE271" s="35">
        <f t="shared" si="491"/>
        <v>0</v>
      </c>
      <c r="HF271" s="15">
        <f t="shared" si="524"/>
        <v>2.335403127210427E-7</v>
      </c>
      <c r="HG271" s="28">
        <f t="shared" si="525"/>
        <v>4.3724290030993354E-7</v>
      </c>
      <c r="HH271" s="28">
        <f t="shared" si="526"/>
        <v>1.872237367568347</v>
      </c>
      <c r="HI271" s="33"/>
      <c r="HM271" s="31"/>
      <c r="HU271" s="35">
        <f t="shared" si="474"/>
        <v>0</v>
      </c>
      <c r="HV271" s="35">
        <f t="shared" si="492"/>
        <v>0</v>
      </c>
      <c r="HW271" s="15">
        <f t="shared" si="527"/>
        <v>5.3917113020345742E-16</v>
      </c>
      <c r="HX271" s="28">
        <f t="shared" si="528"/>
        <v>1.5366330150351231E-19</v>
      </c>
      <c r="HY271" s="28">
        <f t="shared" si="529"/>
        <v>2.8499912717049058E-4</v>
      </c>
      <c r="HZ271" s="33"/>
      <c r="ID271" s="31"/>
      <c r="II271" s="12"/>
      <c r="IL271" s="35">
        <f t="shared" si="475"/>
        <v>0</v>
      </c>
      <c r="IM271" s="35">
        <f t="shared" si="476"/>
        <v>14.124612282458253</v>
      </c>
      <c r="IN271" s="15">
        <f t="shared" si="530"/>
        <v>5.3133683924301145E-8</v>
      </c>
      <c r="IO271" s="28">
        <f t="shared" si="531"/>
        <v>1.1365642461921846E-8</v>
      </c>
      <c r="IP271" s="28">
        <f t="shared" si="532"/>
        <v>0.21390653955246783</v>
      </c>
      <c r="IQ271" s="33"/>
      <c r="IU271" s="31"/>
      <c r="JC271" s="35">
        <f t="shared" si="458"/>
        <v>0</v>
      </c>
      <c r="JD271" s="35">
        <f t="shared" si="477"/>
        <v>16.6827162998174</v>
      </c>
      <c r="JE271" s="15">
        <f t="shared" si="533"/>
        <v>6.4163223659704522E-8</v>
      </c>
      <c r="JF271" s="28">
        <f t="shared" si="534"/>
        <v>1.450657913353515E-8</v>
      </c>
      <c r="JG271" s="28">
        <f t="shared" si="535"/>
        <v>0.22608868922284994</v>
      </c>
      <c r="JH271" s="33"/>
      <c r="JL271" s="31"/>
      <c r="JR271" s="99"/>
      <c r="JS271" s="99"/>
      <c r="JT271" s="99"/>
      <c r="JU271" s="99"/>
      <c r="JV271" s="99"/>
      <c r="JW271" s="99"/>
      <c r="JX271" s="99"/>
      <c r="JY271" s="99"/>
      <c r="JZ271" s="99"/>
      <c r="KA271" s="99"/>
      <c r="KB271" s="99"/>
      <c r="KC271" s="99"/>
      <c r="KD271" s="99"/>
      <c r="KE271" s="99"/>
      <c r="KF271" s="99"/>
      <c r="KG271" s="99"/>
      <c r="KH271" s="99"/>
      <c r="KI271" s="99"/>
      <c r="KJ271" s="99"/>
      <c r="KK271" s="99"/>
      <c r="KL271" s="99"/>
      <c r="KM271" s="99"/>
      <c r="KN271" s="99"/>
      <c r="KO271" s="99"/>
      <c r="KP271" s="99"/>
      <c r="KQ271" s="99"/>
      <c r="KR271" s="99"/>
      <c r="KS271" s="99"/>
      <c r="KT271" s="99"/>
      <c r="KU271" s="99"/>
      <c r="KV271" s="99"/>
      <c r="KW271" s="99"/>
      <c r="KX271" s="99"/>
      <c r="KY271" s="99"/>
      <c r="KZ271" s="99"/>
      <c r="LA271" s="99"/>
      <c r="LB271" s="99"/>
      <c r="LC271" s="99"/>
      <c r="LD271" s="99"/>
      <c r="LE271" s="99"/>
      <c r="LF271" s="99"/>
      <c r="LG271" s="99"/>
      <c r="LH271" s="99"/>
      <c r="LI271" s="99"/>
      <c r="LJ271" s="99"/>
      <c r="LK271" s="99"/>
      <c r="LL271" s="99"/>
      <c r="LM271" s="99"/>
      <c r="LN271" s="99"/>
      <c r="LO271" s="99"/>
      <c r="LP271" s="99"/>
      <c r="LQ271" s="99"/>
      <c r="LR271" s="99"/>
      <c r="LS271" s="99"/>
      <c r="LT271" s="99"/>
      <c r="LU271" s="99"/>
      <c r="LV271" s="99"/>
      <c r="LW271" s="99"/>
      <c r="LX271" s="99"/>
      <c r="LY271" s="99"/>
      <c r="LZ271" s="99"/>
      <c r="MA271" s="99"/>
      <c r="MB271" s="99"/>
      <c r="MC271" s="99"/>
      <c r="MD271" s="99"/>
      <c r="ME271" s="99"/>
      <c r="MF271" s="99"/>
    </row>
    <row r="272" spans="1:344" ht="17.25" customHeight="1" x14ac:dyDescent="0.25">
      <c r="A272" s="156"/>
      <c r="B272" s="81" t="s">
        <v>3</v>
      </c>
      <c r="C272" s="82">
        <v>45406</v>
      </c>
      <c r="D272" s="49"/>
      <c r="G272" s="89">
        <f t="shared" si="459"/>
        <v>0</v>
      </c>
      <c r="H272" s="35">
        <f t="shared" si="460"/>
        <v>0</v>
      </c>
      <c r="I272" s="39"/>
      <c r="L272" s="89">
        <f t="shared" si="461"/>
        <v>0</v>
      </c>
      <c r="M272" s="35">
        <f t="shared" si="478"/>
        <v>0</v>
      </c>
      <c r="N272" s="35">
        <f t="shared" si="479"/>
        <v>0</v>
      </c>
      <c r="O272" s="97" t="e">
        <f>SUM($Z272,$BH272,$AQ272,$BY272,$CP272,$DG272,$DX272,$EO272,$FF272,$FW272,$GN272)/D272</f>
        <v>#DIV/0!</v>
      </c>
      <c r="P272" s="150"/>
      <c r="Q272" s="132">
        <f t="shared" si="457"/>
        <v>0</v>
      </c>
      <c r="R272" s="134">
        <f t="shared" si="453"/>
        <v>0</v>
      </c>
      <c r="S272" s="136">
        <f t="shared" si="454"/>
        <v>0</v>
      </c>
      <c r="T272" s="138">
        <f t="shared" si="455"/>
        <v>0</v>
      </c>
      <c r="U272" s="144">
        <f t="shared" si="456"/>
        <v>0</v>
      </c>
      <c r="W272" s="11">
        <v>0</v>
      </c>
      <c r="X272" s="1">
        <v>0</v>
      </c>
      <c r="Y272" s="35">
        <f t="shared" si="462"/>
        <v>0</v>
      </c>
      <c r="Z272" s="35">
        <f t="shared" si="480"/>
        <v>0</v>
      </c>
      <c r="AA272" s="15">
        <f t="shared" si="493"/>
        <v>3.8144166063876348E-10</v>
      </c>
      <c r="AB272" s="43">
        <f t="shared" si="451"/>
        <v>1.5939564675731841E-10</v>
      </c>
      <c r="AC272" s="43">
        <f t="shared" si="452"/>
        <v>0.41787686874683255</v>
      </c>
      <c r="AD272" s="33"/>
      <c r="AH272" s="31"/>
      <c r="AP272" s="35">
        <f t="shared" si="463"/>
        <v>0</v>
      </c>
      <c r="AQ272" s="35">
        <f t="shared" si="481"/>
        <v>0</v>
      </c>
      <c r="AR272" s="15">
        <f t="shared" si="494"/>
        <v>1.1519160623638797E-7</v>
      </c>
      <c r="AS272" s="28">
        <f t="shared" si="495"/>
        <v>3.3233016815662506E-7</v>
      </c>
      <c r="AT272" s="28">
        <f t="shared" si="496"/>
        <v>2.8850206973817247</v>
      </c>
      <c r="AU272" s="33"/>
      <c r="AY272" s="31"/>
      <c r="BG272" s="35">
        <f t="shared" si="464"/>
        <v>0</v>
      </c>
      <c r="BH272" s="35">
        <f t="shared" si="482"/>
        <v>0</v>
      </c>
      <c r="BI272" s="15">
        <f t="shared" si="497"/>
        <v>1.5864661418033597E-7</v>
      </c>
      <c r="BJ272" s="28">
        <f t="shared" si="498"/>
        <v>5.1052670353530747E-7</v>
      </c>
      <c r="BK272" s="28">
        <f t="shared" si="499"/>
        <v>3.2180119706493335</v>
      </c>
      <c r="BL272" s="33"/>
      <c r="BP272" s="31"/>
      <c r="BX272" s="35">
        <f t="shared" si="465"/>
        <v>0</v>
      </c>
      <c r="BY272" s="35">
        <f t="shared" si="483"/>
        <v>0</v>
      </c>
      <c r="BZ272" s="15">
        <f t="shared" si="500"/>
        <v>1.2062965066983042E-7</v>
      </c>
      <c r="CA272" s="28">
        <f t="shared" si="501"/>
        <v>3.1726802243872512E-7</v>
      </c>
      <c r="CB272" s="28">
        <f t="shared" si="502"/>
        <v>2.6300998193810914</v>
      </c>
      <c r="CC272" s="33"/>
      <c r="CG272" s="31"/>
      <c r="CO272" s="35">
        <f t="shared" si="466"/>
        <v>0</v>
      </c>
      <c r="CP272" s="35">
        <f t="shared" si="484"/>
        <v>0</v>
      </c>
      <c r="CQ272" s="15">
        <f t="shared" si="503"/>
        <v>1.3216512088059923E-7</v>
      </c>
      <c r="CR272" s="28">
        <f t="shared" si="504"/>
        <v>4.1056253291160679E-7</v>
      </c>
      <c r="CS272" s="28">
        <f t="shared" si="505"/>
        <v>3.1064363288595462</v>
      </c>
      <c r="CT272" s="33"/>
      <c r="CX272" s="31"/>
      <c r="DF272" s="35">
        <f t="shared" si="467"/>
        <v>0</v>
      </c>
      <c r="DG272" s="35">
        <f t="shared" si="485"/>
        <v>0</v>
      </c>
      <c r="DH272" s="15">
        <f t="shared" si="506"/>
        <v>1.2854933807968344E-7</v>
      </c>
      <c r="DI272" s="28">
        <f t="shared" si="507"/>
        <v>2.494669770050019E-7</v>
      </c>
      <c r="DJ272" s="28">
        <f t="shared" si="508"/>
        <v>1.9406321396253763</v>
      </c>
      <c r="DK272" s="33"/>
      <c r="DO272" s="31"/>
      <c r="DW272" s="35">
        <f t="shared" si="468"/>
        <v>0</v>
      </c>
      <c r="DX272" s="35">
        <f t="shared" si="486"/>
        <v>0</v>
      </c>
      <c r="DY272" s="15">
        <f t="shared" si="509"/>
        <v>1.3309373155583691E-7</v>
      </c>
      <c r="DZ272" s="28">
        <f t="shared" si="510"/>
        <v>2.4355500287253628E-7</v>
      </c>
      <c r="EA272" s="28">
        <f t="shared" si="511"/>
        <v>1.8299509678286949</v>
      </c>
      <c r="EB272" s="33"/>
      <c r="EF272" s="31"/>
      <c r="EN272" s="35">
        <f t="shared" si="469"/>
        <v>0</v>
      </c>
      <c r="EO272" s="35">
        <f t="shared" si="487"/>
        <v>0</v>
      </c>
      <c r="EP272" s="15">
        <f t="shared" si="512"/>
        <v>1.4210212415485889E-7</v>
      </c>
      <c r="EQ272" s="28">
        <f t="shared" si="513"/>
        <v>4.7857317208854633E-7</v>
      </c>
      <c r="ER272" s="28">
        <f t="shared" si="514"/>
        <v>3.3678115294533582</v>
      </c>
      <c r="ES272" s="33"/>
      <c r="EW272" s="31"/>
      <c r="FE272" s="35">
        <f t="shared" si="470"/>
        <v>0</v>
      </c>
      <c r="FF272" s="35">
        <f t="shared" si="488"/>
        <v>0</v>
      </c>
      <c r="FG272" s="15">
        <f t="shared" si="515"/>
        <v>1.3728559757384407E-7</v>
      </c>
      <c r="FH272" s="28">
        <f t="shared" si="516"/>
        <v>4.3808968463238701E-7</v>
      </c>
      <c r="FI272" s="28">
        <f t="shared" si="517"/>
        <v>3.1910826217349166</v>
      </c>
      <c r="FJ272" s="33"/>
      <c r="FN272" s="31"/>
      <c r="FV272" s="35">
        <f t="shared" si="471"/>
        <v>0</v>
      </c>
      <c r="FW272" s="35">
        <f t="shared" si="489"/>
        <v>0</v>
      </c>
      <c r="FX272" s="15">
        <f t="shared" si="518"/>
        <v>1.2923954119714585E-7</v>
      </c>
      <c r="FY272" s="28">
        <f t="shared" si="519"/>
        <v>4.3866686947091842E-7</v>
      </c>
      <c r="FZ272" s="28">
        <f t="shared" si="520"/>
        <v>3.3942156201387541</v>
      </c>
      <c r="GA272" s="33"/>
      <c r="GE272" s="31"/>
      <c r="GM272" s="35">
        <f t="shared" si="472"/>
        <v>0</v>
      </c>
      <c r="GN272" s="35">
        <f t="shared" si="490"/>
        <v>0</v>
      </c>
      <c r="GO272" s="15">
        <f t="shared" si="521"/>
        <v>1.3354799325464119E-7</v>
      </c>
      <c r="GP272" s="28">
        <f t="shared" si="522"/>
        <v>4.520939208944778E-7</v>
      </c>
      <c r="GQ272" s="28">
        <f t="shared" si="523"/>
        <v>3.3852543185164352</v>
      </c>
      <c r="GR272" s="33"/>
      <c r="GV272" s="31"/>
      <c r="HD272" s="35">
        <f t="shared" si="473"/>
        <v>0</v>
      </c>
      <c r="HE272" s="35">
        <f t="shared" si="491"/>
        <v>0</v>
      </c>
      <c r="HF272" s="15">
        <f t="shared" si="524"/>
        <v>1.8812969635861775E-7</v>
      </c>
      <c r="HG272" s="28">
        <f t="shared" si="525"/>
        <v>3.2793217523245014E-7</v>
      </c>
      <c r="HH272" s="28">
        <f t="shared" si="526"/>
        <v>1.7431175491153574</v>
      </c>
      <c r="HI272" s="33"/>
      <c r="HM272" s="31"/>
      <c r="HU272" s="35">
        <f t="shared" si="474"/>
        <v>0</v>
      </c>
      <c r="HV272" s="35">
        <f t="shared" si="492"/>
        <v>0</v>
      </c>
      <c r="HW272" s="15">
        <f t="shared" si="527"/>
        <v>4.34332299330563E-16</v>
      </c>
      <c r="HX272" s="28">
        <f t="shared" si="528"/>
        <v>1.1524747612763423E-19</v>
      </c>
      <c r="HY272" s="28">
        <f t="shared" si="529"/>
        <v>2.6534401495183603E-4</v>
      </c>
      <c r="HZ272" s="33"/>
      <c r="ID272" s="31"/>
      <c r="II272" s="12"/>
      <c r="IL272" s="35">
        <f t="shared" si="475"/>
        <v>0</v>
      </c>
      <c r="IM272" s="35">
        <f t="shared" si="476"/>
        <v>13.150500727866497</v>
      </c>
      <c r="IN272" s="15">
        <f t="shared" si="530"/>
        <v>4.2802134272353701E-8</v>
      </c>
      <c r="IO272" s="28">
        <f t="shared" si="531"/>
        <v>8.5242318464413857E-9</v>
      </c>
      <c r="IP272" s="28">
        <f t="shared" si="532"/>
        <v>0.19915436441091833</v>
      </c>
      <c r="IQ272" s="33"/>
      <c r="IU272" s="31"/>
      <c r="JC272" s="35">
        <f t="shared" si="458"/>
        <v>0</v>
      </c>
      <c r="JD272" s="35">
        <f t="shared" si="477"/>
        <v>15.532183683043225</v>
      </c>
      <c r="JE272" s="15">
        <f t="shared" si="533"/>
        <v>5.168704128142865E-8</v>
      </c>
      <c r="JF272" s="28">
        <f t="shared" si="534"/>
        <v>1.0879934350151363E-8</v>
      </c>
      <c r="JG272" s="28">
        <f t="shared" si="535"/>
        <v>0.21049636582817063</v>
      </c>
      <c r="JH272" s="33"/>
      <c r="JL272" s="31"/>
      <c r="JR272" s="99"/>
      <c r="JS272" s="99"/>
      <c r="JT272" s="99"/>
      <c r="JU272" s="99"/>
      <c r="JV272" s="99"/>
      <c r="JW272" s="99"/>
      <c r="JX272" s="99"/>
      <c r="JY272" s="99"/>
      <c r="JZ272" s="99"/>
      <c r="KA272" s="99"/>
      <c r="KB272" s="99"/>
      <c r="KC272" s="99"/>
      <c r="KD272" s="99"/>
      <c r="KE272" s="99"/>
      <c r="KF272" s="99"/>
      <c r="KG272" s="99"/>
      <c r="KH272" s="99"/>
      <c r="KI272" s="99"/>
      <c r="KJ272" s="99"/>
      <c r="KK272" s="99"/>
      <c r="KL272" s="99"/>
      <c r="KM272" s="99"/>
      <c r="KN272" s="99"/>
      <c r="KO272" s="99"/>
      <c r="KP272" s="99"/>
      <c r="KQ272" s="99"/>
      <c r="KR272" s="99"/>
      <c r="KS272" s="99"/>
      <c r="KT272" s="99"/>
      <c r="KU272" s="99"/>
      <c r="KV272" s="99"/>
      <c r="KW272" s="99"/>
      <c r="KX272" s="99"/>
      <c r="KY272" s="99"/>
      <c r="KZ272" s="99"/>
      <c r="LA272" s="99"/>
      <c r="LB272" s="99"/>
      <c r="LC272" s="99"/>
      <c r="LD272" s="99"/>
      <c r="LE272" s="99"/>
      <c r="LF272" s="99"/>
      <c r="LG272" s="99"/>
      <c r="LH272" s="99"/>
      <c r="LI272" s="99"/>
      <c r="LJ272" s="99"/>
      <c r="LK272" s="99"/>
      <c r="LL272" s="99"/>
      <c r="LM272" s="99"/>
      <c r="LN272" s="99"/>
      <c r="LO272" s="99"/>
      <c r="LP272" s="99"/>
      <c r="LQ272" s="99"/>
      <c r="LR272" s="99"/>
      <c r="LS272" s="99"/>
      <c r="LT272" s="99"/>
      <c r="LU272" s="99"/>
      <c r="LV272" s="99"/>
      <c r="LW272" s="99"/>
      <c r="LX272" s="99"/>
      <c r="LY272" s="99"/>
      <c r="LZ272" s="99"/>
      <c r="MA272" s="99"/>
      <c r="MB272" s="99"/>
      <c r="MC272" s="99"/>
      <c r="MD272" s="99"/>
      <c r="ME272" s="99"/>
      <c r="MF272" s="99"/>
    </row>
    <row r="273" spans="1:344" ht="17.25" customHeight="1" x14ac:dyDescent="0.25">
      <c r="A273" s="156"/>
      <c r="B273" s="81" t="s">
        <v>4</v>
      </c>
      <c r="C273" s="82">
        <v>45407</v>
      </c>
      <c r="D273" s="49"/>
      <c r="G273" s="89">
        <f t="shared" si="459"/>
        <v>0</v>
      </c>
      <c r="H273" s="35">
        <f t="shared" si="460"/>
        <v>0</v>
      </c>
      <c r="I273" s="39"/>
      <c r="L273" s="89">
        <f t="shared" si="461"/>
        <v>0</v>
      </c>
      <c r="M273" s="35">
        <f t="shared" si="478"/>
        <v>0</v>
      </c>
      <c r="N273" s="35">
        <f t="shared" si="479"/>
        <v>0</v>
      </c>
      <c r="O273" s="97" t="e">
        <f>SUM($Z273,$BH273,$AQ273,$BY273,$CP273,$DG273,$DX273,$EO273,$FF273,$FW273,$GN273)/D273</f>
        <v>#DIV/0!</v>
      </c>
      <c r="P273" s="150"/>
      <c r="Q273" s="132">
        <f t="shared" si="457"/>
        <v>0</v>
      </c>
      <c r="R273" s="134">
        <f t="shared" si="453"/>
        <v>0</v>
      </c>
      <c r="S273" s="136">
        <f t="shared" si="454"/>
        <v>0</v>
      </c>
      <c r="T273" s="138">
        <f t="shared" si="455"/>
        <v>0</v>
      </c>
      <c r="U273" s="144">
        <f t="shared" si="456"/>
        <v>0</v>
      </c>
      <c r="W273" s="11">
        <v>0</v>
      </c>
      <c r="X273" s="1">
        <v>0</v>
      </c>
      <c r="Y273" s="35">
        <f t="shared" si="462"/>
        <v>0</v>
      </c>
      <c r="Z273" s="35">
        <f t="shared" si="480"/>
        <v>0</v>
      </c>
      <c r="AA273" s="15">
        <f t="shared" si="493"/>
        <v>3.0727244884789283E-10</v>
      </c>
      <c r="AB273" s="43">
        <f t="shared" si="451"/>
        <v>1.1954673506798882E-10</v>
      </c>
      <c r="AC273" s="43">
        <f t="shared" si="452"/>
        <v>0.38905777435049926</v>
      </c>
      <c r="AD273" s="33"/>
      <c r="AH273" s="31"/>
      <c r="AP273" s="35">
        <f t="shared" si="463"/>
        <v>0</v>
      </c>
      <c r="AQ273" s="35">
        <f t="shared" si="481"/>
        <v>0</v>
      </c>
      <c r="AR273" s="15">
        <f t="shared" si="494"/>
        <v>9.2793238357090329E-8</v>
      </c>
      <c r="AS273" s="28">
        <f t="shared" si="495"/>
        <v>2.4924762611746881E-7</v>
      </c>
      <c r="AT273" s="28">
        <f t="shared" si="496"/>
        <v>2.686053752734709</v>
      </c>
      <c r="AU273" s="33"/>
      <c r="AY273" s="31"/>
      <c r="BG273" s="35">
        <f t="shared" si="464"/>
        <v>0</v>
      </c>
      <c r="BH273" s="35">
        <f t="shared" si="482"/>
        <v>0</v>
      </c>
      <c r="BI273" s="15">
        <f t="shared" si="497"/>
        <v>1.2779866142304841E-7</v>
      </c>
      <c r="BJ273" s="28">
        <f t="shared" si="498"/>
        <v>3.828950276514806E-7</v>
      </c>
      <c r="BK273" s="28">
        <f t="shared" si="499"/>
        <v>2.9960801106045518</v>
      </c>
      <c r="BL273" s="33"/>
      <c r="BP273" s="31"/>
      <c r="BX273" s="35">
        <f t="shared" si="465"/>
        <v>0</v>
      </c>
      <c r="BY273" s="35">
        <f t="shared" si="483"/>
        <v>0</v>
      </c>
      <c r="BZ273" s="15">
        <f t="shared" si="500"/>
        <v>9.7173885261807839E-8</v>
      </c>
      <c r="CA273" s="28">
        <f t="shared" si="501"/>
        <v>2.3795101682904384E-7</v>
      </c>
      <c r="CB273" s="28">
        <f t="shared" si="502"/>
        <v>2.448713624941016</v>
      </c>
      <c r="CC273" s="33"/>
      <c r="CG273" s="31"/>
      <c r="CO273" s="35">
        <f t="shared" si="466"/>
        <v>0</v>
      </c>
      <c r="CP273" s="35">
        <f t="shared" si="484"/>
        <v>0</v>
      </c>
      <c r="CQ273" s="15">
        <f t="shared" si="503"/>
        <v>1.0646634737603826E-7</v>
      </c>
      <c r="CR273" s="28">
        <f t="shared" si="504"/>
        <v>3.0792189968370506E-7</v>
      </c>
      <c r="CS273" s="28">
        <f t="shared" si="505"/>
        <v>2.8921993406623359</v>
      </c>
      <c r="CT273" s="33"/>
      <c r="CX273" s="31"/>
      <c r="DF273" s="35">
        <f t="shared" si="467"/>
        <v>0</v>
      </c>
      <c r="DG273" s="35">
        <f t="shared" si="485"/>
        <v>0</v>
      </c>
      <c r="DH273" s="15">
        <f t="shared" si="506"/>
        <v>1.0355363345307831E-7</v>
      </c>
      <c r="DI273" s="28">
        <f t="shared" si="507"/>
        <v>1.8710023275375143E-7</v>
      </c>
      <c r="DJ273" s="28">
        <f t="shared" si="508"/>
        <v>1.8067954403408675</v>
      </c>
      <c r="DK273" s="33"/>
      <c r="DO273" s="31"/>
      <c r="DW273" s="35">
        <f t="shared" si="468"/>
        <v>0</v>
      </c>
      <c r="DX273" s="35">
        <f t="shared" si="486"/>
        <v>0</v>
      </c>
      <c r="DY273" s="15">
        <f t="shared" si="509"/>
        <v>1.0721439486442418E-7</v>
      </c>
      <c r="DZ273" s="28">
        <f t="shared" si="510"/>
        <v>1.8266625215440221E-7</v>
      </c>
      <c r="EA273" s="28">
        <f t="shared" si="511"/>
        <v>1.7037474528060264</v>
      </c>
      <c r="EB273" s="33"/>
      <c r="EF273" s="31"/>
      <c r="EN273" s="35">
        <f t="shared" si="469"/>
        <v>0</v>
      </c>
      <c r="EO273" s="35">
        <f t="shared" si="487"/>
        <v>0</v>
      </c>
      <c r="EP273" s="15">
        <f t="shared" si="512"/>
        <v>1.144711555691919E-7</v>
      </c>
      <c r="EQ273" s="28">
        <f t="shared" si="513"/>
        <v>3.5892987906640975E-7</v>
      </c>
      <c r="ER273" s="28">
        <f t="shared" si="514"/>
        <v>3.1355486653531264</v>
      </c>
      <c r="ES273" s="33"/>
      <c r="EW273" s="31"/>
      <c r="FE273" s="35">
        <f t="shared" si="470"/>
        <v>0</v>
      </c>
      <c r="FF273" s="35">
        <f t="shared" si="488"/>
        <v>0</v>
      </c>
      <c r="FG273" s="15">
        <f t="shared" si="515"/>
        <v>1.1059117582337438E-7</v>
      </c>
      <c r="FH273" s="28">
        <f t="shared" si="516"/>
        <v>3.2856726347429023E-7</v>
      </c>
      <c r="FI273" s="28">
        <f t="shared" si="517"/>
        <v>2.9710079581669913</v>
      </c>
      <c r="FJ273" s="33"/>
      <c r="FN273" s="31"/>
      <c r="FV273" s="35">
        <f t="shared" si="471"/>
        <v>0</v>
      </c>
      <c r="FW273" s="35">
        <f t="shared" si="489"/>
        <v>0</v>
      </c>
      <c r="FX273" s="15">
        <f t="shared" si="518"/>
        <v>1.0410963040881192E-7</v>
      </c>
      <c r="FY273" s="28">
        <f t="shared" si="519"/>
        <v>3.290001521031888E-7</v>
      </c>
      <c r="FZ273" s="28">
        <f t="shared" si="520"/>
        <v>3.1601317842671159</v>
      </c>
      <c r="GA273" s="33"/>
      <c r="GE273" s="31"/>
      <c r="GM273" s="35">
        <f t="shared" si="472"/>
        <v>0</v>
      </c>
      <c r="GN273" s="35">
        <f t="shared" si="490"/>
        <v>0</v>
      </c>
      <c r="GO273" s="15">
        <f t="shared" si="521"/>
        <v>1.0758032789957207E-7</v>
      </c>
      <c r="GP273" s="28">
        <f t="shared" si="522"/>
        <v>3.3907044067085834E-7</v>
      </c>
      <c r="GQ273" s="28">
        <f t="shared" si="523"/>
        <v>3.151788503446336</v>
      </c>
      <c r="GR273" s="33"/>
      <c r="GV273" s="31"/>
      <c r="HD273" s="35">
        <f t="shared" si="473"/>
        <v>0</v>
      </c>
      <c r="HE273" s="35">
        <f t="shared" si="491"/>
        <v>0</v>
      </c>
      <c r="HF273" s="15">
        <f t="shared" si="524"/>
        <v>1.5154892206666428E-7</v>
      </c>
      <c r="HG273" s="28">
        <f t="shared" si="525"/>
        <v>2.4594913142433759E-7</v>
      </c>
      <c r="HH273" s="28">
        <f t="shared" si="526"/>
        <v>1.6229025457280915</v>
      </c>
      <c r="HI273" s="33"/>
      <c r="HM273" s="31"/>
      <c r="HU273" s="35">
        <f t="shared" si="474"/>
        <v>0</v>
      </c>
      <c r="HV273" s="35">
        <f t="shared" si="492"/>
        <v>0</v>
      </c>
      <c r="HW273" s="15">
        <f t="shared" si="527"/>
        <v>3.4987879668295354E-16</v>
      </c>
      <c r="HX273" s="28">
        <f t="shared" si="528"/>
        <v>8.6435607095725672E-20</v>
      </c>
      <c r="HY273" s="28">
        <f t="shared" si="529"/>
        <v>2.4704442771377838E-4</v>
      </c>
      <c r="HZ273" s="33"/>
      <c r="ID273" s="31"/>
      <c r="II273" s="12"/>
      <c r="IL273" s="35">
        <f t="shared" si="475"/>
        <v>0</v>
      </c>
      <c r="IM273" s="35">
        <f t="shared" si="476"/>
        <v>12.243569368030803</v>
      </c>
      <c r="IN273" s="15">
        <f t="shared" si="530"/>
        <v>3.4479497052729373E-8</v>
      </c>
      <c r="IO273" s="28">
        <f t="shared" si="531"/>
        <v>6.3931738848310393E-9</v>
      </c>
      <c r="IP273" s="28">
        <f t="shared" si="532"/>
        <v>0.18541958065844119</v>
      </c>
      <c r="IQ273" s="33"/>
      <c r="IU273" s="31"/>
      <c r="JC273" s="35">
        <f t="shared" si="458"/>
        <v>0</v>
      </c>
      <c r="JD273" s="35">
        <f t="shared" si="477"/>
        <v>14.460998254398319</v>
      </c>
      <c r="JE273" s="15">
        <f t="shared" si="533"/>
        <v>4.1636783254484191E-8</v>
      </c>
      <c r="JF273" s="28">
        <f t="shared" si="534"/>
        <v>8.1599507626135216E-9</v>
      </c>
      <c r="JG273" s="28">
        <f t="shared" si="535"/>
        <v>0.19597937508140023</v>
      </c>
      <c r="JH273" s="33"/>
      <c r="JL273" s="31"/>
      <c r="JR273" s="99"/>
      <c r="JS273" s="99"/>
      <c r="JT273" s="99"/>
      <c r="JU273" s="99"/>
      <c r="JV273" s="99"/>
      <c r="JW273" s="99"/>
      <c r="JX273" s="99"/>
      <c r="JY273" s="99"/>
      <c r="JZ273" s="99"/>
      <c r="KA273" s="99"/>
      <c r="KB273" s="99"/>
      <c r="KC273" s="99"/>
      <c r="KD273" s="99"/>
      <c r="KE273" s="99"/>
      <c r="KF273" s="99"/>
      <c r="KG273" s="99"/>
      <c r="KH273" s="99"/>
      <c r="KI273" s="99"/>
      <c r="KJ273" s="99"/>
      <c r="KK273" s="99"/>
      <c r="KL273" s="99"/>
      <c r="KM273" s="99"/>
      <c r="KN273" s="99"/>
      <c r="KO273" s="99"/>
      <c r="KP273" s="99"/>
      <c r="KQ273" s="99"/>
      <c r="KR273" s="99"/>
      <c r="KS273" s="99"/>
      <c r="KT273" s="99"/>
      <c r="KU273" s="99"/>
      <c r="KV273" s="99"/>
      <c r="KW273" s="99"/>
      <c r="KX273" s="99"/>
      <c r="KY273" s="99"/>
      <c r="KZ273" s="99"/>
      <c r="LA273" s="99"/>
      <c r="LB273" s="99"/>
      <c r="LC273" s="99"/>
      <c r="LD273" s="99"/>
      <c r="LE273" s="99"/>
      <c r="LF273" s="99"/>
      <c r="LG273" s="99"/>
      <c r="LH273" s="99"/>
      <c r="LI273" s="99"/>
      <c r="LJ273" s="99"/>
      <c r="LK273" s="99"/>
      <c r="LL273" s="99"/>
      <c r="LM273" s="99"/>
      <c r="LN273" s="99"/>
      <c r="LO273" s="99"/>
      <c r="LP273" s="99"/>
      <c r="LQ273" s="99"/>
      <c r="LR273" s="99"/>
      <c r="LS273" s="99"/>
      <c r="LT273" s="99"/>
      <c r="LU273" s="99"/>
      <c r="LV273" s="99"/>
      <c r="LW273" s="99"/>
      <c r="LX273" s="99"/>
      <c r="LY273" s="99"/>
      <c r="LZ273" s="99"/>
      <c r="MA273" s="99"/>
      <c r="MB273" s="99"/>
      <c r="MC273" s="99"/>
      <c r="MD273" s="99"/>
      <c r="ME273" s="99"/>
      <c r="MF273" s="99"/>
    </row>
    <row r="274" spans="1:344" ht="17.25" customHeight="1" x14ac:dyDescent="0.25">
      <c r="A274" s="156"/>
      <c r="B274" s="81" t="s">
        <v>5</v>
      </c>
      <c r="C274" s="82">
        <v>45408</v>
      </c>
      <c r="D274" s="49"/>
      <c r="G274" s="89">
        <f t="shared" si="459"/>
        <v>0</v>
      </c>
      <c r="H274" s="35">
        <f t="shared" si="460"/>
        <v>0</v>
      </c>
      <c r="I274" s="39"/>
      <c r="L274" s="89">
        <f t="shared" si="461"/>
        <v>0</v>
      </c>
      <c r="M274" s="35">
        <f t="shared" si="478"/>
        <v>0</v>
      </c>
      <c r="N274" s="35">
        <f t="shared" si="479"/>
        <v>0</v>
      </c>
      <c r="O274" s="97" t="e">
        <f>SUM($Z274,$BH274,$AQ274,$BY274,$CP274,$DG274,$DX274,$EO274,$FF274,$FW274,$GN274)/D274</f>
        <v>#DIV/0!</v>
      </c>
      <c r="P274" s="150"/>
      <c r="Q274" s="132">
        <f t="shared" si="457"/>
        <v>0</v>
      </c>
      <c r="R274" s="134">
        <f t="shared" si="453"/>
        <v>0</v>
      </c>
      <c r="S274" s="136">
        <f t="shared" si="454"/>
        <v>0</v>
      </c>
      <c r="T274" s="138">
        <f t="shared" si="455"/>
        <v>0</v>
      </c>
      <c r="U274" s="144">
        <f t="shared" si="456"/>
        <v>0</v>
      </c>
      <c r="W274" s="11">
        <v>0</v>
      </c>
      <c r="X274" s="1">
        <v>0</v>
      </c>
      <c r="Y274" s="35">
        <f t="shared" si="462"/>
        <v>0</v>
      </c>
      <c r="Z274" s="35">
        <f t="shared" si="480"/>
        <v>0</v>
      </c>
      <c r="AA274" s="15">
        <f t="shared" si="493"/>
        <v>2.4752502823858037E-10</v>
      </c>
      <c r="AB274" s="43">
        <f t="shared" si="451"/>
        <v>8.9660051300991613E-11</v>
      </c>
      <c r="AC274" s="43">
        <f t="shared" si="452"/>
        <v>0.36222620370563724</v>
      </c>
      <c r="AD274" s="33"/>
      <c r="AH274" s="31"/>
      <c r="AP274" s="35">
        <f t="shared" si="463"/>
        <v>0</v>
      </c>
      <c r="AQ274" s="35">
        <f t="shared" si="481"/>
        <v>0</v>
      </c>
      <c r="AR274" s="15">
        <f t="shared" si="494"/>
        <v>7.4750108676544974E-8</v>
      </c>
      <c r="AS274" s="28">
        <f t="shared" si="495"/>
        <v>1.8693571958810161E-7</v>
      </c>
      <c r="AT274" s="28">
        <f t="shared" si="496"/>
        <v>2.5008086663392119</v>
      </c>
      <c r="AU274" s="33"/>
      <c r="AY274" s="31"/>
      <c r="BG274" s="35">
        <f t="shared" si="464"/>
        <v>0</v>
      </c>
      <c r="BH274" s="35">
        <f t="shared" si="482"/>
        <v>0</v>
      </c>
      <c r="BI274" s="15">
        <f t="shared" si="497"/>
        <v>1.0294892170190012E-7</v>
      </c>
      <c r="BJ274" s="28">
        <f t="shared" si="498"/>
        <v>2.8717127073861045E-7</v>
      </c>
      <c r="BK274" s="28">
        <f t="shared" si="499"/>
        <v>2.7894538960800999</v>
      </c>
      <c r="BL274" s="33"/>
      <c r="BP274" s="31"/>
      <c r="BX274" s="35">
        <f t="shared" si="465"/>
        <v>0</v>
      </c>
      <c r="BY274" s="35">
        <f t="shared" si="483"/>
        <v>0</v>
      </c>
      <c r="BZ274" s="15">
        <f t="shared" si="500"/>
        <v>7.8278963127567417E-8</v>
      </c>
      <c r="CA274" s="28">
        <f t="shared" si="501"/>
        <v>1.7846326262178288E-7</v>
      </c>
      <c r="CB274" s="28">
        <f t="shared" si="502"/>
        <v>2.2798368232209461</v>
      </c>
      <c r="CC274" s="33"/>
      <c r="CG274" s="31"/>
      <c r="CO274" s="35">
        <f t="shared" si="466"/>
        <v>0</v>
      </c>
      <c r="CP274" s="35">
        <f t="shared" si="484"/>
        <v>0</v>
      </c>
      <c r="CQ274" s="15">
        <f t="shared" si="503"/>
        <v>8.5764557608475271E-8</v>
      </c>
      <c r="CR274" s="28">
        <f t="shared" si="504"/>
        <v>2.309414247627788E-7</v>
      </c>
      <c r="CS274" s="28">
        <f t="shared" si="505"/>
        <v>2.6927373171683815</v>
      </c>
      <c r="CT274" s="33"/>
      <c r="CX274" s="31"/>
      <c r="DF274" s="35">
        <f t="shared" si="467"/>
        <v>0</v>
      </c>
      <c r="DG274" s="35">
        <f t="shared" si="485"/>
        <v>0</v>
      </c>
      <c r="DH274" s="15">
        <f t="shared" si="506"/>
        <v>8.3418204726090882E-8</v>
      </c>
      <c r="DI274" s="28">
        <f t="shared" si="507"/>
        <v>1.4032517456531358E-7</v>
      </c>
      <c r="DJ274" s="28">
        <f t="shared" si="508"/>
        <v>1.6821888582483937</v>
      </c>
      <c r="DK274" s="33"/>
      <c r="DO274" s="31"/>
      <c r="DW274" s="35">
        <f t="shared" si="468"/>
        <v>0</v>
      </c>
      <c r="DX274" s="35">
        <f t="shared" si="486"/>
        <v>0</v>
      </c>
      <c r="DY274" s="15">
        <f t="shared" si="509"/>
        <v>8.6367151418563938E-8</v>
      </c>
      <c r="DZ274" s="28">
        <f t="shared" si="510"/>
        <v>1.3699968911580167E-7</v>
      </c>
      <c r="EA274" s="28">
        <f t="shared" si="511"/>
        <v>1.5862476284745761</v>
      </c>
      <c r="EB274" s="33"/>
      <c r="EF274" s="31"/>
      <c r="EN274" s="35">
        <f t="shared" si="469"/>
        <v>0</v>
      </c>
      <c r="EO274" s="35">
        <f t="shared" si="487"/>
        <v>0</v>
      </c>
      <c r="EP274" s="15">
        <f t="shared" si="512"/>
        <v>9.2212875319626814E-8</v>
      </c>
      <c r="EQ274" s="28">
        <f t="shared" si="513"/>
        <v>2.6919740929980734E-7</v>
      </c>
      <c r="ER274" s="28">
        <f t="shared" si="514"/>
        <v>2.9193039298115315</v>
      </c>
      <c r="ES274" s="33"/>
      <c r="EW274" s="31"/>
      <c r="FE274" s="35">
        <f t="shared" si="470"/>
        <v>0</v>
      </c>
      <c r="FF274" s="35">
        <f t="shared" si="488"/>
        <v>0</v>
      </c>
      <c r="FG274" s="15">
        <f t="shared" si="515"/>
        <v>8.9087336079940465E-8</v>
      </c>
      <c r="FH274" s="28">
        <f t="shared" si="516"/>
        <v>2.4642544760571767E-7</v>
      </c>
      <c r="FI274" s="28">
        <f t="shared" si="517"/>
        <v>2.7661108576037505</v>
      </c>
      <c r="FJ274" s="33"/>
      <c r="FN274" s="31"/>
      <c r="FV274" s="35">
        <f t="shared" si="471"/>
        <v>0</v>
      </c>
      <c r="FW274" s="35">
        <f t="shared" si="489"/>
        <v>0</v>
      </c>
      <c r="FX274" s="15">
        <f t="shared" si="518"/>
        <v>8.3866091162654047E-8</v>
      </c>
      <c r="FY274" s="28">
        <f t="shared" si="519"/>
        <v>2.467501140773916E-7</v>
      </c>
      <c r="FZ274" s="28">
        <f t="shared" si="520"/>
        <v>2.9421916612142112</v>
      </c>
      <c r="GA274" s="33"/>
      <c r="GE274" s="31"/>
      <c r="GM274" s="35">
        <f t="shared" si="472"/>
        <v>0</v>
      </c>
      <c r="GN274" s="35">
        <f t="shared" si="490"/>
        <v>0</v>
      </c>
      <c r="GO274" s="15">
        <f t="shared" si="521"/>
        <v>8.6661930807988616E-8</v>
      </c>
      <c r="GP274" s="28">
        <f t="shared" si="522"/>
        <v>2.5430283050314375E-7</v>
      </c>
      <c r="GQ274" s="28">
        <f t="shared" si="523"/>
        <v>2.9344237790707264</v>
      </c>
      <c r="GR274" s="33"/>
      <c r="GV274" s="31"/>
      <c r="HD274" s="35">
        <f t="shared" si="473"/>
        <v>0</v>
      </c>
      <c r="HE274" s="35">
        <f t="shared" si="491"/>
        <v>0</v>
      </c>
      <c r="HF274" s="15">
        <f t="shared" si="524"/>
        <v>1.2208107610925735E-7</v>
      </c>
      <c r="HG274" s="28">
        <f t="shared" si="525"/>
        <v>1.8446184856825321E-7</v>
      </c>
      <c r="HH274" s="28">
        <f t="shared" si="526"/>
        <v>1.5109782322296024</v>
      </c>
      <c r="HI274" s="33"/>
      <c r="HM274" s="31"/>
      <c r="HU274" s="35">
        <f t="shared" si="474"/>
        <v>0</v>
      </c>
      <c r="HV274" s="35">
        <f t="shared" si="492"/>
        <v>0</v>
      </c>
      <c r="HW274" s="15">
        <f t="shared" si="527"/>
        <v>2.8184680843904589E-16</v>
      </c>
      <c r="HX274" s="28">
        <f t="shared" si="528"/>
        <v>6.4826705321794257E-20</v>
      </c>
      <c r="HY274" s="28">
        <f t="shared" si="529"/>
        <v>2.3000688097489711E-4</v>
      </c>
      <c r="HZ274" s="33"/>
      <c r="ID274" s="31"/>
      <c r="II274" s="12"/>
      <c r="IL274" s="35">
        <f t="shared" si="475"/>
        <v>0</v>
      </c>
      <c r="IM274" s="35">
        <f t="shared" si="476"/>
        <v>11.39918506479467</v>
      </c>
      <c r="IN274" s="15">
        <f t="shared" si="530"/>
        <v>2.7775150403587549E-8</v>
      </c>
      <c r="IO274" s="28">
        <f t="shared" si="531"/>
        <v>4.7948804136232792E-9</v>
      </c>
      <c r="IP274" s="28">
        <f t="shared" si="532"/>
        <v>0.17263202337165215</v>
      </c>
      <c r="IQ274" s="33"/>
      <c r="IU274" s="31"/>
      <c r="JC274" s="35">
        <f t="shared" si="458"/>
        <v>0</v>
      </c>
      <c r="JD274" s="35">
        <f t="shared" si="477"/>
        <v>13.463687766901279</v>
      </c>
      <c r="JE274" s="15">
        <f t="shared" si="533"/>
        <v>3.3540742066112264E-8</v>
      </c>
      <c r="JF274" s="28">
        <f t="shared" si="534"/>
        <v>6.1199630719601416E-9</v>
      </c>
      <c r="JG274" s="28">
        <f t="shared" si="535"/>
        <v>0.18246355611026918</v>
      </c>
      <c r="JH274" s="33"/>
      <c r="JL274" s="31"/>
      <c r="JR274" s="99"/>
      <c r="JS274" s="99"/>
      <c r="JT274" s="99"/>
      <c r="JU274" s="99"/>
      <c r="JV274" s="99"/>
      <c r="JW274" s="99"/>
      <c r="JX274" s="99"/>
      <c r="JY274" s="99"/>
      <c r="JZ274" s="99"/>
      <c r="KA274" s="99"/>
      <c r="KB274" s="99"/>
      <c r="KC274" s="99"/>
      <c r="KD274" s="99"/>
      <c r="KE274" s="99"/>
      <c r="KF274" s="99"/>
      <c r="KG274" s="99"/>
      <c r="KH274" s="99"/>
      <c r="KI274" s="99"/>
      <c r="KJ274" s="99"/>
      <c r="KK274" s="99"/>
      <c r="KL274" s="99"/>
      <c r="KM274" s="99"/>
      <c r="KN274" s="99"/>
      <c r="KO274" s="99"/>
      <c r="KP274" s="99"/>
      <c r="KQ274" s="99"/>
      <c r="KR274" s="99"/>
      <c r="KS274" s="99"/>
      <c r="KT274" s="99"/>
      <c r="KU274" s="99"/>
      <c r="KV274" s="99"/>
      <c r="KW274" s="99"/>
      <c r="KX274" s="99"/>
      <c r="KY274" s="99"/>
      <c r="KZ274" s="99"/>
      <c r="LA274" s="99"/>
      <c r="LB274" s="99"/>
      <c r="LC274" s="99"/>
      <c r="LD274" s="99"/>
      <c r="LE274" s="99"/>
      <c r="LF274" s="99"/>
      <c r="LG274" s="99"/>
      <c r="LH274" s="99"/>
      <c r="LI274" s="99"/>
      <c r="LJ274" s="99"/>
      <c r="LK274" s="99"/>
      <c r="LL274" s="99"/>
      <c r="LM274" s="99"/>
      <c r="LN274" s="99"/>
      <c r="LO274" s="99"/>
      <c r="LP274" s="99"/>
      <c r="LQ274" s="99"/>
      <c r="LR274" s="99"/>
      <c r="LS274" s="99"/>
      <c r="LT274" s="99"/>
      <c r="LU274" s="99"/>
      <c r="LV274" s="99"/>
      <c r="LW274" s="99"/>
      <c r="LX274" s="99"/>
      <c r="LY274" s="99"/>
      <c r="LZ274" s="99"/>
      <c r="MA274" s="99"/>
      <c r="MB274" s="99"/>
      <c r="MC274" s="99"/>
      <c r="MD274" s="99"/>
      <c r="ME274" s="99"/>
      <c r="MF274" s="99"/>
    </row>
    <row r="275" spans="1:344" ht="17.25" customHeight="1" x14ac:dyDescent="0.25">
      <c r="A275" s="156"/>
      <c r="B275" s="81" t="s">
        <v>6</v>
      </c>
      <c r="C275" s="82">
        <v>45409</v>
      </c>
      <c r="D275" s="49"/>
      <c r="G275" s="89">
        <f t="shared" si="459"/>
        <v>0</v>
      </c>
      <c r="H275" s="35">
        <f t="shared" si="460"/>
        <v>0</v>
      </c>
      <c r="I275" s="39"/>
      <c r="L275" s="89">
        <f t="shared" si="461"/>
        <v>0</v>
      </c>
      <c r="M275" s="35">
        <f t="shared" si="478"/>
        <v>0</v>
      </c>
      <c r="N275" s="35">
        <f t="shared" si="479"/>
        <v>0</v>
      </c>
      <c r="O275" s="97" t="e">
        <f>SUM($Z275,$BH275,$AQ275,$BY275,$CP275,$DG275,$DX275,$EO275,$FF275,$FW275,$GN275)/D275</f>
        <v>#DIV/0!</v>
      </c>
      <c r="P275" s="150"/>
      <c r="Q275" s="132">
        <f t="shared" si="457"/>
        <v>0</v>
      </c>
      <c r="R275" s="134">
        <f t="shared" si="453"/>
        <v>0</v>
      </c>
      <c r="S275" s="136">
        <f t="shared" si="454"/>
        <v>0</v>
      </c>
      <c r="T275" s="138">
        <f t="shared" si="455"/>
        <v>0</v>
      </c>
      <c r="U275" s="144">
        <f t="shared" si="456"/>
        <v>0</v>
      </c>
      <c r="W275" s="11">
        <v>0</v>
      </c>
      <c r="X275" s="1">
        <v>0</v>
      </c>
      <c r="Y275" s="35">
        <f t="shared" si="462"/>
        <v>0</v>
      </c>
      <c r="Z275" s="35">
        <f t="shared" si="480"/>
        <v>0</v>
      </c>
      <c r="AA275" s="15">
        <f t="shared" si="493"/>
        <v>1.9939516163663415E-10</v>
      </c>
      <c r="AB275" s="43">
        <f t="shared" si="451"/>
        <v>6.7245038475743706E-11</v>
      </c>
      <c r="AC275" s="43">
        <f t="shared" si="452"/>
        <v>0.33724508620869675</v>
      </c>
      <c r="AD275" s="33"/>
      <c r="AH275" s="31"/>
      <c r="AP275" s="35">
        <f t="shared" si="463"/>
        <v>0</v>
      </c>
      <c r="AQ275" s="35">
        <f t="shared" si="481"/>
        <v>0</v>
      </c>
      <c r="AR275" s="15">
        <f t="shared" si="494"/>
        <v>6.0215365322772348E-8</v>
      </c>
      <c r="AS275" s="28">
        <f t="shared" si="495"/>
        <v>1.4020178969107621E-7</v>
      </c>
      <c r="AT275" s="28">
        <f t="shared" si="496"/>
        <v>2.3283391031434042</v>
      </c>
      <c r="AU275" s="33"/>
      <c r="AY275" s="31"/>
      <c r="BG275" s="35">
        <f t="shared" si="464"/>
        <v>0</v>
      </c>
      <c r="BH275" s="35">
        <f t="shared" si="482"/>
        <v>0</v>
      </c>
      <c r="BI275" s="15">
        <f t="shared" si="497"/>
        <v>8.2931075815419544E-8</v>
      </c>
      <c r="BJ275" s="28">
        <f t="shared" si="498"/>
        <v>2.1537845305395784E-7</v>
      </c>
      <c r="BK275" s="28">
        <f t="shared" si="499"/>
        <v>2.5970777653159551</v>
      </c>
      <c r="BL275" s="33"/>
      <c r="BP275" s="31"/>
      <c r="BX275" s="35">
        <f t="shared" si="465"/>
        <v>0</v>
      </c>
      <c r="BY275" s="35">
        <f t="shared" si="483"/>
        <v>0</v>
      </c>
      <c r="BZ275" s="15">
        <f t="shared" si="500"/>
        <v>6.305805363054042E-8</v>
      </c>
      <c r="CA275" s="28">
        <f t="shared" si="501"/>
        <v>1.3384744696633716E-7</v>
      </c>
      <c r="CB275" s="28">
        <f t="shared" si="502"/>
        <v>2.1226066974815705</v>
      </c>
      <c r="CC275" s="33"/>
      <c r="CG275" s="31"/>
      <c r="CO275" s="35">
        <f t="shared" si="466"/>
        <v>0</v>
      </c>
      <c r="CP275" s="35">
        <f t="shared" si="484"/>
        <v>0</v>
      </c>
      <c r="CQ275" s="15">
        <f t="shared" si="503"/>
        <v>6.9088115851271748E-8</v>
      </c>
      <c r="CR275" s="28">
        <f t="shared" si="504"/>
        <v>1.732060685720841E-7</v>
      </c>
      <c r="CS275" s="28">
        <f t="shared" si="505"/>
        <v>2.5070312952946998</v>
      </c>
      <c r="CT275" s="33"/>
      <c r="CX275" s="31"/>
      <c r="DF275" s="35">
        <f t="shared" si="467"/>
        <v>0</v>
      </c>
      <c r="DG275" s="35">
        <f t="shared" si="485"/>
        <v>0</v>
      </c>
      <c r="DH275" s="15">
        <f t="shared" si="506"/>
        <v>6.7197998251573216E-8</v>
      </c>
      <c r="DI275" s="28">
        <f t="shared" si="507"/>
        <v>1.0524388092398518E-7</v>
      </c>
      <c r="DJ275" s="28">
        <f t="shared" si="508"/>
        <v>1.5661758335416078</v>
      </c>
      <c r="DK275" s="33"/>
      <c r="DO275" s="31"/>
      <c r="DW275" s="35">
        <f t="shared" si="468"/>
        <v>0</v>
      </c>
      <c r="DX275" s="35">
        <f t="shared" si="486"/>
        <v>0</v>
      </c>
      <c r="DY275" s="15">
        <f t="shared" si="509"/>
        <v>6.9573538642732071E-8</v>
      </c>
      <c r="DZ275" s="28">
        <f t="shared" si="510"/>
        <v>1.0274976683685126E-7</v>
      </c>
      <c r="EA275" s="28">
        <f t="shared" si="511"/>
        <v>1.4768512403039156</v>
      </c>
      <c r="EB275" s="33"/>
      <c r="EF275" s="31"/>
      <c r="EN275" s="35">
        <f t="shared" si="469"/>
        <v>0</v>
      </c>
      <c r="EO275" s="35">
        <f t="shared" si="487"/>
        <v>0</v>
      </c>
      <c r="EP275" s="15">
        <f t="shared" si="512"/>
        <v>7.4282594007477157E-8</v>
      </c>
      <c r="EQ275" s="28">
        <f t="shared" si="513"/>
        <v>2.018980569748555E-7</v>
      </c>
      <c r="ER275" s="28">
        <f t="shared" si="514"/>
        <v>2.7179726243072877</v>
      </c>
      <c r="ES275" s="33"/>
      <c r="EW275" s="31"/>
      <c r="FE275" s="35">
        <f t="shared" si="470"/>
        <v>0</v>
      </c>
      <c r="FF275" s="35">
        <f t="shared" si="488"/>
        <v>0</v>
      </c>
      <c r="FG275" s="15">
        <f t="shared" si="515"/>
        <v>7.1764798508840938E-8</v>
      </c>
      <c r="FH275" s="28">
        <f t="shared" si="516"/>
        <v>1.8481908570428825E-7</v>
      </c>
      <c r="FI275" s="28">
        <f t="shared" si="517"/>
        <v>2.5753445915621125</v>
      </c>
      <c r="FJ275" s="33"/>
      <c r="FN275" s="31"/>
      <c r="FV275" s="35">
        <f t="shared" si="471"/>
        <v>0</v>
      </c>
      <c r="FW275" s="35">
        <f t="shared" si="489"/>
        <v>0</v>
      </c>
      <c r="FX275" s="15">
        <f t="shared" si="518"/>
        <v>6.7558795658804651E-8</v>
      </c>
      <c r="FY275" s="28">
        <f t="shared" si="519"/>
        <v>1.850625855580437E-7</v>
      </c>
      <c r="FZ275" s="28">
        <f t="shared" si="520"/>
        <v>2.7392818914752999</v>
      </c>
      <c r="GA275" s="33"/>
      <c r="GE275" s="31"/>
      <c r="GM275" s="35">
        <f t="shared" si="472"/>
        <v>0</v>
      </c>
      <c r="GN275" s="35">
        <f t="shared" si="490"/>
        <v>0</v>
      </c>
      <c r="GO275" s="15">
        <f t="shared" si="521"/>
        <v>6.9810999817546392E-8</v>
      </c>
      <c r="GP275" s="28">
        <f t="shared" si="522"/>
        <v>1.9072712287735782E-7</v>
      </c>
      <c r="GQ275" s="28">
        <f t="shared" si="523"/>
        <v>2.7320497253417106</v>
      </c>
      <c r="GR275" s="33"/>
      <c r="GV275" s="31"/>
      <c r="HD275" s="35">
        <f t="shared" si="473"/>
        <v>0</v>
      </c>
      <c r="HE275" s="35">
        <f t="shared" si="491"/>
        <v>0</v>
      </c>
      <c r="HF275" s="15">
        <f t="shared" si="524"/>
        <v>9.8343089088012865E-8</v>
      </c>
      <c r="HG275" s="28">
        <f t="shared" si="525"/>
        <v>1.3834638642618991E-7</v>
      </c>
      <c r="HH275" s="28">
        <f t="shared" si="526"/>
        <v>1.4067728369034229</v>
      </c>
      <c r="HI275" s="33"/>
      <c r="HM275" s="31"/>
      <c r="HU275" s="35">
        <f t="shared" si="474"/>
        <v>0</v>
      </c>
      <c r="HV275" s="35">
        <f t="shared" si="492"/>
        <v>0</v>
      </c>
      <c r="HW275" s="15">
        <f t="shared" si="527"/>
        <v>2.2704326235367591E-16</v>
      </c>
      <c r="HX275" s="28">
        <f t="shared" si="528"/>
        <v>4.8620028991345696E-20</v>
      </c>
      <c r="HY275" s="28">
        <f t="shared" si="529"/>
        <v>2.1414433745938695E-4</v>
      </c>
      <c r="HZ275" s="33"/>
      <c r="ID275" s="31"/>
      <c r="II275" s="12"/>
      <c r="IL275" s="35">
        <f t="shared" si="475"/>
        <v>0</v>
      </c>
      <c r="IM275" s="35">
        <f t="shared" si="476"/>
        <v>10.613034211971801</v>
      </c>
      <c r="IN275" s="15">
        <f t="shared" si="530"/>
        <v>2.2374426714001078E-8</v>
      </c>
      <c r="IO275" s="28">
        <f t="shared" si="531"/>
        <v>3.5961603102174592E-9</v>
      </c>
      <c r="IP275" s="28">
        <f t="shared" si="532"/>
        <v>0.16072636658740028</v>
      </c>
      <c r="IQ275" s="33"/>
      <c r="IU275" s="31"/>
      <c r="JC275" s="35">
        <f t="shared" si="458"/>
        <v>0</v>
      </c>
      <c r="JD275" s="35">
        <f t="shared" si="477"/>
        <v>12.535157376562122</v>
      </c>
      <c r="JE275" s="15">
        <f t="shared" si="533"/>
        <v>2.7018931108812658E-8</v>
      </c>
      <c r="JF275" s="28">
        <f t="shared" si="534"/>
        <v>4.5899723039701058E-9</v>
      </c>
      <c r="JG275" s="28">
        <f t="shared" si="535"/>
        <v>0.16987986258542304</v>
      </c>
      <c r="JH275" s="33"/>
      <c r="JL275" s="31"/>
      <c r="JR275" s="99"/>
      <c r="JS275" s="99"/>
      <c r="JT275" s="99"/>
      <c r="JU275" s="99"/>
      <c r="JV275" s="99"/>
      <c r="JW275" s="99"/>
      <c r="JX275" s="99"/>
      <c r="JY275" s="99"/>
      <c r="JZ275" s="99"/>
      <c r="KA275" s="99"/>
      <c r="KB275" s="99"/>
      <c r="KC275" s="99"/>
      <c r="KD275" s="99"/>
      <c r="KE275" s="99"/>
      <c r="KF275" s="99"/>
      <c r="KG275" s="99"/>
      <c r="KH275" s="99"/>
      <c r="KI275" s="99"/>
      <c r="KJ275" s="99"/>
      <c r="KK275" s="99"/>
      <c r="KL275" s="99"/>
      <c r="KM275" s="99"/>
      <c r="KN275" s="99"/>
      <c r="KO275" s="99"/>
      <c r="KP275" s="99"/>
      <c r="KQ275" s="99"/>
      <c r="KR275" s="99"/>
      <c r="KS275" s="99"/>
      <c r="KT275" s="99"/>
      <c r="KU275" s="99"/>
      <c r="KV275" s="99"/>
      <c r="KW275" s="99"/>
      <c r="KX275" s="99"/>
      <c r="KY275" s="99"/>
      <c r="KZ275" s="99"/>
      <c r="LA275" s="99"/>
      <c r="LB275" s="99"/>
      <c r="LC275" s="99"/>
      <c r="LD275" s="99"/>
      <c r="LE275" s="99"/>
      <c r="LF275" s="99"/>
      <c r="LG275" s="99"/>
      <c r="LH275" s="99"/>
      <c r="LI275" s="99"/>
      <c r="LJ275" s="99"/>
      <c r="LK275" s="99"/>
      <c r="LL275" s="99"/>
      <c r="LM275" s="99"/>
      <c r="LN275" s="99"/>
      <c r="LO275" s="99"/>
      <c r="LP275" s="99"/>
      <c r="LQ275" s="99"/>
      <c r="LR275" s="99"/>
      <c r="LS275" s="99"/>
      <c r="LT275" s="99"/>
      <c r="LU275" s="99"/>
      <c r="LV275" s="99"/>
      <c r="LW275" s="99"/>
      <c r="LX275" s="99"/>
      <c r="LY275" s="99"/>
      <c r="LZ275" s="99"/>
      <c r="MA275" s="99"/>
      <c r="MB275" s="99"/>
      <c r="MC275" s="99"/>
      <c r="MD275" s="99"/>
      <c r="ME275" s="99"/>
      <c r="MF275" s="99"/>
    </row>
    <row r="276" spans="1:344" ht="17.25" customHeight="1" x14ac:dyDescent="0.25">
      <c r="A276" s="157"/>
      <c r="B276" s="83" t="s">
        <v>7</v>
      </c>
      <c r="C276" s="84">
        <v>45410</v>
      </c>
      <c r="D276" s="51"/>
      <c r="E276" s="48"/>
      <c r="F276" s="104"/>
      <c r="G276" s="37">
        <f t="shared" si="459"/>
        <v>0</v>
      </c>
      <c r="H276" s="26">
        <f t="shared" si="460"/>
        <v>0</v>
      </c>
      <c r="I276" s="48"/>
      <c r="J276" s="48"/>
      <c r="K276" s="104"/>
      <c r="L276" s="37">
        <f t="shared" si="461"/>
        <v>0</v>
      </c>
      <c r="M276" s="26">
        <f t="shared" si="478"/>
        <v>0</v>
      </c>
      <c r="N276" s="26">
        <f t="shared" si="479"/>
        <v>0</v>
      </c>
      <c r="O276" s="98" t="e">
        <f>SUM($Z276,$BH276,$AQ276,$BY276,$CP276,$DG276,$DX276,$EO276,$FF276,$FW276,$GN276)/D276</f>
        <v>#DIV/0!</v>
      </c>
      <c r="P276" s="151"/>
      <c r="Q276" s="139">
        <f t="shared" si="457"/>
        <v>0</v>
      </c>
      <c r="R276" s="140">
        <f t="shared" si="453"/>
        <v>0</v>
      </c>
      <c r="S276" s="141">
        <f t="shared" si="454"/>
        <v>0</v>
      </c>
      <c r="T276" s="142">
        <f t="shared" si="455"/>
        <v>0</v>
      </c>
      <c r="U276" s="145">
        <f t="shared" si="456"/>
        <v>0</v>
      </c>
      <c r="V276" s="23"/>
      <c r="W276" s="13">
        <v>0</v>
      </c>
      <c r="X276" s="2">
        <v>0</v>
      </c>
      <c r="Y276" s="26">
        <f t="shared" si="462"/>
        <v>0</v>
      </c>
      <c r="Z276" s="26">
        <f t="shared" si="480"/>
        <v>0</v>
      </c>
      <c r="AA276" s="16">
        <f t="shared" si="493"/>
        <v>1.6062388020728862E-10</v>
      </c>
      <c r="AB276" s="44">
        <f t="shared" si="451"/>
        <v>5.0433778856807777E-11</v>
      </c>
      <c r="AC276" s="44">
        <f t="shared" si="452"/>
        <v>0.31398680440120041</v>
      </c>
      <c r="AD276" s="34"/>
      <c r="AE276" s="4"/>
      <c r="AF276" s="5"/>
      <c r="AG276" s="6"/>
      <c r="AH276" s="32"/>
      <c r="AI276" s="3"/>
      <c r="AJ276" s="4"/>
      <c r="AK276" s="5"/>
      <c r="AL276" s="6"/>
      <c r="AM276" s="14"/>
      <c r="AN276" s="13"/>
      <c r="AO276" s="2"/>
      <c r="AP276" s="26">
        <f t="shared" si="463"/>
        <v>0</v>
      </c>
      <c r="AQ276" s="26">
        <f t="shared" si="481"/>
        <v>0</v>
      </c>
      <c r="AR276" s="16">
        <f t="shared" si="494"/>
        <v>4.8506822065566619E-8</v>
      </c>
      <c r="AS276" s="29">
        <f t="shared" si="495"/>
        <v>1.0515134226830716E-7</v>
      </c>
      <c r="AT276" s="29">
        <f t="shared" si="496"/>
        <v>2.16776399258179</v>
      </c>
      <c r="AU276" s="34"/>
      <c r="AV276" s="4"/>
      <c r="AW276" s="5"/>
      <c r="AX276" s="6"/>
      <c r="AY276" s="32"/>
      <c r="AZ276" s="3"/>
      <c r="BA276" s="4"/>
      <c r="BB276" s="5"/>
      <c r="BC276" s="6"/>
      <c r="BD276" s="14"/>
      <c r="BE276" s="13"/>
      <c r="BF276" s="2"/>
      <c r="BG276" s="26">
        <f t="shared" si="464"/>
        <v>0</v>
      </c>
      <c r="BH276" s="26">
        <f t="shared" si="482"/>
        <v>0</v>
      </c>
      <c r="BI276" s="16">
        <f t="shared" si="497"/>
        <v>6.6805588851310183E-8</v>
      </c>
      <c r="BJ276" s="29">
        <f t="shared" si="498"/>
        <v>1.6153383979046837E-7</v>
      </c>
      <c r="BK276" s="29">
        <f t="shared" si="499"/>
        <v>2.4179689539148548</v>
      </c>
      <c r="BL276" s="34"/>
      <c r="BM276" s="4"/>
      <c r="BN276" s="5"/>
      <c r="BO276" s="6"/>
      <c r="BP276" s="32"/>
      <c r="BQ276" s="3"/>
      <c r="BR276" s="4"/>
      <c r="BS276" s="5"/>
      <c r="BT276" s="6"/>
      <c r="BU276" s="14"/>
      <c r="BV276" s="13"/>
      <c r="BW276" s="2"/>
      <c r="BX276" s="26">
        <f t="shared" si="465"/>
        <v>0</v>
      </c>
      <c r="BY276" s="26">
        <f t="shared" si="483"/>
        <v>0</v>
      </c>
      <c r="BZ276" s="16">
        <f t="shared" si="500"/>
        <v>5.0796765424602009E-8</v>
      </c>
      <c r="CA276" s="29">
        <f t="shared" si="501"/>
        <v>1.0038558522475287E-7</v>
      </c>
      <c r="CB276" s="29">
        <f t="shared" si="502"/>
        <v>1.976220028689738</v>
      </c>
      <c r="CC276" s="34"/>
      <c r="CD276" s="4"/>
      <c r="CE276" s="5"/>
      <c r="CF276" s="6"/>
      <c r="CG276" s="32"/>
      <c r="CH276" s="3"/>
      <c r="CI276" s="4"/>
      <c r="CJ276" s="5"/>
      <c r="CK276" s="6"/>
      <c r="CL276" s="14"/>
      <c r="CM276" s="13"/>
      <c r="CN276" s="2"/>
      <c r="CO276" s="26">
        <f t="shared" si="466"/>
        <v>0</v>
      </c>
      <c r="CP276" s="26">
        <f t="shared" si="484"/>
        <v>0</v>
      </c>
      <c r="CQ276" s="16">
        <f t="shared" si="503"/>
        <v>5.5654315546857799E-8</v>
      </c>
      <c r="CR276" s="29">
        <f t="shared" si="504"/>
        <v>1.2990455142906307E-7</v>
      </c>
      <c r="CS276" s="29">
        <f t="shared" si="505"/>
        <v>2.3341325852743755</v>
      </c>
      <c r="CT276" s="34"/>
      <c r="CU276" s="4"/>
      <c r="CV276" s="5"/>
      <c r="CW276" s="6"/>
      <c r="CX276" s="32"/>
      <c r="CY276" s="3"/>
      <c r="CZ276" s="4"/>
      <c r="DA276" s="5"/>
      <c r="DB276" s="6"/>
      <c r="DC276" s="14"/>
      <c r="DD276" s="13"/>
      <c r="DE276" s="2"/>
      <c r="DF276" s="26">
        <f t="shared" si="467"/>
        <v>0</v>
      </c>
      <c r="DG276" s="26">
        <f t="shared" si="485"/>
        <v>0</v>
      </c>
      <c r="DH276" s="16">
        <f t="shared" si="506"/>
        <v>5.4131720813767311E-8</v>
      </c>
      <c r="DI276" s="29">
        <f t="shared" si="507"/>
        <v>7.8932910692988889E-8</v>
      </c>
      <c r="DJ276" s="29">
        <f t="shared" si="508"/>
        <v>1.4581637070904625</v>
      </c>
      <c r="DK276" s="34"/>
      <c r="DL276" s="4"/>
      <c r="DM276" s="5"/>
      <c r="DN276" s="6"/>
      <c r="DO276" s="32"/>
      <c r="DP276" s="3"/>
      <c r="DQ276" s="4"/>
      <c r="DR276" s="5"/>
      <c r="DS276" s="6"/>
      <c r="DT276" s="14"/>
      <c r="DU276" s="13"/>
      <c r="DV276" s="2"/>
      <c r="DW276" s="26">
        <f t="shared" si="468"/>
        <v>0</v>
      </c>
      <c r="DX276" s="26">
        <f t="shared" si="486"/>
        <v>0</v>
      </c>
      <c r="DY276" s="16">
        <f t="shared" si="509"/>
        <v>5.6045350573311937E-8</v>
      </c>
      <c r="DZ276" s="29">
        <f t="shared" si="510"/>
        <v>7.7062325127638435E-8</v>
      </c>
      <c r="EA276" s="29">
        <f t="shared" si="511"/>
        <v>1.3749994306277835</v>
      </c>
      <c r="EB276" s="34"/>
      <c r="EC276" s="4"/>
      <c r="ED276" s="5"/>
      <c r="EE276" s="6"/>
      <c r="EF276" s="32"/>
      <c r="EG276" s="3"/>
      <c r="EH276" s="4"/>
      <c r="EI276" s="5"/>
      <c r="EJ276" s="6"/>
      <c r="EK276" s="14"/>
      <c r="EL276" s="13"/>
      <c r="EM276" s="2"/>
      <c r="EN276" s="26">
        <f t="shared" si="469"/>
        <v>0</v>
      </c>
      <c r="EO276" s="26">
        <f t="shared" si="487"/>
        <v>0</v>
      </c>
      <c r="EP276" s="16">
        <f t="shared" si="512"/>
        <v>5.9838756283801061E-8</v>
      </c>
      <c r="EQ276" s="29">
        <f t="shared" si="513"/>
        <v>1.5142354273114163E-7</v>
      </c>
      <c r="ER276" s="29">
        <f t="shared" si="514"/>
        <v>2.5305262364240262</v>
      </c>
      <c r="ES276" s="34"/>
      <c r="ET276" s="4"/>
      <c r="EU276" s="5"/>
      <c r="EV276" s="6"/>
      <c r="EW276" s="32"/>
      <c r="EX276" s="3"/>
      <c r="EY276" s="4"/>
      <c r="EZ276" s="5"/>
      <c r="FA276" s="6"/>
      <c r="FB276" s="14"/>
      <c r="FC276" s="13"/>
      <c r="FD276" s="2"/>
      <c r="FE276" s="26">
        <f t="shared" si="470"/>
        <v>0</v>
      </c>
      <c r="FF276" s="26">
        <f t="shared" si="488"/>
        <v>0</v>
      </c>
      <c r="FG276" s="16">
        <f t="shared" si="515"/>
        <v>5.781053213212187E-8</v>
      </c>
      <c r="FH276" s="29">
        <f t="shared" si="516"/>
        <v>1.386143142782162E-7</v>
      </c>
      <c r="FI276" s="29">
        <f t="shared" si="517"/>
        <v>2.3977346197302425</v>
      </c>
      <c r="FJ276" s="34"/>
      <c r="FK276" s="4"/>
      <c r="FL276" s="5"/>
      <c r="FM276" s="6"/>
      <c r="FN276" s="32"/>
      <c r="FO276" s="3"/>
      <c r="FP276" s="4"/>
      <c r="FQ276" s="5"/>
      <c r="FR276" s="6"/>
      <c r="FS276" s="14"/>
      <c r="FT276" s="13"/>
      <c r="FU276" s="2"/>
      <c r="FV276" s="26">
        <f t="shared" si="471"/>
        <v>0</v>
      </c>
      <c r="FW276" s="26">
        <f t="shared" si="489"/>
        <v>0</v>
      </c>
      <c r="FX276" s="16">
        <f t="shared" si="518"/>
        <v>5.4422363169592641E-8</v>
      </c>
      <c r="FY276" s="29">
        <f t="shared" si="519"/>
        <v>1.3879693916853278E-7</v>
      </c>
      <c r="FZ276" s="29">
        <f t="shared" si="520"/>
        <v>2.550365898959762</v>
      </c>
      <c r="GA276" s="34"/>
      <c r="GB276" s="4"/>
      <c r="GC276" s="5"/>
      <c r="GD276" s="6"/>
      <c r="GE276" s="32"/>
      <c r="GF276" s="3"/>
      <c r="GG276" s="4"/>
      <c r="GH276" s="5"/>
      <c r="GI276" s="6"/>
      <c r="GJ276" s="14"/>
      <c r="GK276" s="13"/>
      <c r="GL276" s="2"/>
      <c r="GM276" s="26">
        <f t="shared" si="472"/>
        <v>0</v>
      </c>
      <c r="GN276" s="26">
        <f t="shared" si="490"/>
        <v>0</v>
      </c>
      <c r="GO276" s="16">
        <f t="shared" si="521"/>
        <v>5.6236638741912366E-8</v>
      </c>
      <c r="GP276" s="29">
        <f t="shared" si="522"/>
        <v>1.4304534215801836E-7</v>
      </c>
      <c r="GQ276" s="29">
        <f t="shared" si="523"/>
        <v>2.5436325029043512</v>
      </c>
      <c r="GR276" s="34"/>
      <c r="GS276" s="4"/>
      <c r="GT276" s="5"/>
      <c r="GU276" s="6"/>
      <c r="GV276" s="32"/>
      <c r="GW276" s="3"/>
      <c r="GX276" s="4"/>
      <c r="GY276" s="5"/>
      <c r="GZ276" s="6"/>
      <c r="HA276" s="14"/>
      <c r="HB276" s="13"/>
      <c r="HC276" s="2"/>
      <c r="HD276" s="26">
        <f t="shared" si="473"/>
        <v>0</v>
      </c>
      <c r="HE276" s="26">
        <f t="shared" si="491"/>
        <v>0</v>
      </c>
      <c r="HF276" s="16">
        <f t="shared" si="524"/>
        <v>7.9220821765343691E-8</v>
      </c>
      <c r="HG276" s="29">
        <f t="shared" si="525"/>
        <v>1.0375978981964243E-7</v>
      </c>
      <c r="HH276" s="29">
        <f t="shared" si="526"/>
        <v>1.3097540205652558</v>
      </c>
      <c r="HI276" s="34"/>
      <c r="HJ276" s="4"/>
      <c r="HK276" s="5"/>
      <c r="HL276" s="6"/>
      <c r="HM276" s="32"/>
      <c r="HN276" s="3"/>
      <c r="HO276" s="4"/>
      <c r="HP276" s="5"/>
      <c r="HQ276" s="6"/>
      <c r="HR276" s="14"/>
      <c r="HS276" s="13"/>
      <c r="HT276" s="2"/>
      <c r="HU276" s="26">
        <f t="shared" si="474"/>
        <v>0</v>
      </c>
      <c r="HV276" s="26">
        <f t="shared" si="492"/>
        <v>0</v>
      </c>
      <c r="HW276" s="16">
        <f t="shared" si="527"/>
        <v>1.8289596134046113E-16</v>
      </c>
      <c r="HX276" s="29">
        <f t="shared" si="528"/>
        <v>3.6465021743509272E-20</v>
      </c>
      <c r="HY276" s="29">
        <f t="shared" si="529"/>
        <v>1.9937576246218785E-4</v>
      </c>
      <c r="HZ276" s="34"/>
      <c r="IA276" s="4"/>
      <c r="IB276" s="5"/>
      <c r="IC276" s="6"/>
      <c r="ID276" s="32"/>
      <c r="IE276" s="3"/>
      <c r="IF276" s="4"/>
      <c r="IG276" s="5"/>
      <c r="IH276" s="6"/>
      <c r="II276" s="14"/>
      <c r="IJ276" s="13"/>
      <c r="IK276" s="2"/>
      <c r="IL276" s="26">
        <f t="shared" si="475"/>
        <v>0</v>
      </c>
      <c r="IM276" s="26">
        <f t="shared" si="476"/>
        <v>9.881100697381326</v>
      </c>
      <c r="IN276" s="16">
        <f t="shared" si="530"/>
        <v>1.8023843741834204E-8</v>
      </c>
      <c r="IO276" s="29">
        <f t="shared" si="531"/>
        <v>2.6971202326630946E-9</v>
      </c>
      <c r="IP276" s="29">
        <f t="shared" si="532"/>
        <v>0.14964178958137267</v>
      </c>
      <c r="IQ276" s="34"/>
      <c r="IR276" s="4"/>
      <c r="IS276" s="5"/>
      <c r="IT276" s="6"/>
      <c r="IU276" s="32"/>
      <c r="IV276" s="3"/>
      <c r="IW276" s="4"/>
      <c r="IX276" s="5"/>
      <c r="IY276" s="6"/>
      <c r="IZ276" s="14"/>
      <c r="JA276" s="13"/>
      <c r="JB276" s="2"/>
      <c r="JC276" s="26">
        <f t="shared" si="458"/>
        <v>0</v>
      </c>
      <c r="JD276" s="26">
        <f t="shared" si="477"/>
        <v>11.67066361295303</v>
      </c>
      <c r="JE276" s="16">
        <f t="shared" si="533"/>
        <v>2.1765250059876862E-8</v>
      </c>
      <c r="JF276" s="29">
        <f t="shared" si="534"/>
        <v>3.4424792279775794E-9</v>
      </c>
      <c r="JG276" s="29">
        <f t="shared" si="535"/>
        <v>0.15816400999332489</v>
      </c>
      <c r="JH276" s="34"/>
      <c r="JI276" s="4"/>
      <c r="JJ276" s="5"/>
      <c r="JK276" s="6"/>
      <c r="JL276" s="32"/>
      <c r="JM276" s="3"/>
      <c r="JN276" s="4"/>
      <c r="JO276" s="5"/>
      <c r="JP276" s="6"/>
      <c r="JQ276" s="14"/>
      <c r="JR276" s="99"/>
      <c r="JS276" s="99"/>
      <c r="JT276" s="99"/>
      <c r="JU276" s="99"/>
      <c r="JV276" s="99"/>
      <c r="JW276" s="99"/>
      <c r="JX276" s="99"/>
      <c r="JY276" s="99"/>
      <c r="JZ276" s="99"/>
      <c r="KA276" s="99"/>
      <c r="KB276" s="99"/>
      <c r="KC276" s="99"/>
      <c r="KD276" s="99"/>
      <c r="KE276" s="99"/>
      <c r="KF276" s="99"/>
      <c r="KG276" s="99"/>
      <c r="KH276" s="99"/>
      <c r="KI276" s="99"/>
      <c r="KJ276" s="99"/>
      <c r="KK276" s="99"/>
      <c r="KL276" s="99"/>
      <c r="KM276" s="99"/>
      <c r="KN276" s="99"/>
      <c r="KO276" s="99"/>
      <c r="KP276" s="99"/>
      <c r="KQ276" s="99"/>
      <c r="KR276" s="99"/>
      <c r="KS276" s="99"/>
      <c r="KT276" s="99"/>
      <c r="KU276" s="99"/>
      <c r="KV276" s="99"/>
      <c r="KW276" s="99"/>
      <c r="KX276" s="99"/>
      <c r="KY276" s="99"/>
      <c r="KZ276" s="99"/>
      <c r="LA276" s="99"/>
      <c r="LB276" s="99"/>
      <c r="LC276" s="99"/>
      <c r="LD276" s="99"/>
      <c r="LE276" s="99"/>
      <c r="LF276" s="99"/>
      <c r="LG276" s="99"/>
      <c r="LH276" s="99"/>
      <c r="LI276" s="99"/>
      <c r="LJ276" s="99"/>
      <c r="LK276" s="99"/>
      <c r="LL276" s="99"/>
      <c r="LM276" s="99"/>
      <c r="LN276" s="99"/>
      <c r="LO276" s="99"/>
      <c r="LP276" s="99"/>
      <c r="LQ276" s="99"/>
      <c r="LR276" s="99"/>
      <c r="LS276" s="99"/>
      <c r="LT276" s="99"/>
      <c r="LU276" s="99"/>
      <c r="LV276" s="99"/>
      <c r="LW276" s="99"/>
      <c r="LX276" s="99"/>
      <c r="LY276" s="99"/>
      <c r="LZ276" s="99"/>
      <c r="MA276" s="99"/>
      <c r="MB276" s="99"/>
      <c r="MC276" s="99"/>
      <c r="MD276" s="99"/>
      <c r="ME276" s="99"/>
      <c r="MF276" s="99"/>
    </row>
    <row r="277" spans="1:344" ht="17.25" customHeight="1" x14ac:dyDescent="0.25">
      <c r="A277" s="155" t="s">
        <v>45</v>
      </c>
      <c r="B277" s="79" t="s">
        <v>1</v>
      </c>
      <c r="C277" s="80">
        <v>45411</v>
      </c>
      <c r="D277" s="50"/>
      <c r="G277" s="36">
        <f t="shared" si="459"/>
        <v>0</v>
      </c>
      <c r="H277" s="27">
        <f t="shared" si="460"/>
        <v>0</v>
      </c>
      <c r="I277" s="47"/>
      <c r="K277" s="105"/>
      <c r="L277" s="89">
        <f t="shared" si="461"/>
        <v>0</v>
      </c>
      <c r="M277" s="27">
        <f t="shared" si="478"/>
        <v>0</v>
      </c>
      <c r="N277" s="35">
        <f t="shared" si="479"/>
        <v>0</v>
      </c>
      <c r="O277" s="97" t="e">
        <f>SUM($Z277,$BH277,$AQ277,$BY277,$CP277,$DG277,$DX277,$EO277,$FF277,$FW277,$GN277)/I277</f>
        <v>#DIV/0!</v>
      </c>
      <c r="P277" s="149">
        <f t="shared" ref="P277:P312" si="536">SUM(N277:N283)</f>
        <v>0</v>
      </c>
      <c r="Q277" s="131">
        <f t="shared" si="457"/>
        <v>0</v>
      </c>
      <c r="R277" s="133">
        <f t="shared" si="453"/>
        <v>0</v>
      </c>
      <c r="S277" s="135">
        <f t="shared" si="454"/>
        <v>0</v>
      </c>
      <c r="T277" s="137">
        <f t="shared" si="455"/>
        <v>0</v>
      </c>
      <c r="U277" s="143">
        <f t="shared" si="456"/>
        <v>0</v>
      </c>
      <c r="W277" s="11">
        <v>0</v>
      </c>
      <c r="X277" s="1">
        <v>0</v>
      </c>
      <c r="Y277" s="27">
        <f t="shared" si="462"/>
        <v>0</v>
      </c>
      <c r="Z277" s="27">
        <f t="shared" si="480"/>
        <v>0</v>
      </c>
      <c r="AA277" s="15">
        <f t="shared" si="493"/>
        <v>1.2939145905587137E-10</v>
      </c>
      <c r="AB277" s="43">
        <f t="shared" si="451"/>
        <v>3.7825334142605829E-11</v>
      </c>
      <c r="AC277" s="43">
        <f t="shared" si="452"/>
        <v>0.29233254202870385</v>
      </c>
      <c r="AD277" s="33"/>
      <c r="AH277" s="31"/>
      <c r="AP277" s="27">
        <f t="shared" si="463"/>
        <v>0</v>
      </c>
      <c r="AQ277" s="27">
        <f t="shared" si="481"/>
        <v>0</v>
      </c>
      <c r="AR277" s="15">
        <f t="shared" si="494"/>
        <v>3.9074939997261997E-8</v>
      </c>
      <c r="AS277" s="28">
        <f t="shared" si="495"/>
        <v>7.8863506701230366E-8</v>
      </c>
      <c r="AT277" s="28">
        <f t="shared" si="496"/>
        <v>2.0182630275761491</v>
      </c>
      <c r="AU277" s="33"/>
      <c r="AY277" s="31"/>
      <c r="BG277" s="27">
        <f t="shared" si="464"/>
        <v>0</v>
      </c>
      <c r="BH277" s="27">
        <f t="shared" si="482"/>
        <v>0</v>
      </c>
      <c r="BI277" s="15">
        <f t="shared" si="497"/>
        <v>5.3815613241333202E-8</v>
      </c>
      <c r="BJ277" s="28">
        <f t="shared" si="498"/>
        <v>1.2115037984285127E-7</v>
      </c>
      <c r="BK277" s="28">
        <f t="shared" si="499"/>
        <v>2.2512124743345199</v>
      </c>
      <c r="BL277" s="33"/>
      <c r="BP277" s="31"/>
      <c r="BX277" s="27">
        <f t="shared" si="465"/>
        <v>0</v>
      </c>
      <c r="BY277" s="27">
        <f t="shared" si="483"/>
        <v>0</v>
      </c>
      <c r="BZ277" s="15">
        <f t="shared" si="500"/>
        <v>4.0919616592040509E-8</v>
      </c>
      <c r="CA277" s="28">
        <f t="shared" si="501"/>
        <v>7.5289188918564655E-8</v>
      </c>
      <c r="CB277" s="28">
        <f t="shared" si="502"/>
        <v>1.8399289922283768</v>
      </c>
      <c r="CC277" s="33"/>
      <c r="CG277" s="31"/>
      <c r="CO277" s="27">
        <f t="shared" si="466"/>
        <v>0</v>
      </c>
      <c r="CP277" s="27">
        <f t="shared" si="484"/>
        <v>0</v>
      </c>
      <c r="CQ277" s="15">
        <f t="shared" si="503"/>
        <v>4.4832643079413227E-8</v>
      </c>
      <c r="CR277" s="28">
        <f t="shared" si="504"/>
        <v>9.74284135717973E-8</v>
      </c>
      <c r="CS277" s="28">
        <f t="shared" si="505"/>
        <v>2.1731579242209702</v>
      </c>
      <c r="CT277" s="33"/>
      <c r="CX277" s="31"/>
      <c r="DF277" s="27">
        <f t="shared" si="467"/>
        <v>0</v>
      </c>
      <c r="DG277" s="27">
        <f t="shared" si="485"/>
        <v>0</v>
      </c>
      <c r="DH277" s="15">
        <f t="shared" si="506"/>
        <v>4.3606108433312557E-8</v>
      </c>
      <c r="DI277" s="28">
        <f t="shared" si="507"/>
        <v>5.9199683019741667E-8</v>
      </c>
      <c r="DJ277" s="28">
        <f t="shared" si="508"/>
        <v>1.3576006928083617</v>
      </c>
      <c r="DK277" s="33"/>
      <c r="DO277" s="31"/>
      <c r="DW277" s="27">
        <f t="shared" si="468"/>
        <v>0</v>
      </c>
      <c r="DX277" s="27">
        <f t="shared" si="486"/>
        <v>0</v>
      </c>
      <c r="DY277" s="15">
        <f t="shared" si="509"/>
        <v>4.5147643517390174E-8</v>
      </c>
      <c r="DZ277" s="28">
        <f t="shared" si="510"/>
        <v>5.7796743845728826E-8</v>
      </c>
      <c r="EA277" s="28">
        <f t="shared" si="511"/>
        <v>1.2801718836879363</v>
      </c>
      <c r="EB277" s="33"/>
      <c r="EF277" s="31"/>
      <c r="EN277" s="27">
        <f t="shared" si="469"/>
        <v>0</v>
      </c>
      <c r="EO277" s="27">
        <f t="shared" si="487"/>
        <v>0</v>
      </c>
      <c r="EP277" s="15">
        <f t="shared" si="512"/>
        <v>4.8203442561950847E-8</v>
      </c>
      <c r="EQ277" s="28">
        <f t="shared" si="513"/>
        <v>1.1356765704835623E-7</v>
      </c>
      <c r="ER277" s="28">
        <f t="shared" si="514"/>
        <v>2.3560071856361624</v>
      </c>
      <c r="ES277" s="33"/>
      <c r="EW277" s="31"/>
      <c r="FE277" s="27">
        <f t="shared" si="470"/>
        <v>0</v>
      </c>
      <c r="FF277" s="27">
        <f t="shared" si="488"/>
        <v>0</v>
      </c>
      <c r="FG277" s="15">
        <f t="shared" si="515"/>
        <v>4.6569595328653733E-8</v>
      </c>
      <c r="FH277" s="28">
        <f t="shared" si="516"/>
        <v>1.0396073570866215E-7</v>
      </c>
      <c r="FI277" s="28">
        <f t="shared" si="517"/>
        <v>2.2323736114729842</v>
      </c>
      <c r="FJ277" s="33"/>
      <c r="FN277" s="31"/>
      <c r="FV277" s="27">
        <f t="shared" si="471"/>
        <v>0</v>
      </c>
      <c r="FW277" s="27">
        <f t="shared" si="489"/>
        <v>0</v>
      </c>
      <c r="FX277" s="15">
        <f t="shared" si="518"/>
        <v>4.3840236997727411E-8</v>
      </c>
      <c r="FY277" s="28">
        <f t="shared" si="519"/>
        <v>1.0409770437639959E-7</v>
      </c>
      <c r="FZ277" s="28">
        <f t="shared" si="520"/>
        <v>2.3744785955832266</v>
      </c>
      <c r="GA277" s="33"/>
      <c r="GE277" s="31"/>
      <c r="GM277" s="27">
        <f t="shared" si="472"/>
        <v>0</v>
      </c>
      <c r="GN277" s="27">
        <f t="shared" si="490"/>
        <v>0</v>
      </c>
      <c r="GO277" s="15">
        <f t="shared" si="521"/>
        <v>4.53017367643183E-8</v>
      </c>
      <c r="GP277" s="28">
        <f t="shared" si="522"/>
        <v>1.0728400661851377E-7</v>
      </c>
      <c r="GQ277" s="28">
        <f t="shared" si="523"/>
        <v>2.3682095716695684</v>
      </c>
      <c r="GR277" s="33"/>
      <c r="GV277" s="31"/>
      <c r="HD277" s="27">
        <f t="shared" si="473"/>
        <v>0</v>
      </c>
      <c r="HE277" s="27">
        <f t="shared" si="491"/>
        <v>0</v>
      </c>
      <c r="HF277" s="15">
        <f t="shared" si="524"/>
        <v>6.3816773088749087E-8</v>
      </c>
      <c r="HG277" s="28">
        <f t="shared" si="525"/>
        <v>7.7819842364731819E-8</v>
      </c>
      <c r="HH277" s="28">
        <f t="shared" si="526"/>
        <v>1.2194261570779967</v>
      </c>
      <c r="HI277" s="33"/>
      <c r="HM277" s="31"/>
      <c r="HU277" s="27">
        <f t="shared" si="474"/>
        <v>0</v>
      </c>
      <c r="HV277" s="27">
        <f t="shared" si="492"/>
        <v>0</v>
      </c>
      <c r="HW277" s="15">
        <f t="shared" si="527"/>
        <v>1.4733285774648257E-16</v>
      </c>
      <c r="HX277" s="28">
        <f t="shared" si="528"/>
        <v>2.7348766307631954E-20</v>
      </c>
      <c r="HY277" s="28">
        <f t="shared" si="529"/>
        <v>1.8562570987858869E-4</v>
      </c>
      <c r="HZ277" s="33"/>
      <c r="ID277" s="31"/>
      <c r="II277" s="12"/>
      <c r="IL277" s="27">
        <f t="shared" si="475"/>
        <v>0</v>
      </c>
      <c r="IM277" s="27">
        <f t="shared" si="476"/>
        <v>9.1996453850574884</v>
      </c>
      <c r="IN277" s="15">
        <f t="shared" si="530"/>
        <v>1.4519207458699776E-8</v>
      </c>
      <c r="IO277" s="28">
        <f t="shared" si="531"/>
        <v>2.0228401744973208E-9</v>
      </c>
      <c r="IP277" s="28">
        <f t="shared" si="532"/>
        <v>0.13932166616196764</v>
      </c>
      <c r="IQ277" s="33"/>
      <c r="IU277" s="31"/>
      <c r="JC277" s="27">
        <f t="shared" si="458"/>
        <v>0</v>
      </c>
      <c r="JD277" s="27">
        <f t="shared" si="477"/>
        <v>10.865790145316435</v>
      </c>
      <c r="JE277" s="15">
        <f t="shared" si="533"/>
        <v>1.7533118103789693E-8</v>
      </c>
      <c r="JF277" s="28">
        <f t="shared" si="534"/>
        <v>2.5818594209831843E-9</v>
      </c>
      <c r="JG277" s="28">
        <f t="shared" si="535"/>
        <v>0.14725614723516456</v>
      </c>
      <c r="JH277" s="33"/>
      <c r="JL277" s="31"/>
      <c r="JR277" s="99"/>
      <c r="JS277" s="99"/>
      <c r="JT277" s="99"/>
      <c r="JU277" s="99"/>
      <c r="JV277" s="99"/>
      <c r="JW277" s="99"/>
      <c r="JX277" s="99"/>
      <c r="JY277" s="99"/>
      <c r="JZ277" s="99"/>
      <c r="KA277" s="99"/>
      <c r="KB277" s="99"/>
      <c r="KC277" s="99"/>
      <c r="KD277" s="99"/>
      <c r="KE277" s="99"/>
      <c r="KF277" s="99"/>
      <c r="KG277" s="99"/>
      <c r="KH277" s="99"/>
      <c r="KI277" s="99"/>
      <c r="KJ277" s="99"/>
      <c r="KK277" s="99"/>
      <c r="KL277" s="99"/>
      <c r="KM277" s="99"/>
      <c r="KN277" s="99"/>
      <c r="KO277" s="99"/>
      <c r="KP277" s="99"/>
      <c r="KQ277" s="99"/>
      <c r="KR277" s="99"/>
      <c r="KS277" s="99"/>
      <c r="KT277" s="99"/>
      <c r="KU277" s="99"/>
      <c r="KV277" s="99"/>
      <c r="KW277" s="99"/>
      <c r="KX277" s="99"/>
      <c r="KY277" s="99"/>
      <c r="KZ277" s="99"/>
      <c r="LA277" s="99"/>
      <c r="LB277" s="99"/>
      <c r="LC277" s="99"/>
      <c r="LD277" s="99"/>
      <c r="LE277" s="99"/>
      <c r="LF277" s="99"/>
      <c r="LG277" s="99"/>
      <c r="LH277" s="99"/>
      <c r="LI277" s="99"/>
      <c r="LJ277" s="99"/>
      <c r="LK277" s="99"/>
      <c r="LL277" s="99"/>
      <c r="LM277" s="99"/>
      <c r="LN277" s="99"/>
      <c r="LO277" s="99"/>
      <c r="LP277" s="99"/>
      <c r="LQ277" s="99"/>
      <c r="LR277" s="99"/>
      <c r="LS277" s="99"/>
      <c r="LT277" s="99"/>
      <c r="LU277" s="99"/>
      <c r="LV277" s="99"/>
      <c r="LW277" s="99"/>
      <c r="LX277" s="99"/>
      <c r="LY277" s="99"/>
      <c r="LZ277" s="99"/>
      <c r="MA277" s="99"/>
      <c r="MB277" s="99"/>
      <c r="MC277" s="99"/>
      <c r="MD277" s="99"/>
      <c r="ME277" s="99"/>
      <c r="MF277" s="99"/>
    </row>
    <row r="278" spans="1:344" ht="17.25" customHeight="1" x14ac:dyDescent="0.25">
      <c r="A278" s="156"/>
      <c r="B278" s="81" t="s">
        <v>2</v>
      </c>
      <c r="C278" s="82">
        <v>45412</v>
      </c>
      <c r="D278" s="49"/>
      <c r="G278" s="89">
        <f t="shared" si="459"/>
        <v>0</v>
      </c>
      <c r="H278" s="35">
        <f t="shared" si="460"/>
        <v>0</v>
      </c>
      <c r="I278" s="39"/>
      <c r="L278" s="89">
        <f t="shared" si="461"/>
        <v>0</v>
      </c>
      <c r="M278" s="35">
        <f t="shared" si="478"/>
        <v>0</v>
      </c>
      <c r="N278" s="35">
        <f t="shared" si="479"/>
        <v>0</v>
      </c>
      <c r="O278" s="97" t="e">
        <f>SUM($Z278,$BH278,$AQ278,$BY278,$CP278,$DG278,$DX278,$EO278,$FF278,$FW278,$GN278)/I278</f>
        <v>#DIV/0!</v>
      </c>
      <c r="P278" s="150"/>
      <c r="Q278" s="132">
        <f t="shared" si="457"/>
        <v>0</v>
      </c>
      <c r="R278" s="134">
        <f t="shared" si="453"/>
        <v>0</v>
      </c>
      <c r="S278" s="136">
        <f t="shared" si="454"/>
        <v>0</v>
      </c>
      <c r="T278" s="138">
        <f t="shared" si="455"/>
        <v>0</v>
      </c>
      <c r="U278" s="144">
        <f t="shared" si="456"/>
        <v>0</v>
      </c>
      <c r="W278" s="11">
        <v>0</v>
      </c>
      <c r="X278" s="1">
        <v>0</v>
      </c>
      <c r="Y278" s="35">
        <f t="shared" si="462"/>
        <v>0</v>
      </c>
      <c r="Z278" s="35">
        <f t="shared" si="480"/>
        <v>0</v>
      </c>
      <c r="AA278" s="15">
        <f t="shared" si="493"/>
        <v>1.0423200868389637E-10</v>
      </c>
      <c r="AB278" s="43">
        <f t="shared" si="451"/>
        <v>2.8369000606954372E-11</v>
      </c>
      <c r="AC278" s="43">
        <f t="shared" si="452"/>
        <v>0.27217167706120704</v>
      </c>
      <c r="AD278" s="33"/>
      <c r="AH278" s="31"/>
      <c r="AP278" s="35">
        <f t="shared" si="463"/>
        <v>0</v>
      </c>
      <c r="AQ278" s="35">
        <f t="shared" si="481"/>
        <v>0</v>
      </c>
      <c r="AR278" s="15">
        <f t="shared" si="494"/>
        <v>3.1477034997794392E-8</v>
      </c>
      <c r="AS278" s="28">
        <f t="shared" si="495"/>
        <v>5.9147630025922771E-8</v>
      </c>
      <c r="AT278" s="28">
        <f t="shared" si="496"/>
        <v>1.8790724739502076</v>
      </c>
      <c r="AU278" s="33"/>
      <c r="AY278" s="31"/>
      <c r="BG278" s="35">
        <f t="shared" si="464"/>
        <v>0</v>
      </c>
      <c r="BH278" s="35">
        <f t="shared" si="482"/>
        <v>0</v>
      </c>
      <c r="BI278" s="15">
        <f t="shared" si="497"/>
        <v>4.3351466222185085E-8</v>
      </c>
      <c r="BJ278" s="28">
        <f t="shared" si="498"/>
        <v>9.0862784882138461E-8</v>
      </c>
      <c r="BK278" s="28">
        <f t="shared" si="499"/>
        <v>2.0959564416217944</v>
      </c>
      <c r="BL278" s="33"/>
      <c r="BP278" s="31"/>
      <c r="BX278" s="35">
        <f t="shared" si="465"/>
        <v>0</v>
      </c>
      <c r="BY278" s="35">
        <f t="shared" si="483"/>
        <v>0</v>
      </c>
      <c r="BZ278" s="15">
        <f t="shared" si="500"/>
        <v>3.296302447692152E-8</v>
      </c>
      <c r="CA278" s="28">
        <f t="shared" si="501"/>
        <v>5.6466891688923488E-8</v>
      </c>
      <c r="CB278" s="28">
        <f t="shared" si="502"/>
        <v>1.713037337591937</v>
      </c>
      <c r="CC278" s="33"/>
      <c r="CG278" s="31"/>
      <c r="CO278" s="35">
        <f t="shared" si="466"/>
        <v>0</v>
      </c>
      <c r="CP278" s="35">
        <f t="shared" si="484"/>
        <v>0</v>
      </c>
      <c r="CQ278" s="15">
        <f t="shared" si="503"/>
        <v>3.6115184702860662E-8</v>
      </c>
      <c r="CR278" s="28">
        <f t="shared" si="504"/>
        <v>7.3071310178847982E-8</v>
      </c>
      <c r="CS278" s="28">
        <f t="shared" si="505"/>
        <v>2.0232849639298687</v>
      </c>
      <c r="CT278" s="33"/>
      <c r="CX278" s="31"/>
      <c r="DF278" s="35">
        <f t="shared" si="467"/>
        <v>0</v>
      </c>
      <c r="DG278" s="35">
        <f t="shared" si="485"/>
        <v>0</v>
      </c>
      <c r="DH278" s="15">
        <f t="shared" si="506"/>
        <v>3.5127142904612897E-8</v>
      </c>
      <c r="DI278" s="28">
        <f t="shared" si="507"/>
        <v>4.4399762264806253E-8</v>
      </c>
      <c r="DJ278" s="28">
        <f t="shared" si="508"/>
        <v>1.2639730588215781</v>
      </c>
      <c r="DK278" s="33"/>
      <c r="DO278" s="31"/>
      <c r="DW278" s="35">
        <f t="shared" si="468"/>
        <v>0</v>
      </c>
      <c r="DX278" s="35">
        <f t="shared" si="486"/>
        <v>0</v>
      </c>
      <c r="DY278" s="15">
        <f t="shared" si="509"/>
        <v>3.6368935055675418E-8</v>
      </c>
      <c r="DZ278" s="28">
        <f t="shared" si="510"/>
        <v>4.334755788429662E-8</v>
      </c>
      <c r="EA278" s="28">
        <f t="shared" si="511"/>
        <v>1.1918841675715268</v>
      </c>
      <c r="EB278" s="33"/>
      <c r="EF278" s="31"/>
      <c r="EN278" s="35">
        <f t="shared" si="469"/>
        <v>0</v>
      </c>
      <c r="EO278" s="35">
        <f t="shared" si="487"/>
        <v>0</v>
      </c>
      <c r="EP278" s="15">
        <f t="shared" si="512"/>
        <v>3.8830550952682633E-8</v>
      </c>
      <c r="EQ278" s="28">
        <f t="shared" si="513"/>
        <v>8.5175742786267173E-8</v>
      </c>
      <c r="ER278" s="28">
        <f t="shared" si="514"/>
        <v>2.193523931454358</v>
      </c>
      <c r="ES278" s="33"/>
      <c r="EW278" s="31"/>
      <c r="FE278" s="35">
        <f t="shared" si="470"/>
        <v>0</v>
      </c>
      <c r="FF278" s="35">
        <f t="shared" si="488"/>
        <v>0</v>
      </c>
      <c r="FG278" s="15">
        <f t="shared" si="515"/>
        <v>3.7514396236971067E-8</v>
      </c>
      <c r="FH278" s="28">
        <f t="shared" si="516"/>
        <v>7.7970551781496621E-8</v>
      </c>
      <c r="FI278" s="28">
        <f t="shared" si="517"/>
        <v>2.0784168106817438</v>
      </c>
      <c r="FJ278" s="33"/>
      <c r="FN278" s="31"/>
      <c r="FV278" s="35">
        <f t="shared" si="471"/>
        <v>0</v>
      </c>
      <c r="FW278" s="35">
        <f t="shared" si="489"/>
        <v>0</v>
      </c>
      <c r="FX278" s="15">
        <f t="shared" si="518"/>
        <v>3.5315746470391517E-8</v>
      </c>
      <c r="FY278" s="28">
        <f t="shared" si="519"/>
        <v>7.8073278282299686E-8</v>
      </c>
      <c r="FZ278" s="28">
        <f t="shared" si="520"/>
        <v>2.2107214510602455</v>
      </c>
      <c r="GA278" s="33"/>
      <c r="GE278" s="31"/>
      <c r="GM278" s="35">
        <f t="shared" si="472"/>
        <v>0</v>
      </c>
      <c r="GN278" s="35">
        <f t="shared" si="490"/>
        <v>0</v>
      </c>
      <c r="GO278" s="15">
        <f t="shared" si="521"/>
        <v>3.6493065726811972E-8</v>
      </c>
      <c r="GP278" s="28">
        <f t="shared" si="522"/>
        <v>8.0463004963885336E-8</v>
      </c>
      <c r="GQ278" s="28">
        <f t="shared" si="523"/>
        <v>2.204884773623391</v>
      </c>
      <c r="GR278" s="33"/>
      <c r="GV278" s="31"/>
      <c r="HD278" s="35">
        <f t="shared" si="473"/>
        <v>0</v>
      </c>
      <c r="HE278" s="35">
        <f t="shared" si="491"/>
        <v>0</v>
      </c>
      <c r="HF278" s="15">
        <f t="shared" si="524"/>
        <v>5.1407956099270096E-8</v>
      </c>
      <c r="HG278" s="28">
        <f t="shared" si="525"/>
        <v>5.8364881773548867E-8</v>
      </c>
      <c r="HH278" s="28">
        <f t="shared" si="526"/>
        <v>1.1353278014174453</v>
      </c>
      <c r="HI278" s="33"/>
      <c r="HM278" s="31"/>
      <c r="HU278" s="35">
        <f t="shared" si="474"/>
        <v>0</v>
      </c>
      <c r="HV278" s="35">
        <f t="shared" si="492"/>
        <v>0</v>
      </c>
      <c r="HW278" s="15">
        <f t="shared" si="527"/>
        <v>1.1868480207355541E-16</v>
      </c>
      <c r="HX278" s="28">
        <f t="shared" si="528"/>
        <v>2.0511574730723967E-20</v>
      </c>
      <c r="HY278" s="28">
        <f t="shared" si="529"/>
        <v>1.7282393678351362E-4</v>
      </c>
      <c r="HZ278" s="33"/>
      <c r="ID278" s="31"/>
      <c r="II278" s="12"/>
      <c r="IL278" s="35">
        <f t="shared" si="475"/>
        <v>0</v>
      </c>
      <c r="IM278" s="35">
        <f t="shared" si="476"/>
        <v>8.5651870127163239</v>
      </c>
      <c r="IN278" s="15">
        <f t="shared" si="530"/>
        <v>1.1696028230619263E-8</v>
      </c>
      <c r="IO278" s="28">
        <f t="shared" si="531"/>
        <v>1.5171301308729906E-9</v>
      </c>
      <c r="IP278" s="28">
        <f t="shared" si="532"/>
        <v>0.12971327539217678</v>
      </c>
      <c r="IQ278" s="33"/>
      <c r="IU278" s="31"/>
      <c r="JC278" s="35">
        <f t="shared" si="458"/>
        <v>0</v>
      </c>
      <c r="JD278" s="35">
        <f t="shared" si="477"/>
        <v>10.116425220280137</v>
      </c>
      <c r="JE278" s="15">
        <f t="shared" si="533"/>
        <v>1.4123900694719477E-8</v>
      </c>
      <c r="JF278" s="28">
        <f t="shared" si="534"/>
        <v>1.9363945657373882E-9</v>
      </c>
      <c r="JG278" s="28">
        <f t="shared" si="535"/>
        <v>0.13710055087411871</v>
      </c>
      <c r="JH278" s="33"/>
      <c r="JL278" s="31"/>
      <c r="JR278" s="99"/>
      <c r="JS278" s="99"/>
      <c r="JT278" s="99"/>
      <c r="JU278" s="99"/>
      <c r="JV278" s="99"/>
      <c r="JW278" s="99"/>
      <c r="JX278" s="99"/>
      <c r="JY278" s="99"/>
      <c r="JZ278" s="99"/>
      <c r="KA278" s="99"/>
      <c r="KB278" s="99"/>
      <c r="KC278" s="99"/>
      <c r="KD278" s="99"/>
      <c r="KE278" s="99"/>
      <c r="KF278" s="99"/>
      <c r="KG278" s="99"/>
      <c r="KH278" s="99"/>
      <c r="KI278" s="99"/>
      <c r="KJ278" s="99"/>
      <c r="KK278" s="99"/>
      <c r="KL278" s="99"/>
      <c r="KM278" s="99"/>
      <c r="KN278" s="99"/>
      <c r="KO278" s="99"/>
      <c r="KP278" s="99"/>
      <c r="KQ278" s="99"/>
      <c r="KR278" s="99"/>
      <c r="KS278" s="99"/>
      <c r="KT278" s="99"/>
      <c r="KU278" s="99"/>
      <c r="KV278" s="99"/>
      <c r="KW278" s="99"/>
      <c r="KX278" s="99"/>
      <c r="KY278" s="99"/>
      <c r="KZ278" s="99"/>
      <c r="LA278" s="99"/>
      <c r="LB278" s="99"/>
      <c r="LC278" s="99"/>
      <c r="LD278" s="99"/>
      <c r="LE278" s="99"/>
      <c r="LF278" s="99"/>
      <c r="LG278" s="99"/>
      <c r="LH278" s="99"/>
      <c r="LI278" s="99"/>
      <c r="LJ278" s="99"/>
      <c r="LK278" s="99"/>
      <c r="LL278" s="99"/>
      <c r="LM278" s="99"/>
      <c r="LN278" s="99"/>
      <c r="LO278" s="99"/>
      <c r="LP278" s="99"/>
      <c r="LQ278" s="99"/>
      <c r="LR278" s="99"/>
      <c r="LS278" s="99"/>
      <c r="LT278" s="99"/>
      <c r="LU278" s="99"/>
      <c r="LV278" s="99"/>
      <c r="LW278" s="99"/>
      <c r="LX278" s="99"/>
      <c r="LY278" s="99"/>
      <c r="LZ278" s="99"/>
      <c r="MA278" s="99"/>
      <c r="MB278" s="99"/>
      <c r="MC278" s="99"/>
      <c r="MD278" s="99"/>
      <c r="ME278" s="99"/>
      <c r="MF278" s="99"/>
    </row>
    <row r="279" spans="1:344" ht="17.25" customHeight="1" x14ac:dyDescent="0.25">
      <c r="A279" s="156"/>
      <c r="B279" s="81" t="s">
        <v>3</v>
      </c>
      <c r="C279" s="82">
        <v>45413</v>
      </c>
      <c r="D279" s="49"/>
      <c r="G279" s="89">
        <f t="shared" si="459"/>
        <v>0</v>
      </c>
      <c r="H279" s="35">
        <f t="shared" si="460"/>
        <v>0</v>
      </c>
      <c r="I279" s="39"/>
      <c r="L279" s="89">
        <f t="shared" si="461"/>
        <v>0</v>
      </c>
      <c r="M279" s="35">
        <f t="shared" si="478"/>
        <v>0</v>
      </c>
      <c r="N279" s="35">
        <f t="shared" si="479"/>
        <v>0</v>
      </c>
      <c r="O279" s="97" t="e">
        <f>SUM($Z279,$BH279,$AQ279,$BY279,$CP279,$DG279,$DX279,$EO279,$FF279,$FW279,$GN279)/D279</f>
        <v>#DIV/0!</v>
      </c>
      <c r="P279" s="150"/>
      <c r="Q279" s="132">
        <f t="shared" si="457"/>
        <v>0</v>
      </c>
      <c r="R279" s="134">
        <f t="shared" si="453"/>
        <v>0</v>
      </c>
      <c r="S279" s="136">
        <f t="shared" si="454"/>
        <v>0</v>
      </c>
      <c r="T279" s="138">
        <f t="shared" si="455"/>
        <v>0</v>
      </c>
      <c r="U279" s="144">
        <f t="shared" si="456"/>
        <v>0</v>
      </c>
      <c r="W279" s="11">
        <v>0</v>
      </c>
      <c r="X279" s="1">
        <v>0</v>
      </c>
      <c r="Y279" s="35">
        <f t="shared" si="462"/>
        <v>0</v>
      </c>
      <c r="Z279" s="35">
        <f t="shared" si="480"/>
        <v>0</v>
      </c>
      <c r="AA279" s="15">
        <f t="shared" si="493"/>
        <v>8.3964673662027634E-11</v>
      </c>
      <c r="AB279" s="43">
        <f t="shared" si="451"/>
        <v>2.1276750455215781E-11</v>
      </c>
      <c r="AC279" s="43">
        <f t="shared" si="452"/>
        <v>0.25340121657422726</v>
      </c>
      <c r="AD279" s="33"/>
      <c r="AH279" s="31"/>
      <c r="AP279" s="35">
        <f t="shared" si="463"/>
        <v>0</v>
      </c>
      <c r="AQ279" s="35">
        <f t="shared" si="481"/>
        <v>0</v>
      </c>
      <c r="AR279" s="15">
        <f t="shared" si="494"/>
        <v>2.5356500414889922E-8</v>
      </c>
      <c r="AS279" s="28">
        <f t="shared" si="495"/>
        <v>4.4360722519442075E-8</v>
      </c>
      <c r="AT279" s="28">
        <f t="shared" si="496"/>
        <v>1.7494812688501933</v>
      </c>
      <c r="AU279" s="33"/>
      <c r="AY279" s="31"/>
      <c r="BG279" s="35">
        <f t="shared" si="464"/>
        <v>0</v>
      </c>
      <c r="BH279" s="35">
        <f t="shared" si="482"/>
        <v>0</v>
      </c>
      <c r="BI279" s="15">
        <f t="shared" si="497"/>
        <v>3.4922014456760205E-8</v>
      </c>
      <c r="BJ279" s="28">
        <f t="shared" si="498"/>
        <v>6.8147088661603839E-8</v>
      </c>
      <c r="BK279" s="28">
        <f t="shared" si="499"/>
        <v>1.9514077215099463</v>
      </c>
      <c r="BL279" s="33"/>
      <c r="BP279" s="31"/>
      <c r="BX279" s="35">
        <f t="shared" si="465"/>
        <v>0</v>
      </c>
      <c r="BY279" s="35">
        <f t="shared" si="483"/>
        <v>0</v>
      </c>
      <c r="BZ279" s="15">
        <f t="shared" si="500"/>
        <v>2.6553547495297892E-8</v>
      </c>
      <c r="CA279" s="28">
        <f t="shared" si="501"/>
        <v>4.2350168766692619E-8</v>
      </c>
      <c r="CB279" s="28">
        <f t="shared" si="502"/>
        <v>1.5948968315511136</v>
      </c>
      <c r="CC279" s="33"/>
      <c r="CG279" s="31"/>
      <c r="CO279" s="35">
        <f t="shared" si="466"/>
        <v>0</v>
      </c>
      <c r="CP279" s="35">
        <f t="shared" si="484"/>
        <v>0</v>
      </c>
      <c r="CQ279" s="15">
        <f t="shared" si="503"/>
        <v>2.9092787677304422E-8</v>
      </c>
      <c r="CR279" s="28">
        <f t="shared" si="504"/>
        <v>5.4803482634135986E-8</v>
      </c>
      <c r="CS279" s="28">
        <f t="shared" si="505"/>
        <v>1.8837480698657398</v>
      </c>
      <c r="CT279" s="33"/>
      <c r="CX279" s="31"/>
      <c r="DF279" s="35">
        <f t="shared" si="467"/>
        <v>0</v>
      </c>
      <c r="DG279" s="35">
        <f t="shared" si="485"/>
        <v>0</v>
      </c>
      <c r="DH279" s="15">
        <f t="shared" si="506"/>
        <v>2.8296865117604832E-8</v>
      </c>
      <c r="DI279" s="28">
        <f t="shared" si="507"/>
        <v>3.329982169860469E-8</v>
      </c>
      <c r="DJ279" s="28">
        <f t="shared" si="508"/>
        <v>1.1768025030407796</v>
      </c>
      <c r="DK279" s="33"/>
      <c r="DO279" s="31"/>
      <c r="DW279" s="35">
        <f t="shared" si="468"/>
        <v>0</v>
      </c>
      <c r="DX279" s="35">
        <f t="shared" si="486"/>
        <v>0</v>
      </c>
      <c r="DY279" s="15">
        <f t="shared" si="509"/>
        <v>2.9297197683738532E-8</v>
      </c>
      <c r="DZ279" s="28">
        <f t="shared" si="510"/>
        <v>3.2510668413222462E-8</v>
      </c>
      <c r="EA279" s="28">
        <f t="shared" si="511"/>
        <v>1.1096852594631457</v>
      </c>
      <c r="EB279" s="33"/>
      <c r="EF279" s="31"/>
      <c r="EN279" s="35">
        <f t="shared" si="469"/>
        <v>0</v>
      </c>
      <c r="EO279" s="35">
        <f t="shared" si="487"/>
        <v>0</v>
      </c>
      <c r="EP279" s="15">
        <f t="shared" si="512"/>
        <v>3.128016604521657E-8</v>
      </c>
      <c r="EQ279" s="28">
        <f t="shared" si="513"/>
        <v>6.3881807089700383E-8</v>
      </c>
      <c r="ER279" s="28">
        <f t="shared" si="514"/>
        <v>2.0422464189402643</v>
      </c>
      <c r="ES279" s="33"/>
      <c r="EW279" s="31"/>
      <c r="FE279" s="35">
        <f t="shared" si="470"/>
        <v>0</v>
      </c>
      <c r="FF279" s="35">
        <f t="shared" si="488"/>
        <v>0</v>
      </c>
      <c r="FG279" s="15">
        <f t="shared" si="515"/>
        <v>3.0219930302004475E-8</v>
      </c>
      <c r="FH279" s="28">
        <f t="shared" si="516"/>
        <v>5.8477913836122466E-8</v>
      </c>
      <c r="FI279" s="28">
        <f t="shared" si="517"/>
        <v>1.9350777202898992</v>
      </c>
      <c r="FJ279" s="33"/>
      <c r="FN279" s="31"/>
      <c r="FV279" s="35">
        <f t="shared" si="471"/>
        <v>0</v>
      </c>
      <c r="FW279" s="35">
        <f t="shared" si="489"/>
        <v>0</v>
      </c>
      <c r="FX279" s="15">
        <f t="shared" si="518"/>
        <v>2.8448795767815395E-8</v>
      </c>
      <c r="FY279" s="28">
        <f t="shared" si="519"/>
        <v>5.8554958711724765E-8</v>
      </c>
      <c r="FZ279" s="28">
        <f t="shared" si="520"/>
        <v>2.0582579027112629</v>
      </c>
      <c r="GA279" s="33"/>
      <c r="GE279" s="31"/>
      <c r="GM279" s="35">
        <f t="shared" si="472"/>
        <v>0</v>
      </c>
      <c r="GN279" s="35">
        <f t="shared" si="490"/>
        <v>0</v>
      </c>
      <c r="GO279" s="15">
        <f t="shared" si="521"/>
        <v>2.9397191835487418E-8</v>
      </c>
      <c r="GP279" s="28">
        <f t="shared" si="522"/>
        <v>6.0347253722914002E-8</v>
      </c>
      <c r="GQ279" s="28">
        <f t="shared" si="523"/>
        <v>2.0528237547528123</v>
      </c>
      <c r="GR279" s="33"/>
      <c r="GV279" s="31"/>
      <c r="HD279" s="35">
        <f t="shared" si="473"/>
        <v>0</v>
      </c>
      <c r="HE279" s="35">
        <f t="shared" si="491"/>
        <v>0</v>
      </c>
      <c r="HF279" s="15">
        <f t="shared" si="524"/>
        <v>4.1411964635523138E-8</v>
      </c>
      <c r="HG279" s="28">
        <f t="shared" si="525"/>
        <v>4.377366133016165E-8</v>
      </c>
      <c r="HH279" s="28">
        <f t="shared" si="526"/>
        <v>1.0570293323541731</v>
      </c>
      <c r="HI279" s="33"/>
      <c r="HM279" s="31"/>
      <c r="HU279" s="35">
        <f t="shared" si="474"/>
        <v>0</v>
      </c>
      <c r="HV279" s="35">
        <f t="shared" si="492"/>
        <v>0</v>
      </c>
      <c r="HW279" s="15">
        <f t="shared" si="527"/>
        <v>9.5607201670364095E-17</v>
      </c>
      <c r="HX279" s="28">
        <f t="shared" si="528"/>
        <v>1.5383681048042977E-20</v>
      </c>
      <c r="HY279" s="28">
        <f t="shared" si="529"/>
        <v>1.6090504459154715E-4</v>
      </c>
      <c r="HZ279" s="33"/>
      <c r="ID279" s="31"/>
      <c r="II279" s="12"/>
      <c r="IL279" s="35">
        <f t="shared" si="475"/>
        <v>0</v>
      </c>
      <c r="IM279" s="35">
        <f t="shared" si="476"/>
        <v>7.9744844068168854</v>
      </c>
      <c r="IN279" s="15">
        <f t="shared" si="530"/>
        <v>9.4218005191099625E-9</v>
      </c>
      <c r="IO279" s="28">
        <f t="shared" si="531"/>
        <v>1.1378475981547429E-9</v>
      </c>
      <c r="IP279" s="28">
        <f t="shared" si="532"/>
        <v>0.12076753226168183</v>
      </c>
      <c r="IQ279" s="33"/>
      <c r="IU279" s="31"/>
      <c r="JC279" s="35">
        <f t="shared" si="458"/>
        <v>0</v>
      </c>
      <c r="JD279" s="35">
        <f t="shared" si="477"/>
        <v>9.4187406558209918</v>
      </c>
      <c r="JE279" s="15">
        <f t="shared" si="533"/>
        <v>1.1377586670746245E-8</v>
      </c>
      <c r="JF279" s="28">
        <f t="shared" si="534"/>
        <v>1.4522959243030412E-9</v>
      </c>
      <c r="JG279" s="28">
        <f t="shared" si="535"/>
        <v>0.12764534046900708</v>
      </c>
      <c r="JH279" s="33"/>
      <c r="JL279" s="31"/>
      <c r="JR279" s="99"/>
      <c r="JS279" s="99"/>
      <c r="JT279" s="99"/>
      <c r="JU279" s="99"/>
      <c r="JV279" s="99"/>
      <c r="JW279" s="99"/>
      <c r="JX279" s="99"/>
      <c r="JY279" s="99"/>
      <c r="JZ279" s="99"/>
      <c r="KA279" s="99"/>
      <c r="KB279" s="99"/>
      <c r="KC279" s="99"/>
      <c r="KD279" s="99"/>
      <c r="KE279" s="99"/>
      <c r="KF279" s="99"/>
      <c r="KG279" s="99"/>
      <c r="KH279" s="99"/>
      <c r="KI279" s="99"/>
      <c r="KJ279" s="99"/>
      <c r="KK279" s="99"/>
      <c r="KL279" s="99"/>
      <c r="KM279" s="99"/>
      <c r="KN279" s="99"/>
      <c r="KO279" s="99"/>
      <c r="KP279" s="99"/>
      <c r="KQ279" s="99"/>
      <c r="KR279" s="99"/>
      <c r="KS279" s="99"/>
      <c r="KT279" s="99"/>
      <c r="KU279" s="99"/>
      <c r="KV279" s="99"/>
      <c r="KW279" s="99"/>
      <c r="KX279" s="99"/>
      <c r="KY279" s="99"/>
      <c r="KZ279" s="99"/>
      <c r="LA279" s="99"/>
      <c r="LB279" s="99"/>
      <c r="LC279" s="99"/>
      <c r="LD279" s="99"/>
      <c r="LE279" s="99"/>
      <c r="LF279" s="99"/>
      <c r="LG279" s="99"/>
      <c r="LH279" s="99"/>
      <c r="LI279" s="99"/>
      <c r="LJ279" s="99"/>
      <c r="LK279" s="99"/>
      <c r="LL279" s="99"/>
      <c r="LM279" s="99"/>
      <c r="LN279" s="99"/>
      <c r="LO279" s="99"/>
      <c r="LP279" s="99"/>
      <c r="LQ279" s="99"/>
      <c r="LR279" s="99"/>
      <c r="LS279" s="99"/>
      <c r="LT279" s="99"/>
      <c r="LU279" s="99"/>
      <c r="LV279" s="99"/>
      <c r="LW279" s="99"/>
      <c r="LX279" s="99"/>
      <c r="LY279" s="99"/>
      <c r="LZ279" s="99"/>
      <c r="MA279" s="99"/>
      <c r="MB279" s="99"/>
      <c r="MC279" s="99"/>
      <c r="MD279" s="99"/>
      <c r="ME279" s="99"/>
      <c r="MF279" s="99"/>
    </row>
    <row r="280" spans="1:344" ht="17.25" customHeight="1" x14ac:dyDescent="0.25">
      <c r="A280" s="156"/>
      <c r="B280" s="81" t="s">
        <v>4</v>
      </c>
      <c r="C280" s="82">
        <v>45414</v>
      </c>
      <c r="D280" s="49"/>
      <c r="G280" s="89">
        <f t="shared" si="459"/>
        <v>0</v>
      </c>
      <c r="H280" s="35">
        <f t="shared" si="460"/>
        <v>0</v>
      </c>
      <c r="I280" s="39"/>
      <c r="L280" s="89">
        <f t="shared" si="461"/>
        <v>0</v>
      </c>
      <c r="M280" s="35">
        <f t="shared" si="478"/>
        <v>0</v>
      </c>
      <c r="N280" s="35">
        <f t="shared" si="479"/>
        <v>0</v>
      </c>
      <c r="O280" s="97" t="e">
        <f>SUM($Z280,$BH280,$AQ280,$BY280,$CP280,$DG280,$DX280,$EO280,$FF280,$FW280,$GN280)/D280</f>
        <v>#DIV/0!</v>
      </c>
      <c r="P280" s="150"/>
      <c r="Q280" s="132">
        <f t="shared" si="457"/>
        <v>0</v>
      </c>
      <c r="R280" s="134">
        <f t="shared" si="453"/>
        <v>0</v>
      </c>
      <c r="S280" s="136">
        <f t="shared" si="454"/>
        <v>0</v>
      </c>
      <c r="T280" s="138">
        <f t="shared" si="455"/>
        <v>0</v>
      </c>
      <c r="U280" s="144">
        <f t="shared" si="456"/>
        <v>0</v>
      </c>
      <c r="W280" s="11">
        <v>0</v>
      </c>
      <c r="X280" s="1">
        <v>0</v>
      </c>
      <c r="Y280" s="35">
        <f t="shared" si="462"/>
        <v>0</v>
      </c>
      <c r="Z280" s="35">
        <f t="shared" si="480"/>
        <v>0</v>
      </c>
      <c r="AA280" s="15">
        <f t="shared" si="493"/>
        <v>6.7638209338855603E-11</v>
      </c>
      <c r="AB280" s="43">
        <f t="shared" si="451"/>
        <v>1.5957562841411835E-11</v>
      </c>
      <c r="AC280" s="43">
        <f t="shared" si="452"/>
        <v>0.23592527060359089</v>
      </c>
      <c r="AD280" s="33"/>
      <c r="AH280" s="31"/>
      <c r="AP280" s="35">
        <f t="shared" si="463"/>
        <v>0</v>
      </c>
      <c r="AQ280" s="35">
        <f t="shared" si="481"/>
        <v>0</v>
      </c>
      <c r="AR280" s="15">
        <f t="shared" si="494"/>
        <v>2.0426069778661327E-8</v>
      </c>
      <c r="AS280" s="28">
        <f t="shared" si="495"/>
        <v>3.3270541889581553E-8</v>
      </c>
      <c r="AT280" s="28">
        <f t="shared" si="496"/>
        <v>1.628827388239835</v>
      </c>
      <c r="AU280" s="33"/>
      <c r="AY280" s="31"/>
      <c r="BG280" s="35">
        <f t="shared" si="464"/>
        <v>0</v>
      </c>
      <c r="BH280" s="35">
        <f t="shared" si="482"/>
        <v>0</v>
      </c>
      <c r="BI280" s="15">
        <f t="shared" si="497"/>
        <v>2.8131622756834611E-8</v>
      </c>
      <c r="BJ280" s="28">
        <f t="shared" si="498"/>
        <v>5.1110316496202879E-8</v>
      </c>
      <c r="BK280" s="28">
        <f t="shared" si="499"/>
        <v>1.8168278786471914</v>
      </c>
      <c r="BL280" s="33"/>
      <c r="BP280" s="31"/>
      <c r="BX280" s="35">
        <f t="shared" si="465"/>
        <v>0</v>
      </c>
      <c r="BY280" s="35">
        <f t="shared" si="483"/>
        <v>0</v>
      </c>
      <c r="BZ280" s="15">
        <f t="shared" si="500"/>
        <v>2.1390357704545524E-8</v>
      </c>
      <c r="CA280" s="28">
        <f t="shared" si="501"/>
        <v>3.1762626575019464E-8</v>
      </c>
      <c r="CB280" s="28">
        <f t="shared" si="502"/>
        <v>1.4849039466165541</v>
      </c>
      <c r="CC280" s="33"/>
      <c r="CG280" s="31"/>
      <c r="CO280" s="35">
        <f t="shared" si="466"/>
        <v>0</v>
      </c>
      <c r="CP280" s="35">
        <f t="shared" si="484"/>
        <v>0</v>
      </c>
      <c r="CQ280" s="15">
        <f t="shared" si="503"/>
        <v>2.3435856740050783E-8</v>
      </c>
      <c r="CR280" s="28">
        <f t="shared" si="504"/>
        <v>4.1102611975601986E-8</v>
      </c>
      <c r="CS280" s="28">
        <f t="shared" si="505"/>
        <v>1.7538344098749992</v>
      </c>
      <c r="CT280" s="33"/>
      <c r="CX280" s="31"/>
      <c r="DF280" s="35">
        <f t="shared" si="467"/>
        <v>0</v>
      </c>
      <c r="DG280" s="35">
        <f t="shared" si="485"/>
        <v>0</v>
      </c>
      <c r="DH280" s="15">
        <f t="shared" si="506"/>
        <v>2.279469690029278E-8</v>
      </c>
      <c r="DI280" s="28">
        <f t="shared" si="507"/>
        <v>2.4974866273953518E-8</v>
      </c>
      <c r="DJ280" s="28">
        <f t="shared" si="508"/>
        <v>1.0956437097276224</v>
      </c>
      <c r="DK280" s="33"/>
      <c r="DO280" s="31"/>
      <c r="DW280" s="35">
        <f t="shared" si="468"/>
        <v>0</v>
      </c>
      <c r="DX280" s="35">
        <f t="shared" si="486"/>
        <v>0</v>
      </c>
      <c r="DY280" s="15">
        <f t="shared" si="509"/>
        <v>2.3600520356344928E-8</v>
      </c>
      <c r="DZ280" s="28">
        <f t="shared" si="510"/>
        <v>2.4383001309916846E-8</v>
      </c>
      <c r="EA280" s="28">
        <f t="shared" si="511"/>
        <v>1.0331552415691356</v>
      </c>
      <c r="EB280" s="33"/>
      <c r="EF280" s="31"/>
      <c r="EN280" s="35">
        <f t="shared" si="469"/>
        <v>0</v>
      </c>
      <c r="EO280" s="35">
        <f t="shared" si="487"/>
        <v>0</v>
      </c>
      <c r="EP280" s="15">
        <f t="shared" si="512"/>
        <v>2.5197911536424457E-8</v>
      </c>
      <c r="EQ280" s="28">
        <f t="shared" si="513"/>
        <v>4.791135531727529E-8</v>
      </c>
      <c r="ER280" s="28">
        <f t="shared" si="514"/>
        <v>1.9014018383236944</v>
      </c>
      <c r="ES280" s="33"/>
      <c r="EW280" s="31"/>
      <c r="FE280" s="35">
        <f t="shared" si="470"/>
        <v>0</v>
      </c>
      <c r="FF280" s="35">
        <f t="shared" si="488"/>
        <v>0</v>
      </c>
      <c r="FG280" s="15">
        <f t="shared" si="515"/>
        <v>2.4343832743281386E-8</v>
      </c>
      <c r="FH280" s="28">
        <f t="shared" si="516"/>
        <v>4.3858435377091853E-8</v>
      </c>
      <c r="FI280" s="28">
        <f t="shared" si="517"/>
        <v>1.8016240844078371</v>
      </c>
      <c r="FJ280" s="33"/>
      <c r="FN280" s="31"/>
      <c r="FV280" s="35">
        <f t="shared" si="471"/>
        <v>0</v>
      </c>
      <c r="FW280" s="35">
        <f t="shared" si="489"/>
        <v>0</v>
      </c>
      <c r="FX280" s="15">
        <f t="shared" si="518"/>
        <v>2.2917085479629068E-8</v>
      </c>
      <c r="FY280" s="28">
        <f t="shared" si="519"/>
        <v>4.3916219033793572E-8</v>
      </c>
      <c r="FZ280" s="28">
        <f t="shared" si="520"/>
        <v>1.916309081834624</v>
      </c>
      <c r="GA280" s="33"/>
      <c r="GE280" s="31"/>
      <c r="GM280" s="35">
        <f t="shared" si="472"/>
        <v>0</v>
      </c>
      <c r="GN280" s="35">
        <f t="shared" si="490"/>
        <v>0</v>
      </c>
      <c r="GO280" s="15">
        <f t="shared" si="521"/>
        <v>2.3681071200809312E-8</v>
      </c>
      <c r="GP280" s="28">
        <f t="shared" si="522"/>
        <v>4.5260440292185502E-8</v>
      </c>
      <c r="GQ280" s="28">
        <f t="shared" si="523"/>
        <v>1.9112497027008941</v>
      </c>
      <c r="GR280" s="33"/>
      <c r="GV280" s="31"/>
      <c r="HD280" s="35">
        <f t="shared" si="473"/>
        <v>0</v>
      </c>
      <c r="HE280" s="35">
        <f t="shared" si="491"/>
        <v>0</v>
      </c>
      <c r="HF280" s="15">
        <f t="shared" si="524"/>
        <v>3.3359638178615862E-8</v>
      </c>
      <c r="HG280" s="28">
        <f t="shared" si="525"/>
        <v>3.2830245997621236E-8</v>
      </c>
      <c r="HH280" s="28">
        <f t="shared" si="526"/>
        <v>0.98413075770905767</v>
      </c>
      <c r="HI280" s="33"/>
      <c r="HM280" s="31"/>
      <c r="HU280" s="35">
        <f t="shared" si="474"/>
        <v>0</v>
      </c>
      <c r="HV280" s="35">
        <f t="shared" si="492"/>
        <v>0</v>
      </c>
      <c r="HW280" s="15">
        <f t="shared" si="527"/>
        <v>7.7016912456682199E-17</v>
      </c>
      <c r="HX280" s="28">
        <f t="shared" si="528"/>
        <v>1.1537760786032233E-20</v>
      </c>
      <c r="HY280" s="28">
        <f t="shared" si="529"/>
        <v>1.4980814496454389E-4</v>
      </c>
      <c r="HZ280" s="33"/>
      <c r="ID280" s="31"/>
      <c r="II280" s="12"/>
      <c r="IL280" s="35">
        <f t="shared" si="475"/>
        <v>0</v>
      </c>
      <c r="IM280" s="35">
        <f t="shared" si="476"/>
        <v>7.4245199243043496</v>
      </c>
      <c r="IN280" s="15">
        <f t="shared" si="530"/>
        <v>7.5897837515052472E-9</v>
      </c>
      <c r="IO280" s="28">
        <f t="shared" si="531"/>
        <v>8.5338569861605711E-10</v>
      </c>
      <c r="IP280" s="28">
        <f t="shared" si="532"/>
        <v>0.11243873693328997</v>
      </c>
      <c r="IQ280" s="33"/>
      <c r="IU280" s="31"/>
      <c r="JC280" s="35">
        <f t="shared" si="458"/>
        <v>0</v>
      </c>
      <c r="JD280" s="35">
        <f t="shared" si="477"/>
        <v>8.7691722840930133</v>
      </c>
      <c r="JE280" s="15">
        <f t="shared" si="533"/>
        <v>9.1652781514344733E-9</v>
      </c>
      <c r="JF280" s="28">
        <f t="shared" si="534"/>
        <v>1.0892219432272808E-9</v>
      </c>
      <c r="JG280" s="28">
        <f t="shared" si="535"/>
        <v>0.11884221354011004</v>
      </c>
      <c r="JH280" s="33"/>
      <c r="JL280" s="31"/>
      <c r="JR280" s="99"/>
      <c r="JS280" s="99"/>
      <c r="JT280" s="99"/>
      <c r="JU280" s="99"/>
      <c r="JV280" s="99"/>
      <c r="JW280" s="99"/>
      <c r="JX280" s="99"/>
      <c r="JY280" s="99"/>
      <c r="JZ280" s="99"/>
      <c r="KA280" s="99"/>
      <c r="KB280" s="99"/>
      <c r="KC280" s="99"/>
      <c r="KD280" s="99"/>
      <c r="KE280" s="99"/>
      <c r="KF280" s="99"/>
      <c r="KG280" s="99"/>
      <c r="KH280" s="99"/>
      <c r="KI280" s="99"/>
      <c r="KJ280" s="99"/>
      <c r="KK280" s="99"/>
      <c r="KL280" s="99"/>
      <c r="KM280" s="99"/>
      <c r="KN280" s="99"/>
      <c r="KO280" s="99"/>
      <c r="KP280" s="99"/>
      <c r="KQ280" s="99"/>
      <c r="KR280" s="99"/>
      <c r="KS280" s="99"/>
      <c r="KT280" s="99"/>
      <c r="KU280" s="99"/>
      <c r="KV280" s="99"/>
      <c r="KW280" s="99"/>
      <c r="KX280" s="99"/>
      <c r="KY280" s="99"/>
      <c r="KZ280" s="99"/>
      <c r="LA280" s="99"/>
      <c r="LB280" s="99"/>
      <c r="LC280" s="99"/>
      <c r="LD280" s="99"/>
      <c r="LE280" s="99"/>
      <c r="LF280" s="99"/>
      <c r="LG280" s="99"/>
      <c r="LH280" s="99"/>
      <c r="LI280" s="99"/>
      <c r="LJ280" s="99"/>
      <c r="LK280" s="99"/>
      <c r="LL280" s="99"/>
      <c r="LM280" s="99"/>
      <c r="LN280" s="99"/>
      <c r="LO280" s="99"/>
      <c r="LP280" s="99"/>
      <c r="LQ280" s="99"/>
      <c r="LR280" s="99"/>
      <c r="LS280" s="99"/>
      <c r="LT280" s="99"/>
      <c r="LU280" s="99"/>
      <c r="LV280" s="99"/>
      <c r="LW280" s="99"/>
      <c r="LX280" s="99"/>
      <c r="LY280" s="99"/>
      <c r="LZ280" s="99"/>
      <c r="MA280" s="99"/>
      <c r="MB280" s="99"/>
      <c r="MC280" s="99"/>
      <c r="MD280" s="99"/>
      <c r="ME280" s="99"/>
      <c r="MF280" s="99"/>
    </row>
    <row r="281" spans="1:344" ht="17.25" customHeight="1" x14ac:dyDescent="0.25">
      <c r="A281" s="156"/>
      <c r="B281" s="81" t="s">
        <v>5</v>
      </c>
      <c r="C281" s="82">
        <v>45415</v>
      </c>
      <c r="D281" s="49"/>
      <c r="G281" s="89">
        <f t="shared" si="459"/>
        <v>0</v>
      </c>
      <c r="H281" s="35">
        <f t="shared" si="460"/>
        <v>0</v>
      </c>
      <c r="I281" s="39"/>
      <c r="L281" s="89">
        <f t="shared" si="461"/>
        <v>0</v>
      </c>
      <c r="M281" s="35">
        <f t="shared" si="478"/>
        <v>0</v>
      </c>
      <c r="N281" s="35">
        <f t="shared" si="479"/>
        <v>0</v>
      </c>
      <c r="O281" s="97" t="e">
        <f>SUM($Z281,$BH281,$AQ281,$BY281,$CP281,$DG281,$DX281,$EO281,$FF281,$FW281,$GN281)/D281</f>
        <v>#DIV/0!</v>
      </c>
      <c r="P281" s="150"/>
      <c r="Q281" s="132">
        <f t="shared" si="457"/>
        <v>0</v>
      </c>
      <c r="R281" s="134">
        <f t="shared" si="453"/>
        <v>0</v>
      </c>
      <c r="S281" s="136">
        <f t="shared" si="454"/>
        <v>0</v>
      </c>
      <c r="T281" s="138">
        <f t="shared" si="455"/>
        <v>0</v>
      </c>
      <c r="U281" s="144">
        <f t="shared" si="456"/>
        <v>0</v>
      </c>
      <c r="W281" s="11">
        <v>0</v>
      </c>
      <c r="X281" s="1">
        <v>0</v>
      </c>
      <c r="Y281" s="35">
        <f t="shared" si="462"/>
        <v>0</v>
      </c>
      <c r="Z281" s="35">
        <f t="shared" si="480"/>
        <v>0</v>
      </c>
      <c r="AA281" s="15">
        <f t="shared" si="493"/>
        <v>5.448633530074479E-11</v>
      </c>
      <c r="AB281" s="43">
        <f t="shared" si="451"/>
        <v>1.1968172131058877E-11</v>
      </c>
      <c r="AC281" s="43">
        <f t="shared" si="452"/>
        <v>0.21965456228610186</v>
      </c>
      <c r="AD281" s="33"/>
      <c r="AH281" s="31"/>
      <c r="AP281" s="35">
        <f t="shared" si="463"/>
        <v>0</v>
      </c>
      <c r="AQ281" s="35">
        <f t="shared" si="481"/>
        <v>0</v>
      </c>
      <c r="AR281" s="15">
        <f t="shared" si="494"/>
        <v>1.6454333988366069E-8</v>
      </c>
      <c r="AS281" s="28">
        <f t="shared" si="495"/>
        <v>2.4952906417186165E-8</v>
      </c>
      <c r="AT281" s="28">
        <f t="shared" si="496"/>
        <v>1.5164944649129497</v>
      </c>
      <c r="AU281" s="33"/>
      <c r="AY281" s="31"/>
      <c r="BG281" s="35">
        <f t="shared" si="464"/>
        <v>0</v>
      </c>
      <c r="BH281" s="35">
        <f t="shared" si="482"/>
        <v>0</v>
      </c>
      <c r="BI281" s="15">
        <f t="shared" si="497"/>
        <v>2.2661584998561217E-8</v>
      </c>
      <c r="BJ281" s="28">
        <f t="shared" si="498"/>
        <v>3.833273737215216E-8</v>
      </c>
      <c r="BK281" s="28">
        <f t="shared" si="499"/>
        <v>1.6915294042577298</v>
      </c>
      <c r="BL281" s="33"/>
      <c r="BP281" s="31"/>
      <c r="BX281" s="35">
        <f t="shared" si="465"/>
        <v>0</v>
      </c>
      <c r="BY281" s="35">
        <f t="shared" si="483"/>
        <v>0</v>
      </c>
      <c r="BZ281" s="15">
        <f t="shared" si="500"/>
        <v>1.7231121484217226E-8</v>
      </c>
      <c r="CA281" s="28">
        <f t="shared" si="501"/>
        <v>2.3821969931264597E-8</v>
      </c>
      <c r="CB281" s="28">
        <f t="shared" si="502"/>
        <v>1.382496777884378</v>
      </c>
      <c r="CC281" s="33"/>
      <c r="CG281" s="31"/>
      <c r="CO281" s="35">
        <f t="shared" si="466"/>
        <v>0</v>
      </c>
      <c r="CP281" s="35">
        <f t="shared" si="484"/>
        <v>0</v>
      </c>
      <c r="CQ281" s="15">
        <f t="shared" si="503"/>
        <v>1.8878884596152021E-8</v>
      </c>
      <c r="CR281" s="28">
        <f t="shared" si="504"/>
        <v>3.0826958981701493E-8</v>
      </c>
      <c r="CS281" s="28">
        <f t="shared" si="505"/>
        <v>1.6328803126422406</v>
      </c>
      <c r="CT281" s="33"/>
      <c r="CX281" s="31"/>
      <c r="DF281" s="35">
        <f t="shared" si="467"/>
        <v>0</v>
      </c>
      <c r="DG281" s="35">
        <f t="shared" si="485"/>
        <v>0</v>
      </c>
      <c r="DH281" s="15">
        <f t="shared" si="506"/>
        <v>1.8362394725235852E-8</v>
      </c>
      <c r="DI281" s="28">
        <f t="shared" si="507"/>
        <v>1.8731149705465136E-8</v>
      </c>
      <c r="DJ281" s="28">
        <f t="shared" si="508"/>
        <v>1.0200820745739931</v>
      </c>
      <c r="DK281" s="33"/>
      <c r="DO281" s="31"/>
      <c r="DW281" s="35">
        <f t="shared" si="468"/>
        <v>0</v>
      </c>
      <c r="DX281" s="35">
        <f t="shared" si="486"/>
        <v>0</v>
      </c>
      <c r="DY281" s="15">
        <f t="shared" si="509"/>
        <v>1.9011530287055635E-8</v>
      </c>
      <c r="DZ281" s="28">
        <f t="shared" si="510"/>
        <v>1.8287250982437633E-8</v>
      </c>
      <c r="EA281" s="28">
        <f t="shared" si="511"/>
        <v>0.96190315594367792</v>
      </c>
      <c r="EB281" s="33"/>
      <c r="EF281" s="31"/>
      <c r="EN281" s="35">
        <f t="shared" si="469"/>
        <v>0</v>
      </c>
      <c r="EO281" s="35">
        <f t="shared" si="487"/>
        <v>0</v>
      </c>
      <c r="EP281" s="15">
        <f t="shared" si="512"/>
        <v>2.0298317626564147E-8</v>
      </c>
      <c r="EQ281" s="28">
        <f t="shared" si="513"/>
        <v>3.5933516487956464E-8</v>
      </c>
      <c r="ER281" s="28">
        <f t="shared" si="514"/>
        <v>1.7702706770599912</v>
      </c>
      <c r="ES281" s="33"/>
      <c r="EW281" s="31"/>
      <c r="FE281" s="35">
        <f t="shared" si="470"/>
        <v>0</v>
      </c>
      <c r="FF281" s="35">
        <f t="shared" si="488"/>
        <v>0</v>
      </c>
      <c r="FG281" s="15">
        <f t="shared" si="515"/>
        <v>1.9610309709865561E-8</v>
      </c>
      <c r="FH281" s="28">
        <f t="shared" si="516"/>
        <v>3.289382653281889E-8</v>
      </c>
      <c r="FI281" s="28">
        <f t="shared" si="517"/>
        <v>1.6773741475521242</v>
      </c>
      <c r="FJ281" s="33"/>
      <c r="FN281" s="31"/>
      <c r="FV281" s="35">
        <f t="shared" si="471"/>
        <v>0</v>
      </c>
      <c r="FW281" s="35">
        <f t="shared" si="489"/>
        <v>0</v>
      </c>
      <c r="FX281" s="15">
        <f t="shared" si="518"/>
        <v>1.8460985525256748E-8</v>
      </c>
      <c r="FY281" s="28">
        <f t="shared" si="519"/>
        <v>3.2937164275345177E-8</v>
      </c>
      <c r="FZ281" s="28">
        <f t="shared" si="520"/>
        <v>1.7841498348115465</v>
      </c>
      <c r="GA281" s="33"/>
      <c r="GE281" s="31"/>
      <c r="GM281" s="35">
        <f t="shared" si="472"/>
        <v>0</v>
      </c>
      <c r="GN281" s="35">
        <f t="shared" si="490"/>
        <v>0</v>
      </c>
      <c r="GO281" s="15">
        <f t="shared" si="521"/>
        <v>1.9076418467318614E-8</v>
      </c>
      <c r="GP281" s="28">
        <f t="shared" si="522"/>
        <v>3.3945330219139126E-8</v>
      </c>
      <c r="GQ281" s="28">
        <f t="shared" si="523"/>
        <v>1.7794393783766944</v>
      </c>
      <c r="GR281" s="33"/>
      <c r="GV281" s="31"/>
      <c r="HD281" s="35">
        <f t="shared" si="473"/>
        <v>0</v>
      </c>
      <c r="HE281" s="35">
        <f t="shared" si="491"/>
        <v>0</v>
      </c>
      <c r="HF281" s="15">
        <f t="shared" si="524"/>
        <v>2.6873041866107221E-8</v>
      </c>
      <c r="HG281" s="28">
        <f t="shared" si="525"/>
        <v>2.4622684498215925E-8</v>
      </c>
      <c r="HH281" s="28">
        <f t="shared" si="526"/>
        <v>0.91625967097050198</v>
      </c>
      <c r="HI281" s="33"/>
      <c r="HM281" s="31"/>
      <c r="HU281" s="35">
        <f t="shared" si="474"/>
        <v>0</v>
      </c>
      <c r="HV281" s="35">
        <f t="shared" si="492"/>
        <v>0</v>
      </c>
      <c r="HW281" s="15">
        <f t="shared" si="527"/>
        <v>6.2041401701216198E-17</v>
      </c>
      <c r="HX281" s="28">
        <f t="shared" si="528"/>
        <v>8.6533205895241736E-21</v>
      </c>
      <c r="HY281" s="28">
        <f t="shared" si="529"/>
        <v>1.394765487600926E-4</v>
      </c>
      <c r="HZ281" s="33"/>
      <c r="ID281" s="31"/>
      <c r="II281" s="12"/>
      <c r="IL281" s="35">
        <f t="shared" si="475"/>
        <v>0</v>
      </c>
      <c r="IM281" s="35">
        <f t="shared" si="476"/>
        <v>6.9124840364031339</v>
      </c>
      <c r="IN281" s="15">
        <f t="shared" si="530"/>
        <v>6.1139924664903371E-9</v>
      </c>
      <c r="IO281" s="28">
        <f t="shared" si="531"/>
        <v>6.4003927396204278E-10</v>
      </c>
      <c r="IP281" s="28">
        <f t="shared" si="532"/>
        <v>0.10468434128271825</v>
      </c>
      <c r="IQ281" s="33"/>
      <c r="IU281" s="31"/>
      <c r="JC281" s="35">
        <f t="shared" si="458"/>
        <v>0</v>
      </c>
      <c r="JD281" s="35">
        <f t="shared" si="477"/>
        <v>8.1644017431556932</v>
      </c>
      <c r="JE281" s="15">
        <f t="shared" si="533"/>
        <v>7.3831407330999937E-9</v>
      </c>
      <c r="JF281" s="28">
        <f t="shared" si="534"/>
        <v>8.1691645742046058E-10</v>
      </c>
      <c r="JG281" s="28">
        <f t="shared" si="535"/>
        <v>0.11064619881320589</v>
      </c>
      <c r="JH281" s="33"/>
      <c r="JL281" s="31"/>
      <c r="JR281" s="99"/>
      <c r="JS281" s="99"/>
      <c r="JT281" s="99"/>
      <c r="JU281" s="99"/>
      <c r="JV281" s="99"/>
      <c r="JW281" s="99"/>
      <c r="JX281" s="99"/>
      <c r="JY281" s="99"/>
      <c r="JZ281" s="99"/>
      <c r="KA281" s="99"/>
      <c r="KB281" s="99"/>
      <c r="KC281" s="99"/>
      <c r="KD281" s="99"/>
      <c r="KE281" s="99"/>
      <c r="KF281" s="99"/>
      <c r="KG281" s="99"/>
      <c r="KH281" s="99"/>
      <c r="KI281" s="99"/>
      <c r="KJ281" s="99"/>
      <c r="KK281" s="99"/>
      <c r="KL281" s="99"/>
      <c r="KM281" s="99"/>
      <c r="KN281" s="99"/>
      <c r="KO281" s="99"/>
      <c r="KP281" s="99"/>
      <c r="KQ281" s="99"/>
      <c r="KR281" s="99"/>
      <c r="KS281" s="99"/>
      <c r="KT281" s="99"/>
      <c r="KU281" s="99"/>
      <c r="KV281" s="99"/>
      <c r="KW281" s="99"/>
      <c r="KX281" s="99"/>
      <c r="KY281" s="99"/>
      <c r="KZ281" s="99"/>
      <c r="LA281" s="99"/>
      <c r="LB281" s="99"/>
      <c r="LC281" s="99"/>
      <c r="LD281" s="99"/>
      <c r="LE281" s="99"/>
      <c r="LF281" s="99"/>
      <c r="LG281" s="99"/>
      <c r="LH281" s="99"/>
      <c r="LI281" s="99"/>
      <c r="LJ281" s="99"/>
      <c r="LK281" s="99"/>
      <c r="LL281" s="99"/>
      <c r="LM281" s="99"/>
      <c r="LN281" s="99"/>
      <c r="LO281" s="99"/>
      <c r="LP281" s="99"/>
      <c r="LQ281" s="99"/>
      <c r="LR281" s="99"/>
      <c r="LS281" s="99"/>
      <c r="LT281" s="99"/>
      <c r="LU281" s="99"/>
      <c r="LV281" s="99"/>
      <c r="LW281" s="99"/>
      <c r="LX281" s="99"/>
      <c r="LY281" s="99"/>
      <c r="LZ281" s="99"/>
      <c r="MA281" s="99"/>
      <c r="MB281" s="99"/>
      <c r="MC281" s="99"/>
      <c r="MD281" s="99"/>
      <c r="ME281" s="99"/>
      <c r="MF281" s="99"/>
    </row>
    <row r="282" spans="1:344" ht="17.25" customHeight="1" x14ac:dyDescent="0.25">
      <c r="A282" s="156"/>
      <c r="B282" s="81" t="s">
        <v>6</v>
      </c>
      <c r="C282" s="82">
        <v>45416</v>
      </c>
      <c r="D282" s="49"/>
      <c r="G282" s="89">
        <f t="shared" si="459"/>
        <v>0</v>
      </c>
      <c r="H282" s="35">
        <f t="shared" si="460"/>
        <v>0</v>
      </c>
      <c r="I282" s="39"/>
      <c r="L282" s="89">
        <f t="shared" si="461"/>
        <v>0</v>
      </c>
      <c r="M282" s="35">
        <f t="shared" si="478"/>
        <v>0</v>
      </c>
      <c r="N282" s="35">
        <f t="shared" si="479"/>
        <v>0</v>
      </c>
      <c r="O282" s="97" t="e">
        <f>SUM($Z282,$BH282,$AQ282,$BY282,$CP282,$DG282,$DX282,$EO282,$FF282,$FW282,$GN282)/D282</f>
        <v>#DIV/0!</v>
      </c>
      <c r="P282" s="150"/>
      <c r="Q282" s="132">
        <f t="shared" si="457"/>
        <v>0</v>
      </c>
      <c r="R282" s="134">
        <f t="shared" si="453"/>
        <v>0</v>
      </c>
      <c r="S282" s="136">
        <f t="shared" si="454"/>
        <v>0</v>
      </c>
      <c r="T282" s="138">
        <f t="shared" si="455"/>
        <v>0</v>
      </c>
      <c r="U282" s="144">
        <f t="shared" si="456"/>
        <v>0</v>
      </c>
      <c r="W282" s="11">
        <v>0</v>
      </c>
      <c r="X282" s="1">
        <v>0</v>
      </c>
      <c r="Y282" s="35">
        <f t="shared" si="462"/>
        <v>0</v>
      </c>
      <c r="Z282" s="35">
        <f t="shared" si="480"/>
        <v>0</v>
      </c>
      <c r="AA282" s="15">
        <f t="shared" si="493"/>
        <v>4.3891770103377754E-11</v>
      </c>
      <c r="AB282" s="43">
        <f t="shared" ref="AB282:AB318" si="537">Y282*(2/(7+1))+((1-(2/(7+1)))*AB281)</f>
        <v>8.9761290982941588E-12</v>
      </c>
      <c r="AC282" s="43">
        <f t="shared" ref="AC282:AC318" si="538">Y282*(2/(28+1))+((1-(2/(28+1)))*AC281)</f>
        <v>0.20450597178361207</v>
      </c>
      <c r="AD282" s="33"/>
      <c r="AH282" s="31"/>
      <c r="AP282" s="35">
        <f t="shared" si="463"/>
        <v>0</v>
      </c>
      <c r="AQ282" s="35">
        <f t="shared" si="481"/>
        <v>0</v>
      </c>
      <c r="AR282" s="15">
        <f t="shared" si="494"/>
        <v>1.3254880157294892E-8</v>
      </c>
      <c r="AS282" s="28">
        <f t="shared" si="495"/>
        <v>1.8714679812889624E-8</v>
      </c>
      <c r="AT282" s="28">
        <f t="shared" si="496"/>
        <v>1.4119086397465392</v>
      </c>
      <c r="AU282" s="33"/>
      <c r="AY282" s="31"/>
      <c r="BG282" s="35">
        <f t="shared" si="464"/>
        <v>0</v>
      </c>
      <c r="BH282" s="35">
        <f t="shared" si="482"/>
        <v>0</v>
      </c>
      <c r="BI282" s="15">
        <f t="shared" si="497"/>
        <v>1.8255165693285423E-8</v>
      </c>
      <c r="BJ282" s="28">
        <f t="shared" si="498"/>
        <v>2.874955302911412E-8</v>
      </c>
      <c r="BK282" s="28">
        <f t="shared" si="499"/>
        <v>1.5748722039640932</v>
      </c>
      <c r="BL282" s="33"/>
      <c r="BP282" s="31"/>
      <c r="BX282" s="35">
        <f t="shared" si="465"/>
        <v>0</v>
      </c>
      <c r="BY282" s="35">
        <f t="shared" si="483"/>
        <v>0</v>
      </c>
      <c r="BZ282" s="15">
        <f t="shared" si="500"/>
        <v>1.3880625640063878E-8</v>
      </c>
      <c r="CA282" s="28">
        <f t="shared" si="501"/>
        <v>1.7866477448448448E-8</v>
      </c>
      <c r="CB282" s="28">
        <f t="shared" si="502"/>
        <v>1.2871521725130415</v>
      </c>
      <c r="CC282" s="33"/>
      <c r="CG282" s="31"/>
      <c r="CO282" s="35">
        <f t="shared" si="466"/>
        <v>0</v>
      </c>
      <c r="CP282" s="35">
        <f t="shared" si="484"/>
        <v>0</v>
      </c>
      <c r="CQ282" s="15">
        <f t="shared" si="503"/>
        <v>1.5207990369122463E-8</v>
      </c>
      <c r="CR282" s="28">
        <f t="shared" si="504"/>
        <v>2.312021923627612E-8</v>
      </c>
      <c r="CS282" s="28">
        <f t="shared" si="505"/>
        <v>1.5202678772876033</v>
      </c>
      <c r="CT282" s="33"/>
      <c r="CX282" s="31"/>
      <c r="DF282" s="35">
        <f t="shared" si="467"/>
        <v>0</v>
      </c>
      <c r="DG282" s="35">
        <f t="shared" si="485"/>
        <v>0</v>
      </c>
      <c r="DH282" s="15">
        <f t="shared" si="506"/>
        <v>1.4791929084217771E-8</v>
      </c>
      <c r="DI282" s="28">
        <f t="shared" si="507"/>
        <v>1.4048362279098852E-8</v>
      </c>
      <c r="DJ282" s="28">
        <f t="shared" si="508"/>
        <v>0.94973158667233837</v>
      </c>
      <c r="DK282" s="33"/>
      <c r="DO282" s="31"/>
      <c r="DW282" s="35">
        <f t="shared" si="468"/>
        <v>0</v>
      </c>
      <c r="DX282" s="35">
        <f t="shared" si="486"/>
        <v>0</v>
      </c>
      <c r="DY282" s="15">
        <f t="shared" si="509"/>
        <v>1.5314843842350375E-8</v>
      </c>
      <c r="DZ282" s="28">
        <f t="shared" si="510"/>
        <v>1.3715438236828225E-8</v>
      </c>
      <c r="EA282" s="28">
        <f t="shared" si="511"/>
        <v>0.895565007257907</v>
      </c>
      <c r="EB282" s="33"/>
      <c r="EF282" s="31"/>
      <c r="EN282" s="35">
        <f t="shared" si="469"/>
        <v>0</v>
      </c>
      <c r="EO282" s="35">
        <f t="shared" si="487"/>
        <v>0</v>
      </c>
      <c r="EP282" s="15">
        <f t="shared" si="512"/>
        <v>1.6351422532510007E-8</v>
      </c>
      <c r="EQ282" s="28">
        <f t="shared" si="513"/>
        <v>2.6950137365967348E-8</v>
      </c>
      <c r="ER282" s="28">
        <f t="shared" si="514"/>
        <v>1.6481830441593022</v>
      </c>
      <c r="ES282" s="33"/>
      <c r="EW282" s="31"/>
      <c r="FE282" s="35">
        <f t="shared" si="470"/>
        <v>0</v>
      </c>
      <c r="FF282" s="35">
        <f t="shared" si="488"/>
        <v>0</v>
      </c>
      <c r="FG282" s="15">
        <f t="shared" si="515"/>
        <v>1.5797193932947259E-8</v>
      </c>
      <c r="FH282" s="28">
        <f t="shared" si="516"/>
        <v>2.4670369899614169E-8</v>
      </c>
      <c r="FI282" s="28">
        <f t="shared" si="517"/>
        <v>1.5616931718588742</v>
      </c>
      <c r="FJ282" s="33"/>
      <c r="FN282" s="31"/>
      <c r="FV282" s="35">
        <f t="shared" si="471"/>
        <v>0</v>
      </c>
      <c r="FW282" s="35">
        <f t="shared" si="489"/>
        <v>0</v>
      </c>
      <c r="FX282" s="15">
        <f t="shared" si="518"/>
        <v>1.4871349450901269E-8</v>
      </c>
      <c r="FY282" s="28">
        <f t="shared" si="519"/>
        <v>2.4702873206508885E-8</v>
      </c>
      <c r="FZ282" s="28">
        <f t="shared" si="520"/>
        <v>1.6611050186176468</v>
      </c>
      <c r="GA282" s="33"/>
      <c r="GE282" s="31"/>
      <c r="GM282" s="35">
        <f t="shared" si="472"/>
        <v>0</v>
      </c>
      <c r="GN282" s="35">
        <f t="shared" si="490"/>
        <v>0</v>
      </c>
      <c r="GO282" s="15">
        <f t="shared" si="521"/>
        <v>1.5367114876451104E-8</v>
      </c>
      <c r="GP282" s="28">
        <f t="shared" si="522"/>
        <v>2.5458997664354343E-8</v>
      </c>
      <c r="GQ282" s="28">
        <f t="shared" si="523"/>
        <v>1.6567194212472671</v>
      </c>
      <c r="GR282" s="33"/>
      <c r="GV282" s="31"/>
      <c r="HD282" s="35">
        <f t="shared" si="473"/>
        <v>0</v>
      </c>
      <c r="HE282" s="35">
        <f t="shared" si="491"/>
        <v>0</v>
      </c>
      <c r="HF282" s="15">
        <f t="shared" si="524"/>
        <v>2.1647728169919705E-8</v>
      </c>
      <c r="HG282" s="28">
        <f t="shared" si="525"/>
        <v>1.8467013373661944E-8</v>
      </c>
      <c r="HH282" s="28">
        <f t="shared" si="526"/>
        <v>0.85306934883460528</v>
      </c>
      <c r="HI282" s="33"/>
      <c r="HM282" s="31"/>
      <c r="HU282" s="35">
        <f t="shared" si="474"/>
        <v>0</v>
      </c>
      <c r="HV282" s="35">
        <f t="shared" si="492"/>
        <v>0</v>
      </c>
      <c r="HW282" s="15">
        <f t="shared" si="527"/>
        <v>4.9977795814868605E-17</v>
      </c>
      <c r="HX282" s="28">
        <f t="shared" si="528"/>
        <v>6.4899904421431302E-21</v>
      </c>
      <c r="HY282" s="28">
        <f t="shared" si="529"/>
        <v>1.2985747643181036E-4</v>
      </c>
      <c r="HZ282" s="33"/>
      <c r="ID282" s="31"/>
      <c r="II282" s="12"/>
      <c r="IL282" s="35">
        <f t="shared" si="475"/>
        <v>0</v>
      </c>
      <c r="IM282" s="35">
        <f t="shared" si="476"/>
        <v>6.4357609756729941</v>
      </c>
      <c r="IN282" s="15">
        <f t="shared" si="530"/>
        <v>4.9251605980061045E-9</v>
      </c>
      <c r="IO282" s="28">
        <f t="shared" si="531"/>
        <v>4.8002945547153203E-10</v>
      </c>
      <c r="IP282" s="28">
        <f t="shared" si="532"/>
        <v>9.7464731539082514E-2</v>
      </c>
      <c r="IQ282" s="33"/>
      <c r="IU282" s="31"/>
      <c r="JC282" s="35">
        <f t="shared" si="458"/>
        <v>0</v>
      </c>
      <c r="JD282" s="35">
        <f t="shared" si="477"/>
        <v>7.6013395245428645</v>
      </c>
      <c r="JE282" s="15">
        <f t="shared" si="533"/>
        <v>5.9475300349972181E-9</v>
      </c>
      <c r="JF282" s="28">
        <f t="shared" si="534"/>
        <v>6.1268734306534546E-10</v>
      </c>
      <c r="JG282" s="28">
        <f t="shared" si="535"/>
        <v>0.10301542648126065</v>
      </c>
      <c r="JH282" s="33"/>
      <c r="JL282" s="31"/>
      <c r="JR282" s="99"/>
      <c r="JS282" s="99"/>
      <c r="JT282" s="99"/>
      <c r="JU282" s="99"/>
      <c r="JV282" s="99"/>
      <c r="JW282" s="99"/>
      <c r="JX282" s="99"/>
      <c r="JY282" s="99"/>
      <c r="JZ282" s="99"/>
      <c r="KA282" s="99"/>
      <c r="KB282" s="99"/>
      <c r="KC282" s="99"/>
      <c r="KD282" s="99"/>
      <c r="KE282" s="99"/>
      <c r="KF282" s="99"/>
      <c r="KG282" s="99"/>
      <c r="KH282" s="99"/>
      <c r="KI282" s="99"/>
      <c r="KJ282" s="99"/>
      <c r="KK282" s="99"/>
      <c r="KL282" s="99"/>
      <c r="KM282" s="99"/>
      <c r="KN282" s="99"/>
      <c r="KO282" s="99"/>
      <c r="KP282" s="99"/>
      <c r="KQ282" s="99"/>
      <c r="KR282" s="99"/>
      <c r="KS282" s="99"/>
      <c r="KT282" s="99"/>
      <c r="KU282" s="99"/>
      <c r="KV282" s="99"/>
      <c r="KW282" s="99"/>
      <c r="KX282" s="99"/>
      <c r="KY282" s="99"/>
      <c r="KZ282" s="99"/>
      <c r="LA282" s="99"/>
      <c r="LB282" s="99"/>
      <c r="LC282" s="99"/>
      <c r="LD282" s="99"/>
      <c r="LE282" s="99"/>
      <c r="LF282" s="99"/>
      <c r="LG282" s="99"/>
      <c r="LH282" s="99"/>
      <c r="LI282" s="99"/>
      <c r="LJ282" s="99"/>
      <c r="LK282" s="99"/>
      <c r="LL282" s="99"/>
      <c r="LM282" s="99"/>
      <c r="LN282" s="99"/>
      <c r="LO282" s="99"/>
      <c r="LP282" s="99"/>
      <c r="LQ282" s="99"/>
      <c r="LR282" s="99"/>
      <c r="LS282" s="99"/>
      <c r="LT282" s="99"/>
      <c r="LU282" s="99"/>
      <c r="LV282" s="99"/>
      <c r="LW282" s="99"/>
      <c r="LX282" s="99"/>
      <c r="LY282" s="99"/>
      <c r="LZ282" s="99"/>
      <c r="MA282" s="99"/>
      <c r="MB282" s="99"/>
      <c r="MC282" s="99"/>
      <c r="MD282" s="99"/>
      <c r="ME282" s="99"/>
      <c r="MF282" s="99"/>
    </row>
    <row r="283" spans="1:344" ht="17.25" customHeight="1" x14ac:dyDescent="0.25">
      <c r="A283" s="157"/>
      <c r="B283" s="83" t="s">
        <v>7</v>
      </c>
      <c r="C283" s="84">
        <v>45417</v>
      </c>
      <c r="D283" s="51"/>
      <c r="E283" s="48"/>
      <c r="F283" s="104"/>
      <c r="G283" s="37">
        <f t="shared" si="459"/>
        <v>0</v>
      </c>
      <c r="H283" s="26">
        <f t="shared" si="460"/>
        <v>0</v>
      </c>
      <c r="I283" s="48"/>
      <c r="J283" s="48"/>
      <c r="K283" s="104"/>
      <c r="L283" s="37">
        <f t="shared" si="461"/>
        <v>0</v>
      </c>
      <c r="M283" s="26">
        <f t="shared" si="478"/>
        <v>0</v>
      </c>
      <c r="N283" s="26">
        <f t="shared" si="479"/>
        <v>0</v>
      </c>
      <c r="O283" s="98" t="e">
        <f>SUM($Z283,$BH283,$AQ283,$BY283,$CP283,$DG283,$DX283,$EO283,$FF283,$FW283,$GN283)/D283</f>
        <v>#DIV/0!</v>
      </c>
      <c r="P283" s="151"/>
      <c r="Q283" s="139">
        <f t="shared" si="457"/>
        <v>0</v>
      </c>
      <c r="R283" s="140">
        <f t="shared" si="453"/>
        <v>0</v>
      </c>
      <c r="S283" s="141">
        <f t="shared" si="454"/>
        <v>0</v>
      </c>
      <c r="T283" s="142">
        <f t="shared" si="455"/>
        <v>0</v>
      </c>
      <c r="U283" s="145">
        <f t="shared" si="456"/>
        <v>0</v>
      </c>
      <c r="V283" s="23"/>
      <c r="W283" s="13">
        <v>0</v>
      </c>
      <c r="X283" s="2">
        <v>0</v>
      </c>
      <c r="Y283" s="26">
        <f t="shared" si="462"/>
        <v>0</v>
      </c>
      <c r="Z283" s="26">
        <f t="shared" si="480"/>
        <v>0</v>
      </c>
      <c r="AA283" s="16">
        <f t="shared" si="493"/>
        <v>3.535725924994319E-11</v>
      </c>
      <c r="AB283" s="44">
        <f t="shared" si="537"/>
        <v>6.7320968237206191E-12</v>
      </c>
      <c r="AC283" s="44">
        <f t="shared" si="538"/>
        <v>0.19040211166060433</v>
      </c>
      <c r="AD283" s="34"/>
      <c r="AE283" s="4"/>
      <c r="AF283" s="5"/>
      <c r="AG283" s="6"/>
      <c r="AH283" s="32"/>
      <c r="AI283" s="3"/>
      <c r="AJ283" s="4"/>
      <c r="AK283" s="5"/>
      <c r="AL283" s="6"/>
      <c r="AM283" s="14"/>
      <c r="AN283" s="13"/>
      <c r="AO283" s="2"/>
      <c r="AP283" s="26">
        <f t="shared" si="463"/>
        <v>0</v>
      </c>
      <c r="AQ283" s="26">
        <f t="shared" si="481"/>
        <v>0</v>
      </c>
      <c r="AR283" s="16">
        <f t="shared" si="494"/>
        <v>1.0677542348931996E-8</v>
      </c>
      <c r="AS283" s="29">
        <f t="shared" si="495"/>
        <v>1.4036009859667218E-8</v>
      </c>
      <c r="AT283" s="29">
        <f t="shared" si="496"/>
        <v>1.3145356301088469</v>
      </c>
      <c r="AU283" s="34"/>
      <c r="AV283" s="4"/>
      <c r="AW283" s="5"/>
      <c r="AX283" s="6"/>
      <c r="AY283" s="32"/>
      <c r="AZ283" s="3"/>
      <c r="BA283" s="4"/>
      <c r="BB283" s="5"/>
      <c r="BC283" s="6"/>
      <c r="BD283" s="14"/>
      <c r="BE283" s="13"/>
      <c r="BF283" s="2"/>
      <c r="BG283" s="26">
        <f t="shared" si="464"/>
        <v>0</v>
      </c>
      <c r="BH283" s="26">
        <f t="shared" si="482"/>
        <v>0</v>
      </c>
      <c r="BI283" s="16">
        <f t="shared" si="497"/>
        <v>1.4705550141813257E-8</v>
      </c>
      <c r="BJ283" s="29">
        <f t="shared" si="498"/>
        <v>2.156216477183559E-8</v>
      </c>
      <c r="BK283" s="29">
        <f t="shared" si="499"/>
        <v>1.4662603278286386</v>
      </c>
      <c r="BL283" s="34"/>
      <c r="BM283" s="4"/>
      <c r="BN283" s="5"/>
      <c r="BO283" s="6"/>
      <c r="BP283" s="32"/>
      <c r="BQ283" s="3"/>
      <c r="BR283" s="4"/>
      <c r="BS283" s="5"/>
      <c r="BT283" s="6"/>
      <c r="BU283" s="14"/>
      <c r="BV283" s="13"/>
      <c r="BW283" s="2"/>
      <c r="BX283" s="26">
        <f t="shared" si="465"/>
        <v>0</v>
      </c>
      <c r="BY283" s="26">
        <f t="shared" si="483"/>
        <v>0</v>
      </c>
      <c r="BZ283" s="16">
        <f t="shared" si="500"/>
        <v>1.1181615098940347E-8</v>
      </c>
      <c r="CA283" s="29">
        <f t="shared" si="501"/>
        <v>1.3399858086336336E-8</v>
      </c>
      <c r="CB283" s="29">
        <f t="shared" si="502"/>
        <v>1.1983830571673144</v>
      </c>
      <c r="CC283" s="34"/>
      <c r="CD283" s="4"/>
      <c r="CE283" s="5"/>
      <c r="CF283" s="6"/>
      <c r="CG283" s="32"/>
      <c r="CH283" s="3"/>
      <c r="CI283" s="4"/>
      <c r="CJ283" s="5"/>
      <c r="CK283" s="6"/>
      <c r="CL283" s="14"/>
      <c r="CM283" s="13"/>
      <c r="CN283" s="2"/>
      <c r="CO283" s="26">
        <f t="shared" si="466"/>
        <v>0</v>
      </c>
      <c r="CP283" s="26">
        <f t="shared" si="484"/>
        <v>0</v>
      </c>
      <c r="CQ283" s="16">
        <f t="shared" si="503"/>
        <v>1.2250881130681984E-8</v>
      </c>
      <c r="CR283" s="29">
        <f t="shared" si="504"/>
        <v>1.734016442720709E-8</v>
      </c>
      <c r="CS283" s="29">
        <f t="shared" si="505"/>
        <v>1.4154218167850099</v>
      </c>
      <c r="CT283" s="34"/>
      <c r="CU283" s="4"/>
      <c r="CV283" s="5"/>
      <c r="CW283" s="6"/>
      <c r="CX283" s="32"/>
      <c r="CY283" s="3"/>
      <c r="CZ283" s="4"/>
      <c r="DA283" s="5"/>
      <c r="DB283" s="6"/>
      <c r="DC283" s="14"/>
      <c r="DD283" s="13"/>
      <c r="DE283" s="2"/>
      <c r="DF283" s="26">
        <f t="shared" si="467"/>
        <v>0</v>
      </c>
      <c r="DG283" s="26">
        <f t="shared" si="485"/>
        <v>0</v>
      </c>
      <c r="DH283" s="16">
        <f t="shared" si="506"/>
        <v>1.1915720651175427E-8</v>
      </c>
      <c r="DI283" s="29">
        <f t="shared" si="507"/>
        <v>1.053627170932414E-8</v>
      </c>
      <c r="DJ283" s="29">
        <f t="shared" si="508"/>
        <v>0.88423285655700468</v>
      </c>
      <c r="DK283" s="34"/>
      <c r="DL283" s="4"/>
      <c r="DM283" s="5"/>
      <c r="DN283" s="6"/>
      <c r="DO283" s="32"/>
      <c r="DP283" s="3"/>
      <c r="DQ283" s="4"/>
      <c r="DR283" s="5"/>
      <c r="DS283" s="6"/>
      <c r="DT283" s="14"/>
      <c r="DU283" s="13"/>
      <c r="DV283" s="2"/>
      <c r="DW283" s="26">
        <f t="shared" si="468"/>
        <v>0</v>
      </c>
      <c r="DX283" s="26">
        <f t="shared" si="486"/>
        <v>0</v>
      </c>
      <c r="DY283" s="16">
        <f t="shared" si="509"/>
        <v>1.2336957539671135E-8</v>
      </c>
      <c r="DZ283" s="29">
        <f t="shared" si="510"/>
        <v>1.0286578677621169E-8</v>
      </c>
      <c r="EA283" s="29">
        <f t="shared" si="511"/>
        <v>0.83380190330908577</v>
      </c>
      <c r="EB283" s="34"/>
      <c r="EC283" s="4"/>
      <c r="ED283" s="5"/>
      <c r="EE283" s="6"/>
      <c r="EF283" s="32"/>
      <c r="EG283" s="3"/>
      <c r="EH283" s="4"/>
      <c r="EI283" s="5"/>
      <c r="EJ283" s="6"/>
      <c r="EK283" s="14"/>
      <c r="EL283" s="13"/>
      <c r="EM283" s="2"/>
      <c r="EN283" s="26">
        <f t="shared" si="469"/>
        <v>0</v>
      </c>
      <c r="EO283" s="26">
        <f t="shared" si="487"/>
        <v>0</v>
      </c>
      <c r="EP283" s="16">
        <f t="shared" si="512"/>
        <v>1.3171979262299729E-8</v>
      </c>
      <c r="EQ283" s="29">
        <f t="shared" si="513"/>
        <v>2.0212603024475513E-8</v>
      </c>
      <c r="ER283" s="29">
        <f t="shared" si="514"/>
        <v>1.5345152480103847</v>
      </c>
      <c r="ES283" s="34"/>
      <c r="ET283" s="4"/>
      <c r="EU283" s="5"/>
      <c r="EV283" s="6"/>
      <c r="EW283" s="32"/>
      <c r="EX283" s="3"/>
      <c r="EY283" s="4"/>
      <c r="EZ283" s="5"/>
      <c r="FA283" s="6"/>
      <c r="FB283" s="14"/>
      <c r="FC283" s="13"/>
      <c r="FD283" s="2"/>
      <c r="FE283" s="26">
        <f t="shared" si="470"/>
        <v>0</v>
      </c>
      <c r="FF283" s="26">
        <f t="shared" si="488"/>
        <v>0</v>
      </c>
      <c r="FG283" s="16">
        <f t="shared" si="515"/>
        <v>1.2725517334874182E-8</v>
      </c>
      <c r="FH283" s="29">
        <f t="shared" si="516"/>
        <v>1.8502777424710627E-8</v>
      </c>
      <c r="FI283" s="29">
        <f t="shared" si="517"/>
        <v>1.4539901944892966</v>
      </c>
      <c r="FJ283" s="34"/>
      <c r="FK283" s="4"/>
      <c r="FL283" s="5"/>
      <c r="FM283" s="6"/>
      <c r="FN283" s="32"/>
      <c r="FO283" s="3"/>
      <c r="FP283" s="4"/>
      <c r="FQ283" s="5"/>
      <c r="FR283" s="6"/>
      <c r="FS283" s="14"/>
      <c r="FT283" s="13"/>
      <c r="FU283" s="2"/>
      <c r="FV283" s="26">
        <f t="shared" si="471"/>
        <v>0</v>
      </c>
      <c r="FW283" s="26">
        <f t="shared" si="489"/>
        <v>0</v>
      </c>
      <c r="FX283" s="16">
        <f t="shared" si="518"/>
        <v>1.1979698168781578E-8</v>
      </c>
      <c r="FY283" s="29">
        <f t="shared" si="519"/>
        <v>1.8527154904881665E-8</v>
      </c>
      <c r="FZ283" s="29">
        <f t="shared" si="520"/>
        <v>1.5465460518164298</v>
      </c>
      <c r="GA283" s="34"/>
      <c r="GB283" s="4"/>
      <c r="GC283" s="5"/>
      <c r="GD283" s="6"/>
      <c r="GE283" s="32"/>
      <c r="GF283" s="3"/>
      <c r="GG283" s="4"/>
      <c r="GH283" s="5"/>
      <c r="GI283" s="6"/>
      <c r="GJ283" s="14"/>
      <c r="GK283" s="13"/>
      <c r="GL283" s="2"/>
      <c r="GM283" s="26">
        <f t="shared" si="472"/>
        <v>0</v>
      </c>
      <c r="GN283" s="26">
        <f t="shared" si="490"/>
        <v>0</v>
      </c>
      <c r="GO283" s="16">
        <f t="shared" si="521"/>
        <v>1.2379064761585614E-8</v>
      </c>
      <c r="GP283" s="29">
        <f t="shared" si="522"/>
        <v>1.9094248248265759E-8</v>
      </c>
      <c r="GQ283" s="29">
        <f t="shared" si="523"/>
        <v>1.5424629094371107</v>
      </c>
      <c r="GR283" s="34"/>
      <c r="GS283" s="4"/>
      <c r="GT283" s="5"/>
      <c r="GU283" s="6"/>
      <c r="GV283" s="32"/>
      <c r="GW283" s="3"/>
      <c r="GX283" s="4"/>
      <c r="GY283" s="5"/>
      <c r="GZ283" s="6"/>
      <c r="HA283" s="14"/>
      <c r="HB283" s="13"/>
      <c r="HC283" s="2"/>
      <c r="HD283" s="26">
        <f t="shared" si="473"/>
        <v>0</v>
      </c>
      <c r="HE283" s="26">
        <f t="shared" si="491"/>
        <v>0</v>
      </c>
      <c r="HF283" s="16">
        <f t="shared" si="524"/>
        <v>1.7438447692435317E-8</v>
      </c>
      <c r="HG283" s="29">
        <f t="shared" si="525"/>
        <v>1.3850260030246458E-8</v>
      </c>
      <c r="HH283" s="29">
        <f t="shared" si="526"/>
        <v>0.79423697994946008</v>
      </c>
      <c r="HI283" s="34"/>
      <c r="HJ283" s="4"/>
      <c r="HK283" s="5"/>
      <c r="HL283" s="6"/>
      <c r="HM283" s="32"/>
      <c r="HN283" s="3"/>
      <c r="HO283" s="4"/>
      <c r="HP283" s="5"/>
      <c r="HQ283" s="6"/>
      <c r="HR283" s="14"/>
      <c r="HS283" s="13"/>
      <c r="HT283" s="2"/>
      <c r="HU283" s="26">
        <f t="shared" si="474"/>
        <v>0</v>
      </c>
      <c r="HV283" s="26">
        <f t="shared" si="492"/>
        <v>0</v>
      </c>
      <c r="HW283" s="16">
        <f t="shared" si="527"/>
        <v>4.02598910730886E-17</v>
      </c>
      <c r="HX283" s="29">
        <f t="shared" si="528"/>
        <v>4.8674928316073479E-21</v>
      </c>
      <c r="HY283" s="29">
        <f t="shared" si="529"/>
        <v>1.2090178840203033E-4</v>
      </c>
      <c r="HZ283" s="34"/>
      <c r="IA283" s="4"/>
      <c r="IB283" s="5"/>
      <c r="IC283" s="6"/>
      <c r="ID283" s="32"/>
      <c r="IE283" s="3"/>
      <c r="IF283" s="4"/>
      <c r="IG283" s="5"/>
      <c r="IH283" s="6"/>
      <c r="II283" s="14"/>
      <c r="IJ283" s="13"/>
      <c r="IK283" s="2"/>
      <c r="IL283" s="26">
        <f t="shared" si="475"/>
        <v>0</v>
      </c>
      <c r="IM283" s="26">
        <f t="shared" si="476"/>
        <v>5.9919153729808494</v>
      </c>
      <c r="IN283" s="16">
        <f t="shared" si="530"/>
        <v>3.9674904817271395E-9</v>
      </c>
      <c r="IO283" s="29">
        <f t="shared" si="531"/>
        <v>3.6002209160364902E-10</v>
      </c>
      <c r="IP283" s="29">
        <f t="shared" si="532"/>
        <v>9.0743025915697509E-2</v>
      </c>
      <c r="IQ283" s="34"/>
      <c r="IR283" s="4"/>
      <c r="IS283" s="5"/>
      <c r="IT283" s="6"/>
      <c r="IU283" s="32"/>
      <c r="IV283" s="3"/>
      <c r="IW283" s="4"/>
      <c r="IX283" s="5"/>
      <c r="IY283" s="6"/>
      <c r="IZ283" s="14"/>
      <c r="JA283" s="13"/>
      <c r="JB283" s="2"/>
      <c r="JC283" s="26">
        <f t="shared" si="458"/>
        <v>0</v>
      </c>
      <c r="JD283" s="26">
        <f t="shared" si="477"/>
        <v>7.0771091900383505</v>
      </c>
      <c r="JE283" s="16">
        <f t="shared" si="533"/>
        <v>4.7910658615255368E-9</v>
      </c>
      <c r="JF283" s="29">
        <f t="shared" si="534"/>
        <v>4.595155072990091E-10</v>
      </c>
      <c r="JG283" s="29">
        <f t="shared" si="535"/>
        <v>9.591091431013922E-2</v>
      </c>
      <c r="JH283" s="34"/>
      <c r="JI283" s="4"/>
      <c r="JJ283" s="5"/>
      <c r="JK283" s="6"/>
      <c r="JL283" s="32"/>
      <c r="JM283" s="3"/>
      <c r="JN283" s="4"/>
      <c r="JO283" s="5"/>
      <c r="JP283" s="6"/>
      <c r="JQ283" s="14"/>
      <c r="JR283" s="99"/>
      <c r="JS283" s="99"/>
      <c r="JT283" s="99"/>
      <c r="JU283" s="99"/>
      <c r="JV283" s="99"/>
      <c r="JW283" s="99"/>
      <c r="JX283" s="99"/>
      <c r="JY283" s="99"/>
      <c r="JZ283" s="99"/>
      <c r="KA283" s="99"/>
      <c r="KB283" s="99"/>
      <c r="KC283" s="99"/>
      <c r="KD283" s="99"/>
      <c r="KE283" s="99"/>
      <c r="KF283" s="99"/>
      <c r="KG283" s="99"/>
      <c r="KH283" s="99"/>
      <c r="KI283" s="99"/>
      <c r="KJ283" s="99"/>
      <c r="KK283" s="99"/>
      <c r="KL283" s="99"/>
      <c r="KM283" s="99"/>
      <c r="KN283" s="99"/>
      <c r="KO283" s="99"/>
      <c r="KP283" s="99"/>
      <c r="KQ283" s="99"/>
      <c r="KR283" s="99"/>
      <c r="KS283" s="99"/>
      <c r="KT283" s="99"/>
      <c r="KU283" s="99"/>
      <c r="KV283" s="99"/>
      <c r="KW283" s="99"/>
      <c r="KX283" s="99"/>
      <c r="KY283" s="99"/>
      <c r="KZ283" s="99"/>
      <c r="LA283" s="99"/>
      <c r="LB283" s="99"/>
      <c r="LC283" s="99"/>
      <c r="LD283" s="99"/>
      <c r="LE283" s="99"/>
      <c r="LF283" s="99"/>
      <c r="LG283" s="99"/>
      <c r="LH283" s="99"/>
      <c r="LI283" s="99"/>
      <c r="LJ283" s="99"/>
      <c r="LK283" s="99"/>
      <c r="LL283" s="99"/>
      <c r="LM283" s="99"/>
      <c r="LN283" s="99"/>
      <c r="LO283" s="99"/>
      <c r="LP283" s="99"/>
      <c r="LQ283" s="99"/>
      <c r="LR283" s="99"/>
      <c r="LS283" s="99"/>
      <c r="LT283" s="99"/>
      <c r="LU283" s="99"/>
      <c r="LV283" s="99"/>
      <c r="LW283" s="99"/>
      <c r="LX283" s="99"/>
      <c r="LY283" s="99"/>
      <c r="LZ283" s="99"/>
      <c r="MA283" s="99"/>
      <c r="MB283" s="99"/>
      <c r="MC283" s="99"/>
      <c r="MD283" s="99"/>
      <c r="ME283" s="99"/>
      <c r="MF283" s="99"/>
    </row>
    <row r="284" spans="1:344" ht="17.25" customHeight="1" x14ac:dyDescent="0.25">
      <c r="A284" s="155" t="s">
        <v>46</v>
      </c>
      <c r="B284" s="79" t="s">
        <v>1</v>
      </c>
      <c r="C284" s="80">
        <v>45418</v>
      </c>
      <c r="D284" s="50"/>
      <c r="G284" s="36">
        <f t="shared" si="459"/>
        <v>0</v>
      </c>
      <c r="H284" s="27">
        <f t="shared" si="460"/>
        <v>0</v>
      </c>
      <c r="I284" s="47"/>
      <c r="K284" s="105"/>
      <c r="L284" s="89">
        <f t="shared" si="461"/>
        <v>0</v>
      </c>
      <c r="M284" s="27">
        <f t="shared" si="478"/>
        <v>0</v>
      </c>
      <c r="N284" s="35">
        <f t="shared" si="479"/>
        <v>0</v>
      </c>
      <c r="O284" s="97" t="e">
        <f>SUM($Z284,$BH284,$AQ284,$BY284,$CP284,$DG284,$DX284,$EO284,$FF284,$FW284,$GN284)/I284</f>
        <v>#DIV/0!</v>
      </c>
      <c r="P284" s="149">
        <f t="shared" si="536"/>
        <v>0</v>
      </c>
      <c r="Q284" s="131">
        <f t="shared" si="457"/>
        <v>0</v>
      </c>
      <c r="R284" s="133">
        <f t="shared" si="453"/>
        <v>0</v>
      </c>
      <c r="S284" s="135">
        <f t="shared" si="454"/>
        <v>0</v>
      </c>
      <c r="T284" s="137">
        <f t="shared" si="455"/>
        <v>0</v>
      </c>
      <c r="U284" s="143">
        <f t="shared" si="456"/>
        <v>0</v>
      </c>
      <c r="W284" s="11">
        <v>0</v>
      </c>
      <c r="X284" s="1">
        <v>0</v>
      </c>
      <c r="Y284" s="27">
        <f t="shared" si="462"/>
        <v>0</v>
      </c>
      <c r="Z284" s="27">
        <f t="shared" si="480"/>
        <v>0</v>
      </c>
      <c r="AA284" s="15">
        <f t="shared" si="493"/>
        <v>2.8482236618009793E-11</v>
      </c>
      <c r="AB284" s="43">
        <f t="shared" si="537"/>
        <v>5.0490726177904641E-12</v>
      </c>
      <c r="AC284" s="43">
        <f t="shared" si="538"/>
        <v>0.1772709315460799</v>
      </c>
      <c r="AD284" s="33"/>
      <c r="AH284" s="31"/>
      <c r="AP284" s="27">
        <f t="shared" si="463"/>
        <v>0</v>
      </c>
      <c r="AQ284" s="27">
        <f t="shared" si="481"/>
        <v>0</v>
      </c>
      <c r="AR284" s="15">
        <f t="shared" si="494"/>
        <v>8.6013535588618851E-9</v>
      </c>
      <c r="AS284" s="28">
        <f t="shared" si="495"/>
        <v>1.0527007394750414E-8</v>
      </c>
      <c r="AT284" s="28">
        <f t="shared" si="496"/>
        <v>1.2238780004461678</v>
      </c>
      <c r="AU284" s="33"/>
      <c r="AY284" s="31"/>
      <c r="BG284" s="27">
        <f t="shared" si="464"/>
        <v>0</v>
      </c>
      <c r="BH284" s="27">
        <f t="shared" si="482"/>
        <v>0</v>
      </c>
      <c r="BI284" s="15">
        <f t="shared" si="497"/>
        <v>1.1846137614238458E-8</v>
      </c>
      <c r="BJ284" s="28">
        <f t="shared" si="498"/>
        <v>1.6171623578876692E-8</v>
      </c>
      <c r="BK284" s="28">
        <f t="shared" si="499"/>
        <v>1.365138925909422</v>
      </c>
      <c r="BL284" s="33"/>
      <c r="BP284" s="31"/>
      <c r="BX284" s="27">
        <f t="shared" si="465"/>
        <v>0</v>
      </c>
      <c r="BY284" s="27">
        <f t="shared" si="483"/>
        <v>0</v>
      </c>
      <c r="BZ284" s="15">
        <f t="shared" si="500"/>
        <v>9.0074121630352802E-9</v>
      </c>
      <c r="CA284" s="28">
        <f t="shared" si="501"/>
        <v>1.0049893564752252E-8</v>
      </c>
      <c r="CB284" s="28">
        <f t="shared" si="502"/>
        <v>1.1157359497764652</v>
      </c>
      <c r="CC284" s="33"/>
      <c r="CG284" s="31"/>
      <c r="CO284" s="27">
        <f t="shared" si="466"/>
        <v>0</v>
      </c>
      <c r="CP284" s="27">
        <f t="shared" si="484"/>
        <v>0</v>
      </c>
      <c r="CQ284" s="15">
        <f t="shared" si="503"/>
        <v>9.8687653552715983E-9</v>
      </c>
      <c r="CR284" s="28">
        <f t="shared" si="504"/>
        <v>1.3005123320405317E-8</v>
      </c>
      <c r="CS284" s="28">
        <f t="shared" si="505"/>
        <v>1.3178065190756989</v>
      </c>
      <c r="CT284" s="33"/>
      <c r="CX284" s="31"/>
      <c r="DF284" s="27">
        <f t="shared" si="467"/>
        <v>0</v>
      </c>
      <c r="DG284" s="27">
        <f t="shared" si="485"/>
        <v>0</v>
      </c>
      <c r="DH284" s="15">
        <f t="shared" si="506"/>
        <v>9.5987749690024272E-9</v>
      </c>
      <c r="DI284" s="28">
        <f t="shared" si="507"/>
        <v>7.9022037819931043E-9</v>
      </c>
      <c r="DJ284" s="28">
        <f t="shared" si="508"/>
        <v>0.82325128024272842</v>
      </c>
      <c r="DK284" s="33"/>
      <c r="DO284" s="31"/>
      <c r="DW284" s="27">
        <f t="shared" si="468"/>
        <v>0</v>
      </c>
      <c r="DX284" s="27">
        <f t="shared" si="486"/>
        <v>0</v>
      </c>
      <c r="DY284" s="15">
        <f t="shared" si="509"/>
        <v>9.9381046847350829E-9</v>
      </c>
      <c r="DZ284" s="28">
        <f t="shared" si="510"/>
        <v>7.7149340082158775E-9</v>
      </c>
      <c r="EA284" s="28">
        <f t="shared" si="511"/>
        <v>0.7762983237705281</v>
      </c>
      <c r="EB284" s="33"/>
      <c r="EF284" s="31"/>
      <c r="EN284" s="27">
        <f t="shared" si="469"/>
        <v>0</v>
      </c>
      <c r="EO284" s="27">
        <f t="shared" si="487"/>
        <v>0</v>
      </c>
      <c r="EP284" s="15">
        <f t="shared" si="512"/>
        <v>1.0610761072408115E-8</v>
      </c>
      <c r="EQ284" s="28">
        <f t="shared" si="513"/>
        <v>1.5159452268356636E-8</v>
      </c>
      <c r="ER284" s="28">
        <f t="shared" si="514"/>
        <v>1.4286866102165652</v>
      </c>
      <c r="ES284" s="33"/>
      <c r="EW284" s="31"/>
      <c r="FE284" s="27">
        <f t="shared" si="470"/>
        <v>0</v>
      </c>
      <c r="FF284" s="27">
        <f t="shared" si="488"/>
        <v>0</v>
      </c>
      <c r="FG284" s="15">
        <f t="shared" si="515"/>
        <v>1.0251111186426424E-8</v>
      </c>
      <c r="FH284" s="28">
        <f t="shared" si="516"/>
        <v>1.387708306853297E-8</v>
      </c>
      <c r="FI284" s="28">
        <f t="shared" si="517"/>
        <v>1.3537150086624485</v>
      </c>
      <c r="FJ284" s="33"/>
      <c r="FN284" s="31"/>
      <c r="FV284" s="27">
        <f t="shared" si="471"/>
        <v>0</v>
      </c>
      <c r="FW284" s="27">
        <f t="shared" si="489"/>
        <v>0</v>
      </c>
      <c r="FX284" s="15">
        <f t="shared" si="518"/>
        <v>9.6503124137407164E-9</v>
      </c>
      <c r="FY284" s="28">
        <f t="shared" si="519"/>
        <v>1.3895366178661249E-8</v>
      </c>
      <c r="FZ284" s="28">
        <f t="shared" si="520"/>
        <v>1.4398877034152966</v>
      </c>
      <c r="GA284" s="33"/>
      <c r="GE284" s="31"/>
      <c r="GM284" s="27">
        <f t="shared" si="472"/>
        <v>0</v>
      </c>
      <c r="GN284" s="27">
        <f t="shared" si="490"/>
        <v>0</v>
      </c>
      <c r="GO284" s="15">
        <f t="shared" si="521"/>
        <v>9.9720243912773004E-9</v>
      </c>
      <c r="GP284" s="28">
        <f t="shared" si="522"/>
        <v>1.4320686186199319E-8</v>
      </c>
      <c r="GQ284" s="28">
        <f t="shared" si="523"/>
        <v>1.4360861570621375</v>
      </c>
      <c r="GR284" s="33"/>
      <c r="GV284" s="31"/>
      <c r="HD284" s="27">
        <f t="shared" si="473"/>
        <v>0</v>
      </c>
      <c r="HE284" s="27">
        <f t="shared" si="491"/>
        <v>0</v>
      </c>
      <c r="HF284" s="15">
        <f t="shared" si="524"/>
        <v>1.4047638418906227E-8</v>
      </c>
      <c r="HG284" s="28">
        <f t="shared" si="525"/>
        <v>1.0387695022684843E-8</v>
      </c>
      <c r="HH284" s="28">
        <f t="shared" si="526"/>
        <v>0.73946201581501458</v>
      </c>
      <c r="HI284" s="33"/>
      <c r="HM284" s="31"/>
      <c r="HU284" s="27">
        <f t="shared" si="474"/>
        <v>0</v>
      </c>
      <c r="HV284" s="27">
        <f t="shared" si="492"/>
        <v>0</v>
      </c>
      <c r="HW284" s="15">
        <f t="shared" si="527"/>
        <v>3.243157891998804E-17</v>
      </c>
      <c r="HX284" s="28">
        <f t="shared" si="528"/>
        <v>3.6506196237055109E-21</v>
      </c>
      <c r="HY284" s="28">
        <f t="shared" si="529"/>
        <v>1.1256373402947651E-4</v>
      </c>
      <c r="HZ284" s="33"/>
      <c r="ID284" s="31"/>
      <c r="II284" s="12"/>
      <c r="IL284" s="27">
        <f t="shared" si="475"/>
        <v>0</v>
      </c>
      <c r="IM284" s="27">
        <f t="shared" si="476"/>
        <v>5.5786798161041364</v>
      </c>
      <c r="IN284" s="15">
        <f t="shared" si="530"/>
        <v>3.1960339991690845E-9</v>
      </c>
      <c r="IO284" s="28">
        <f t="shared" si="531"/>
        <v>2.7001656870273677E-10</v>
      </c>
      <c r="IP284" s="28">
        <f t="shared" si="532"/>
        <v>8.4484886197373543E-2</v>
      </c>
      <c r="IQ284" s="33"/>
      <c r="IU284" s="31"/>
      <c r="JC284" s="27">
        <f t="shared" si="458"/>
        <v>0</v>
      </c>
      <c r="JD284" s="27">
        <f t="shared" si="477"/>
        <v>6.5890326770052843</v>
      </c>
      <c r="JE284" s="15">
        <f t="shared" si="533"/>
        <v>3.8594697217844599E-9</v>
      </c>
      <c r="JF284" s="28">
        <f t="shared" si="534"/>
        <v>3.4463663047425681E-10</v>
      </c>
      <c r="JG284" s="28">
        <f t="shared" si="535"/>
        <v>8.9296368495646858E-2</v>
      </c>
      <c r="JH284" s="33"/>
      <c r="JL284" s="31"/>
      <c r="JR284" s="99"/>
      <c r="JS284" s="99"/>
      <c r="JT284" s="99"/>
      <c r="JU284" s="99"/>
      <c r="JV284" s="99"/>
      <c r="JW284" s="99"/>
      <c r="JX284" s="99"/>
      <c r="JY284" s="99"/>
      <c r="JZ284" s="99"/>
      <c r="KA284" s="99"/>
      <c r="KB284" s="99"/>
      <c r="KC284" s="99"/>
      <c r="KD284" s="99"/>
      <c r="KE284" s="99"/>
      <c r="KF284" s="99"/>
      <c r="KG284" s="99"/>
      <c r="KH284" s="99"/>
      <c r="KI284" s="99"/>
      <c r="KJ284" s="99"/>
      <c r="KK284" s="99"/>
      <c r="KL284" s="99"/>
      <c r="KM284" s="99"/>
      <c r="KN284" s="99"/>
      <c r="KO284" s="99"/>
      <c r="KP284" s="99"/>
      <c r="KQ284" s="99"/>
      <c r="KR284" s="99"/>
      <c r="KS284" s="99"/>
      <c r="KT284" s="99"/>
      <c r="KU284" s="99"/>
      <c r="KV284" s="99"/>
      <c r="KW284" s="99"/>
      <c r="KX284" s="99"/>
      <c r="KY284" s="99"/>
      <c r="KZ284" s="99"/>
      <c r="LA284" s="99"/>
      <c r="LB284" s="99"/>
      <c r="LC284" s="99"/>
      <c r="LD284" s="99"/>
      <c r="LE284" s="99"/>
      <c r="LF284" s="99"/>
      <c r="LG284" s="99"/>
      <c r="LH284" s="99"/>
      <c r="LI284" s="99"/>
      <c r="LJ284" s="99"/>
      <c r="LK284" s="99"/>
      <c r="LL284" s="99"/>
      <c r="LM284" s="99"/>
      <c r="LN284" s="99"/>
      <c r="LO284" s="99"/>
      <c r="LP284" s="99"/>
      <c r="LQ284" s="99"/>
      <c r="LR284" s="99"/>
      <c r="LS284" s="99"/>
      <c r="LT284" s="99"/>
      <c r="LU284" s="99"/>
      <c r="LV284" s="99"/>
      <c r="LW284" s="99"/>
      <c r="LX284" s="99"/>
      <c r="LY284" s="99"/>
      <c r="LZ284" s="99"/>
      <c r="MA284" s="99"/>
      <c r="MB284" s="99"/>
      <c r="MC284" s="99"/>
      <c r="MD284" s="99"/>
      <c r="ME284" s="99"/>
      <c r="MF284" s="99"/>
    </row>
    <row r="285" spans="1:344" ht="17.25" customHeight="1" x14ac:dyDescent="0.25">
      <c r="A285" s="156"/>
      <c r="B285" s="81" t="s">
        <v>2</v>
      </c>
      <c r="C285" s="82">
        <v>45419</v>
      </c>
      <c r="D285" s="49"/>
      <c r="G285" s="89">
        <f t="shared" si="459"/>
        <v>0</v>
      </c>
      <c r="H285" s="35">
        <f t="shared" si="460"/>
        <v>0</v>
      </c>
      <c r="I285" s="39"/>
      <c r="L285" s="89">
        <f t="shared" si="461"/>
        <v>0</v>
      </c>
      <c r="M285" s="35">
        <f t="shared" si="478"/>
        <v>0</v>
      </c>
      <c r="N285" s="35">
        <f t="shared" si="479"/>
        <v>0</v>
      </c>
      <c r="O285" s="97" t="e">
        <f>SUM($Z285,$BH285,$AQ285,$BY285,$CP285,$DG285,$DX285,$EO285,$FF285,$FW285,$GN285)/I285</f>
        <v>#DIV/0!</v>
      </c>
      <c r="P285" s="150"/>
      <c r="Q285" s="132">
        <f t="shared" si="457"/>
        <v>0</v>
      </c>
      <c r="R285" s="134">
        <f t="shared" si="453"/>
        <v>0</v>
      </c>
      <c r="S285" s="136">
        <f t="shared" si="454"/>
        <v>0</v>
      </c>
      <c r="T285" s="138">
        <f t="shared" si="455"/>
        <v>0</v>
      </c>
      <c r="U285" s="144">
        <f t="shared" si="456"/>
        <v>0</v>
      </c>
      <c r="W285" s="11">
        <v>0</v>
      </c>
      <c r="X285" s="1">
        <v>0</v>
      </c>
      <c r="Y285" s="35">
        <f t="shared" si="462"/>
        <v>0</v>
      </c>
      <c r="Z285" s="35">
        <f t="shared" si="480"/>
        <v>0</v>
      </c>
      <c r="AA285" s="15">
        <f t="shared" si="493"/>
        <v>2.294402394228567E-11</v>
      </c>
      <c r="AB285" s="43">
        <f t="shared" si="537"/>
        <v>3.7868044633428483E-12</v>
      </c>
      <c r="AC285" s="43">
        <f t="shared" si="538"/>
        <v>0.16504535006014334</v>
      </c>
      <c r="AD285" s="33"/>
      <c r="AH285" s="31"/>
      <c r="AP285" s="35">
        <f t="shared" si="463"/>
        <v>0</v>
      </c>
      <c r="AQ285" s="35">
        <f t="shared" si="481"/>
        <v>0</v>
      </c>
      <c r="AR285" s="15">
        <f t="shared" si="494"/>
        <v>6.9288681446387419E-9</v>
      </c>
      <c r="AS285" s="28">
        <f t="shared" si="495"/>
        <v>7.8952555460628107E-9</v>
      </c>
      <c r="AT285" s="28">
        <f t="shared" si="496"/>
        <v>1.1394726211050528</v>
      </c>
      <c r="AU285" s="33"/>
      <c r="AY285" s="31"/>
      <c r="BG285" s="35">
        <f t="shared" si="464"/>
        <v>0</v>
      </c>
      <c r="BH285" s="35">
        <f t="shared" si="482"/>
        <v>0</v>
      </c>
      <c r="BI285" s="15">
        <f t="shared" si="497"/>
        <v>9.5427219670254265E-9</v>
      </c>
      <c r="BJ285" s="28">
        <f t="shared" si="498"/>
        <v>1.2128717684157519E-8</v>
      </c>
      <c r="BK285" s="28">
        <f t="shared" si="499"/>
        <v>1.2709914137777376</v>
      </c>
      <c r="BL285" s="33"/>
      <c r="BP285" s="31"/>
      <c r="BX285" s="35">
        <f t="shared" si="465"/>
        <v>0</v>
      </c>
      <c r="BY285" s="35">
        <f t="shared" si="483"/>
        <v>0</v>
      </c>
      <c r="BZ285" s="15">
        <f t="shared" si="500"/>
        <v>7.255970909111753E-9</v>
      </c>
      <c r="CA285" s="28">
        <f t="shared" si="501"/>
        <v>7.5374201735641893E-9</v>
      </c>
      <c r="CB285" s="28">
        <f t="shared" si="502"/>
        <v>1.0387886428953297</v>
      </c>
      <c r="CC285" s="33"/>
      <c r="CG285" s="31"/>
      <c r="CO285" s="35">
        <f t="shared" si="466"/>
        <v>0</v>
      </c>
      <c r="CP285" s="35">
        <f t="shared" si="484"/>
        <v>0</v>
      </c>
      <c r="CQ285" s="15">
        <f t="shared" si="503"/>
        <v>7.9498387584132316E-9</v>
      </c>
      <c r="CR285" s="28">
        <f t="shared" si="504"/>
        <v>9.7538424903039877E-9</v>
      </c>
      <c r="CS285" s="28">
        <f t="shared" si="505"/>
        <v>1.2269233108635818</v>
      </c>
      <c r="CT285" s="33"/>
      <c r="CX285" s="31"/>
      <c r="DF285" s="35">
        <f t="shared" si="467"/>
        <v>0</v>
      </c>
      <c r="DG285" s="35">
        <f t="shared" si="485"/>
        <v>0</v>
      </c>
      <c r="DH285" s="15">
        <f t="shared" si="506"/>
        <v>7.7323465028075112E-9</v>
      </c>
      <c r="DI285" s="28">
        <f t="shared" si="507"/>
        <v>5.9266528364948282E-9</v>
      </c>
      <c r="DJ285" s="28">
        <f t="shared" si="508"/>
        <v>0.76647532988116096</v>
      </c>
      <c r="DK285" s="33"/>
      <c r="DO285" s="31"/>
      <c r="DW285" s="35">
        <f t="shared" si="468"/>
        <v>0</v>
      </c>
      <c r="DX285" s="35">
        <f t="shared" si="486"/>
        <v>0</v>
      </c>
      <c r="DY285" s="15">
        <f t="shared" si="509"/>
        <v>8.0056954404810392E-9</v>
      </c>
      <c r="DZ285" s="28">
        <f t="shared" si="510"/>
        <v>5.7862005061619082E-9</v>
      </c>
      <c r="EA285" s="28">
        <f t="shared" si="511"/>
        <v>0.72276050833807781</v>
      </c>
      <c r="EB285" s="33"/>
      <c r="EF285" s="31"/>
      <c r="EN285" s="35">
        <f t="shared" si="469"/>
        <v>0</v>
      </c>
      <c r="EO285" s="35">
        <f t="shared" si="487"/>
        <v>0</v>
      </c>
      <c r="EP285" s="15">
        <f t="shared" si="512"/>
        <v>8.5475575305509823E-9</v>
      </c>
      <c r="EQ285" s="28">
        <f t="shared" si="513"/>
        <v>1.1369589201267477E-8</v>
      </c>
      <c r="ER285" s="28">
        <f t="shared" si="514"/>
        <v>1.3301564991671468</v>
      </c>
      <c r="ES285" s="33"/>
      <c r="EW285" s="31"/>
      <c r="FE285" s="35">
        <f t="shared" si="470"/>
        <v>0</v>
      </c>
      <c r="FF285" s="35">
        <f t="shared" si="488"/>
        <v>0</v>
      </c>
      <c r="FG285" s="15">
        <f t="shared" si="515"/>
        <v>8.2578395668435078E-9</v>
      </c>
      <c r="FH285" s="28">
        <f t="shared" si="516"/>
        <v>1.0407812301399728E-8</v>
      </c>
      <c r="FI285" s="28">
        <f t="shared" si="517"/>
        <v>1.2603553528926246</v>
      </c>
      <c r="FJ285" s="33"/>
      <c r="FN285" s="31"/>
      <c r="FV285" s="35">
        <f t="shared" si="471"/>
        <v>0</v>
      </c>
      <c r="FW285" s="35">
        <f t="shared" si="489"/>
        <v>0</v>
      </c>
      <c r="FX285" s="15">
        <f t="shared" si="518"/>
        <v>7.7738627777355784E-9</v>
      </c>
      <c r="FY285" s="28">
        <f t="shared" si="519"/>
        <v>1.0421524633995937E-8</v>
      </c>
      <c r="FZ285" s="28">
        <f t="shared" si="520"/>
        <v>1.3405851031797589</v>
      </c>
      <c r="GA285" s="33"/>
      <c r="GE285" s="31"/>
      <c r="GM285" s="35">
        <f t="shared" si="472"/>
        <v>0</v>
      </c>
      <c r="GN285" s="35">
        <f t="shared" si="490"/>
        <v>0</v>
      </c>
      <c r="GO285" s="15">
        <f t="shared" si="521"/>
        <v>8.0330196485289357E-9</v>
      </c>
      <c r="GP285" s="28">
        <f t="shared" si="522"/>
        <v>1.0740514639649489E-8</v>
      </c>
      <c r="GQ285" s="28">
        <f t="shared" si="523"/>
        <v>1.3370457324371625</v>
      </c>
      <c r="GR285" s="33"/>
      <c r="GV285" s="31"/>
      <c r="HD285" s="35">
        <f t="shared" si="473"/>
        <v>0</v>
      </c>
      <c r="HE285" s="35">
        <f t="shared" si="491"/>
        <v>0</v>
      </c>
      <c r="HF285" s="15">
        <f t="shared" si="524"/>
        <v>1.1316153170785572E-8</v>
      </c>
      <c r="HG285" s="28">
        <f t="shared" si="525"/>
        <v>7.7907712670136319E-9</v>
      </c>
      <c r="HH285" s="28">
        <f t="shared" si="526"/>
        <v>0.68846463541397906</v>
      </c>
      <c r="HI285" s="33"/>
      <c r="HM285" s="31"/>
      <c r="HU285" s="35">
        <f t="shared" si="474"/>
        <v>0</v>
      </c>
      <c r="HV285" s="35">
        <f t="shared" si="492"/>
        <v>0</v>
      </c>
      <c r="HW285" s="15">
        <f t="shared" si="527"/>
        <v>2.6125438574434812E-17</v>
      </c>
      <c r="HX285" s="28">
        <f t="shared" si="528"/>
        <v>2.7379647177791332E-21</v>
      </c>
      <c r="HY285" s="28">
        <f t="shared" si="529"/>
        <v>1.0480071788951261E-4</v>
      </c>
      <c r="HZ285" s="33"/>
      <c r="ID285" s="31"/>
      <c r="II285" s="12"/>
      <c r="IL285" s="35">
        <f t="shared" si="475"/>
        <v>0</v>
      </c>
      <c r="IM285" s="35">
        <f t="shared" si="476"/>
        <v>5.1939432663942426</v>
      </c>
      <c r="IN285" s="15">
        <f t="shared" si="530"/>
        <v>2.5745829437750959E-9</v>
      </c>
      <c r="IO285" s="28">
        <f t="shared" si="531"/>
        <v>2.0251242652705258E-10</v>
      </c>
      <c r="IP285" s="28">
        <f t="shared" si="532"/>
        <v>7.8658342321692609E-2</v>
      </c>
      <c r="IQ285" s="33"/>
      <c r="IU285" s="31"/>
      <c r="JC285" s="35">
        <f t="shared" si="458"/>
        <v>0</v>
      </c>
      <c r="JD285" s="35">
        <f t="shared" si="477"/>
        <v>6.1346166171827949</v>
      </c>
      <c r="JE285" s="15">
        <f t="shared" si="533"/>
        <v>3.1090172758819264E-9</v>
      </c>
      <c r="JF285" s="28">
        <f t="shared" si="534"/>
        <v>2.5847747285569261E-10</v>
      </c>
      <c r="JG285" s="28">
        <f t="shared" si="535"/>
        <v>8.313799825456776E-2</v>
      </c>
      <c r="JH285" s="33"/>
      <c r="JL285" s="31"/>
      <c r="JR285" s="99"/>
      <c r="JS285" s="99"/>
      <c r="JT285" s="99"/>
      <c r="JU285" s="99"/>
      <c r="JV285" s="99"/>
      <c r="JW285" s="99"/>
      <c r="JX285" s="99"/>
      <c r="JY285" s="99"/>
      <c r="JZ285" s="99"/>
      <c r="KA285" s="99"/>
      <c r="KB285" s="99"/>
      <c r="KC285" s="99"/>
      <c r="KD285" s="99"/>
      <c r="KE285" s="99"/>
      <c r="KF285" s="99"/>
      <c r="KG285" s="99"/>
      <c r="KH285" s="99"/>
      <c r="KI285" s="99"/>
      <c r="KJ285" s="99"/>
      <c r="KK285" s="99"/>
      <c r="KL285" s="99"/>
      <c r="KM285" s="99"/>
      <c r="KN285" s="99"/>
      <c r="KO285" s="99"/>
      <c r="KP285" s="99"/>
      <c r="KQ285" s="99"/>
      <c r="KR285" s="99"/>
      <c r="KS285" s="99"/>
      <c r="KT285" s="99"/>
      <c r="KU285" s="99"/>
      <c r="KV285" s="99"/>
      <c r="KW285" s="99"/>
      <c r="KX285" s="99"/>
      <c r="KY285" s="99"/>
      <c r="KZ285" s="99"/>
      <c r="LA285" s="99"/>
      <c r="LB285" s="99"/>
      <c r="LC285" s="99"/>
      <c r="LD285" s="99"/>
      <c r="LE285" s="99"/>
      <c r="LF285" s="99"/>
      <c r="LG285" s="99"/>
      <c r="LH285" s="99"/>
      <c r="LI285" s="99"/>
      <c r="LJ285" s="99"/>
      <c r="LK285" s="99"/>
      <c r="LL285" s="99"/>
      <c r="LM285" s="99"/>
      <c r="LN285" s="99"/>
      <c r="LO285" s="99"/>
      <c r="LP285" s="99"/>
      <c r="LQ285" s="99"/>
      <c r="LR285" s="99"/>
      <c r="LS285" s="99"/>
      <c r="LT285" s="99"/>
      <c r="LU285" s="99"/>
      <c r="LV285" s="99"/>
      <c r="LW285" s="99"/>
      <c r="LX285" s="99"/>
      <c r="LY285" s="99"/>
      <c r="LZ285" s="99"/>
      <c r="MA285" s="99"/>
      <c r="MB285" s="99"/>
      <c r="MC285" s="99"/>
      <c r="MD285" s="99"/>
      <c r="ME285" s="99"/>
      <c r="MF285" s="99"/>
    </row>
    <row r="286" spans="1:344" ht="17.25" customHeight="1" x14ac:dyDescent="0.25">
      <c r="A286" s="156"/>
      <c r="B286" s="81" t="s">
        <v>3</v>
      </c>
      <c r="C286" s="82">
        <v>45420</v>
      </c>
      <c r="D286" s="49"/>
      <c r="G286" s="89">
        <f t="shared" si="459"/>
        <v>0</v>
      </c>
      <c r="H286" s="35">
        <f t="shared" si="460"/>
        <v>0</v>
      </c>
      <c r="I286" s="39"/>
      <c r="L286" s="89">
        <f t="shared" si="461"/>
        <v>0</v>
      </c>
      <c r="M286" s="35">
        <f t="shared" si="478"/>
        <v>0</v>
      </c>
      <c r="N286" s="35">
        <f t="shared" si="479"/>
        <v>0</v>
      </c>
      <c r="O286" s="97" t="e">
        <f>SUM($Z286,$BH286,$AQ286,$BY286,$CP286,$DG286,$DX286,$EO286,$FF286,$FW286,$GN286)/D286</f>
        <v>#DIV/0!</v>
      </c>
      <c r="P286" s="150"/>
      <c r="Q286" s="132">
        <f t="shared" si="457"/>
        <v>0</v>
      </c>
      <c r="R286" s="134">
        <f t="shared" ref="R286:R318" si="539">SUM(AE286+AJ286+AV286+BA286+BM286+BR286+CD286+CI286+CU286+CZ286+DL286+DQ286+EC286+EH286+ET286+EY286+FK286+FP286+GB286+GG286+GS286+GX286)/10</f>
        <v>0</v>
      </c>
      <c r="S286" s="136">
        <f t="shared" ref="S286:S318" si="540">SUM(AF286+AK286+AW286+BB286+BN286+BS286+CE286+CJ286+CV286+DA286+DM286+DR286+ED286+EI286+EU286+EZ286+FL286+FQ286+GC286+GH286+GT286+GY286)/10</f>
        <v>0</v>
      </c>
      <c r="T286" s="138">
        <f t="shared" ref="T286:T318" si="541">SUM(AG286+AL286+AX286+BC286+BO286+BT286+CF286+CK286+CW286+DB286+DN286+DS286+EE286+EJ286+EV286+FA286+FM286+FR286+GD286+GI286+GU286+GZ286)/10</f>
        <v>0</v>
      </c>
      <c r="U286" s="144">
        <f t="shared" ref="U286:U318" si="542">SUM(AH286+AM286+AY286+BD286+BP286+BU286+CG286+CL286+CX286+DC286+DO286+DT286+EF286+EK286+EW286+FB286+FN286+FS286+GE286+GJ286+GV286+HA286)/10</f>
        <v>0</v>
      </c>
      <c r="W286" s="11">
        <v>0</v>
      </c>
      <c r="X286" s="1">
        <v>0</v>
      </c>
      <c r="Y286" s="35">
        <f t="shared" si="462"/>
        <v>0</v>
      </c>
      <c r="Z286" s="35">
        <f t="shared" si="480"/>
        <v>0</v>
      </c>
      <c r="AA286" s="15">
        <f t="shared" si="493"/>
        <v>1.84826859535079E-11</v>
      </c>
      <c r="AB286" s="43">
        <f t="shared" si="537"/>
        <v>2.840103347507136E-12</v>
      </c>
      <c r="AC286" s="43">
        <f t="shared" si="538"/>
        <v>0.15366291212496103</v>
      </c>
      <c r="AD286" s="33"/>
      <c r="AH286" s="31"/>
      <c r="AP286" s="35">
        <f t="shared" si="463"/>
        <v>0</v>
      </c>
      <c r="AQ286" s="35">
        <f t="shared" si="481"/>
        <v>0</v>
      </c>
      <c r="AR286" s="15">
        <f t="shared" si="494"/>
        <v>5.581588227625653E-9</v>
      </c>
      <c r="AS286" s="28">
        <f t="shared" si="495"/>
        <v>5.9214416595471084E-9</v>
      </c>
      <c r="AT286" s="28">
        <f t="shared" si="496"/>
        <v>1.0608883024081526</v>
      </c>
      <c r="AU286" s="33"/>
      <c r="AY286" s="31"/>
      <c r="BG286" s="35">
        <f t="shared" si="464"/>
        <v>0</v>
      </c>
      <c r="BH286" s="35">
        <f t="shared" si="482"/>
        <v>0</v>
      </c>
      <c r="BI286" s="15">
        <f t="shared" si="497"/>
        <v>7.6871926956593712E-9</v>
      </c>
      <c r="BJ286" s="28">
        <f t="shared" si="498"/>
        <v>9.0965382631181394E-9</v>
      </c>
      <c r="BK286" s="28">
        <f t="shared" si="499"/>
        <v>1.1833368335172039</v>
      </c>
      <c r="BL286" s="33"/>
      <c r="BP286" s="31"/>
      <c r="BX286" s="35">
        <f t="shared" si="465"/>
        <v>0</v>
      </c>
      <c r="BY286" s="35">
        <f t="shared" si="483"/>
        <v>0</v>
      </c>
      <c r="BZ286" s="15">
        <f t="shared" si="500"/>
        <v>5.8450876767844674E-9</v>
      </c>
      <c r="CA286" s="28">
        <f t="shared" si="501"/>
        <v>5.653065130173142E-9</v>
      </c>
      <c r="CB286" s="28">
        <f t="shared" si="502"/>
        <v>0.9671480468335828</v>
      </c>
      <c r="CC286" s="33"/>
      <c r="CG286" s="31"/>
      <c r="CO286" s="35">
        <f t="shared" si="466"/>
        <v>0</v>
      </c>
      <c r="CP286" s="35">
        <f t="shared" si="484"/>
        <v>0</v>
      </c>
      <c r="CQ286" s="15">
        <f t="shared" si="503"/>
        <v>6.4040367776106585E-9</v>
      </c>
      <c r="CR286" s="28">
        <f t="shared" si="504"/>
        <v>7.3153818677279907E-9</v>
      </c>
      <c r="CS286" s="28">
        <f t="shared" si="505"/>
        <v>1.1423079101143692</v>
      </c>
      <c r="CT286" s="33"/>
      <c r="CX286" s="31"/>
      <c r="DF286" s="35">
        <f t="shared" si="467"/>
        <v>0</v>
      </c>
      <c r="DG286" s="35">
        <f t="shared" si="485"/>
        <v>0</v>
      </c>
      <c r="DH286" s="15">
        <f t="shared" si="506"/>
        <v>6.2288346828171626E-9</v>
      </c>
      <c r="DI286" s="28">
        <f t="shared" si="507"/>
        <v>4.4449896273711213E-9</v>
      </c>
      <c r="DJ286" s="28">
        <f t="shared" si="508"/>
        <v>0.7136149623031498</v>
      </c>
      <c r="DK286" s="33"/>
      <c r="DO286" s="31"/>
      <c r="DW286" s="35">
        <f t="shared" si="468"/>
        <v>0</v>
      </c>
      <c r="DX286" s="35">
        <f t="shared" si="486"/>
        <v>0</v>
      </c>
      <c r="DY286" s="15">
        <f t="shared" si="509"/>
        <v>6.4490324381652813E-9</v>
      </c>
      <c r="DZ286" s="28">
        <f t="shared" si="510"/>
        <v>4.3396503796214309E-9</v>
      </c>
      <c r="EA286" s="28">
        <f t="shared" si="511"/>
        <v>0.67291495603890006</v>
      </c>
      <c r="EB286" s="33"/>
      <c r="EF286" s="31"/>
      <c r="EN286" s="35">
        <f t="shared" si="469"/>
        <v>0</v>
      </c>
      <c r="EO286" s="35">
        <f t="shared" si="487"/>
        <v>0</v>
      </c>
      <c r="EP286" s="15">
        <f t="shared" si="512"/>
        <v>6.8855324551660691E-9</v>
      </c>
      <c r="EQ286" s="28">
        <f t="shared" si="513"/>
        <v>8.5271919009506084E-9</v>
      </c>
      <c r="ER286" s="28">
        <f t="shared" si="514"/>
        <v>1.2384215681901023</v>
      </c>
      <c r="ES286" s="33"/>
      <c r="EW286" s="31"/>
      <c r="FE286" s="35">
        <f t="shared" si="470"/>
        <v>0</v>
      </c>
      <c r="FF286" s="35">
        <f t="shared" si="488"/>
        <v>0</v>
      </c>
      <c r="FG286" s="15">
        <f t="shared" si="515"/>
        <v>6.6521485399572696E-9</v>
      </c>
      <c r="FH286" s="28">
        <f t="shared" si="516"/>
        <v>7.8058592260497955E-9</v>
      </c>
      <c r="FI286" s="28">
        <f t="shared" si="517"/>
        <v>1.1734342940724436</v>
      </c>
      <c r="FJ286" s="33"/>
      <c r="FN286" s="31"/>
      <c r="FV286" s="35">
        <f t="shared" si="471"/>
        <v>0</v>
      </c>
      <c r="FW286" s="35">
        <f t="shared" si="489"/>
        <v>0</v>
      </c>
      <c r="FX286" s="15">
        <f t="shared" si="518"/>
        <v>6.2622783487314378E-9</v>
      </c>
      <c r="FY286" s="28">
        <f t="shared" si="519"/>
        <v>7.8161434754969529E-9</v>
      </c>
      <c r="FZ286" s="28">
        <f t="shared" si="520"/>
        <v>1.248130958132879</v>
      </c>
      <c r="GA286" s="33"/>
      <c r="GE286" s="31"/>
      <c r="GM286" s="35">
        <f t="shared" si="472"/>
        <v>0</v>
      </c>
      <c r="GN286" s="35">
        <f t="shared" si="490"/>
        <v>0</v>
      </c>
      <c r="GO286" s="15">
        <f t="shared" si="521"/>
        <v>6.4710436057594207E-9</v>
      </c>
      <c r="GP286" s="28">
        <f t="shared" si="522"/>
        <v>8.0553859797371163E-9</v>
      </c>
      <c r="GQ286" s="28">
        <f t="shared" si="523"/>
        <v>1.2448356819242548</v>
      </c>
      <c r="GR286" s="33"/>
      <c r="GV286" s="31"/>
      <c r="HD286" s="35">
        <f t="shared" si="473"/>
        <v>0</v>
      </c>
      <c r="HE286" s="35">
        <f t="shared" si="491"/>
        <v>0</v>
      </c>
      <c r="HF286" s="15">
        <f t="shared" si="524"/>
        <v>9.1157900542439316E-9</v>
      </c>
      <c r="HG286" s="28">
        <f t="shared" si="525"/>
        <v>5.8430784502602235E-9</v>
      </c>
      <c r="HH286" s="28">
        <f t="shared" si="526"/>
        <v>0.64098431573025638</v>
      </c>
      <c r="HI286" s="33"/>
      <c r="HM286" s="31"/>
      <c r="HU286" s="35">
        <f t="shared" si="474"/>
        <v>0</v>
      </c>
      <c r="HV286" s="35">
        <f t="shared" si="492"/>
        <v>0</v>
      </c>
      <c r="HW286" s="15">
        <f t="shared" si="527"/>
        <v>2.1045492184961377E-17</v>
      </c>
      <c r="HX286" s="28">
        <f t="shared" si="528"/>
        <v>2.0534735383343499E-21</v>
      </c>
      <c r="HY286" s="28">
        <f t="shared" si="529"/>
        <v>9.7573082172994492E-5</v>
      </c>
      <c r="HZ286" s="33"/>
      <c r="ID286" s="31"/>
      <c r="II286" s="12"/>
      <c r="IL286" s="35">
        <f t="shared" si="475"/>
        <v>0</v>
      </c>
      <c r="IM286" s="35">
        <f t="shared" si="476"/>
        <v>4.8357402743154374</v>
      </c>
      <c r="IN286" s="15">
        <f t="shared" si="530"/>
        <v>2.0739695935966054E-9</v>
      </c>
      <c r="IO286" s="28">
        <f t="shared" si="531"/>
        <v>1.5188431989528944E-10</v>
      </c>
      <c r="IP286" s="28">
        <f t="shared" si="532"/>
        <v>7.3233629058127594E-2</v>
      </c>
      <c r="IQ286" s="33"/>
      <c r="IU286" s="31"/>
      <c r="JC286" s="35">
        <f t="shared" si="458"/>
        <v>0</v>
      </c>
      <c r="JD286" s="35">
        <f t="shared" si="477"/>
        <v>5.7115395990454836</v>
      </c>
      <c r="JE286" s="15">
        <f t="shared" si="533"/>
        <v>2.5044861389048849E-9</v>
      </c>
      <c r="JF286" s="28">
        <f t="shared" si="534"/>
        <v>1.9385810464176946E-10</v>
      </c>
      <c r="JG286" s="28">
        <f t="shared" si="535"/>
        <v>7.7404343202528605E-2</v>
      </c>
      <c r="JH286" s="33"/>
      <c r="JL286" s="31"/>
      <c r="JR286" s="99"/>
      <c r="JS286" s="99"/>
      <c r="JT286" s="99"/>
      <c r="JU286" s="99"/>
      <c r="JV286" s="99"/>
      <c r="JW286" s="99"/>
      <c r="JX286" s="99"/>
      <c r="JY286" s="99"/>
      <c r="JZ286" s="99"/>
      <c r="KA286" s="99"/>
      <c r="KB286" s="99"/>
      <c r="KC286" s="99"/>
      <c r="KD286" s="99"/>
      <c r="KE286" s="99"/>
      <c r="KF286" s="99"/>
      <c r="KG286" s="99"/>
      <c r="KH286" s="99"/>
      <c r="KI286" s="99"/>
      <c r="KJ286" s="99"/>
      <c r="KK286" s="99"/>
      <c r="KL286" s="99"/>
      <c r="KM286" s="99"/>
      <c r="KN286" s="99"/>
      <c r="KO286" s="99"/>
      <c r="KP286" s="99"/>
      <c r="KQ286" s="99"/>
      <c r="KR286" s="99"/>
      <c r="KS286" s="99"/>
      <c r="KT286" s="99"/>
      <c r="KU286" s="99"/>
      <c r="KV286" s="99"/>
      <c r="KW286" s="99"/>
      <c r="KX286" s="99"/>
      <c r="KY286" s="99"/>
      <c r="KZ286" s="99"/>
      <c r="LA286" s="99"/>
      <c r="LB286" s="99"/>
      <c r="LC286" s="99"/>
      <c r="LD286" s="99"/>
      <c r="LE286" s="99"/>
      <c r="LF286" s="99"/>
      <c r="LG286" s="99"/>
      <c r="LH286" s="99"/>
      <c r="LI286" s="99"/>
      <c r="LJ286" s="99"/>
      <c r="LK286" s="99"/>
      <c r="LL286" s="99"/>
      <c r="LM286" s="99"/>
      <c r="LN286" s="99"/>
      <c r="LO286" s="99"/>
      <c r="LP286" s="99"/>
      <c r="LQ286" s="99"/>
      <c r="LR286" s="99"/>
      <c r="LS286" s="99"/>
      <c r="LT286" s="99"/>
      <c r="LU286" s="99"/>
      <c r="LV286" s="99"/>
      <c r="LW286" s="99"/>
      <c r="LX286" s="99"/>
      <c r="LY286" s="99"/>
      <c r="LZ286" s="99"/>
      <c r="MA286" s="99"/>
      <c r="MB286" s="99"/>
      <c r="MC286" s="99"/>
      <c r="MD286" s="99"/>
      <c r="ME286" s="99"/>
      <c r="MF286" s="99"/>
    </row>
    <row r="287" spans="1:344" ht="17.25" customHeight="1" x14ac:dyDescent="0.25">
      <c r="A287" s="156"/>
      <c r="B287" s="81" t="s">
        <v>4</v>
      </c>
      <c r="C287" s="82">
        <v>45421</v>
      </c>
      <c r="D287" s="49"/>
      <c r="G287" s="89">
        <f t="shared" si="459"/>
        <v>0</v>
      </c>
      <c r="H287" s="35">
        <f t="shared" si="460"/>
        <v>0</v>
      </c>
      <c r="I287" s="39"/>
      <c r="L287" s="89">
        <f t="shared" si="461"/>
        <v>0</v>
      </c>
      <c r="M287" s="35">
        <f t="shared" si="478"/>
        <v>0</v>
      </c>
      <c r="N287" s="35">
        <f t="shared" si="479"/>
        <v>0</v>
      </c>
      <c r="O287" s="97" t="e">
        <f>SUM($Z287,$BH287,$AQ287,$BY287,$CP287,$DG287,$DX287,$EO287,$FF287,$FW287,$GN287)/D287</f>
        <v>#DIV/0!</v>
      </c>
      <c r="P287" s="150"/>
      <c r="Q287" s="132">
        <f t="shared" ref="Q287:Q318" si="543">SUM(AD287+AI287+AU287+AZ287+BL287+BQ287+CC287+CH287+CT287+CY287+DK287+DP287+EB287+EG287+ES287+EX287+FJ287+FO287+GA287+GF287+GR287+GW287)/10</f>
        <v>0</v>
      </c>
      <c r="R287" s="134">
        <f t="shared" si="539"/>
        <v>0</v>
      </c>
      <c r="S287" s="136">
        <f t="shared" si="540"/>
        <v>0</v>
      </c>
      <c r="T287" s="138">
        <f t="shared" si="541"/>
        <v>0</v>
      </c>
      <c r="U287" s="144">
        <f t="shared" si="542"/>
        <v>0</v>
      </c>
      <c r="W287" s="11">
        <v>0</v>
      </c>
      <c r="X287" s="1">
        <v>0</v>
      </c>
      <c r="Y287" s="35">
        <f t="shared" si="462"/>
        <v>0</v>
      </c>
      <c r="Z287" s="35">
        <f t="shared" si="480"/>
        <v>0</v>
      </c>
      <c r="AA287" s="15">
        <f t="shared" si="493"/>
        <v>1.4888830351436921E-11</v>
      </c>
      <c r="AB287" s="43">
        <f t="shared" si="537"/>
        <v>2.130077510630352E-12</v>
      </c>
      <c r="AC287" s="43">
        <f t="shared" si="538"/>
        <v>0.14306546990944646</v>
      </c>
      <c r="AD287" s="33"/>
      <c r="AH287" s="31"/>
      <c r="AP287" s="35">
        <f t="shared" si="463"/>
        <v>0</v>
      </c>
      <c r="AQ287" s="35">
        <f t="shared" si="481"/>
        <v>0</v>
      </c>
      <c r="AR287" s="15">
        <f t="shared" si="494"/>
        <v>4.496279405587332E-9</v>
      </c>
      <c r="AS287" s="28">
        <f t="shared" si="495"/>
        <v>4.4410812446603309E-9</v>
      </c>
      <c r="AT287" s="28">
        <f t="shared" si="496"/>
        <v>0.98772359189724546</v>
      </c>
      <c r="AU287" s="33"/>
      <c r="AY287" s="31"/>
      <c r="BG287" s="35">
        <f t="shared" si="464"/>
        <v>0</v>
      </c>
      <c r="BH287" s="35">
        <f t="shared" si="482"/>
        <v>0</v>
      </c>
      <c r="BI287" s="15">
        <f t="shared" si="497"/>
        <v>6.1924607826144939E-9</v>
      </c>
      <c r="BJ287" s="28">
        <f t="shared" si="498"/>
        <v>6.8224036973386046E-9</v>
      </c>
      <c r="BK287" s="28">
        <f t="shared" si="499"/>
        <v>1.101727396722914</v>
      </c>
      <c r="BL287" s="33"/>
      <c r="BP287" s="31"/>
      <c r="BX287" s="35">
        <f t="shared" si="465"/>
        <v>0</v>
      </c>
      <c r="BY287" s="35">
        <f t="shared" si="483"/>
        <v>0</v>
      </c>
      <c r="BZ287" s="15">
        <f t="shared" si="500"/>
        <v>4.7085428507430431E-9</v>
      </c>
      <c r="CA287" s="28">
        <f t="shared" si="501"/>
        <v>4.239798847629856E-9</v>
      </c>
      <c r="CB287" s="28">
        <f t="shared" si="502"/>
        <v>0.90044818153471495</v>
      </c>
      <c r="CC287" s="33"/>
      <c r="CG287" s="31"/>
      <c r="CO287" s="35">
        <f t="shared" si="466"/>
        <v>0</v>
      </c>
      <c r="CP287" s="35">
        <f t="shared" si="484"/>
        <v>0</v>
      </c>
      <c r="CQ287" s="15">
        <f t="shared" si="503"/>
        <v>5.1588074041863651E-9</v>
      </c>
      <c r="CR287" s="28">
        <f t="shared" si="504"/>
        <v>5.4865364007959935E-9</v>
      </c>
      <c r="CS287" s="28">
        <f t="shared" si="505"/>
        <v>1.0635280542444125</v>
      </c>
      <c r="CT287" s="33"/>
      <c r="CX287" s="31"/>
      <c r="DF287" s="35">
        <f t="shared" si="467"/>
        <v>0</v>
      </c>
      <c r="DG287" s="35">
        <f t="shared" si="485"/>
        <v>0</v>
      </c>
      <c r="DH287" s="15">
        <f t="shared" si="506"/>
        <v>5.0176723833804919E-9</v>
      </c>
      <c r="DI287" s="28">
        <f t="shared" si="507"/>
        <v>3.333742220528341E-9</v>
      </c>
      <c r="DJ287" s="28">
        <f t="shared" si="508"/>
        <v>0.66440013731672565</v>
      </c>
      <c r="DK287" s="33"/>
      <c r="DO287" s="31"/>
      <c r="DW287" s="35">
        <f t="shared" si="468"/>
        <v>0</v>
      </c>
      <c r="DX287" s="35">
        <f t="shared" si="486"/>
        <v>0</v>
      </c>
      <c r="DY287" s="15">
        <f t="shared" si="509"/>
        <v>5.1950539085220326E-9</v>
      </c>
      <c r="DZ287" s="28">
        <f t="shared" si="510"/>
        <v>3.254737784716073E-9</v>
      </c>
      <c r="EA287" s="28">
        <f t="shared" si="511"/>
        <v>0.62650702803621727</v>
      </c>
      <c r="EB287" s="33"/>
      <c r="EF287" s="31"/>
      <c r="EN287" s="35">
        <f t="shared" si="469"/>
        <v>0</v>
      </c>
      <c r="EO287" s="35">
        <f t="shared" si="487"/>
        <v>0</v>
      </c>
      <c r="EP287" s="15">
        <f t="shared" si="512"/>
        <v>5.5466789222171111E-9</v>
      </c>
      <c r="EQ287" s="28">
        <f t="shared" si="513"/>
        <v>6.3953939257129558E-9</v>
      </c>
      <c r="ER287" s="28">
        <f t="shared" si="514"/>
        <v>1.1530131841769917</v>
      </c>
      <c r="ES287" s="33"/>
      <c r="EW287" s="31"/>
      <c r="FE287" s="35">
        <f t="shared" si="470"/>
        <v>0</v>
      </c>
      <c r="FF287" s="35">
        <f t="shared" si="488"/>
        <v>0</v>
      </c>
      <c r="FG287" s="15">
        <f t="shared" si="515"/>
        <v>5.358675212743356E-9</v>
      </c>
      <c r="FH287" s="28">
        <f t="shared" si="516"/>
        <v>5.8543944195373466E-9</v>
      </c>
      <c r="FI287" s="28">
        <f t="shared" si="517"/>
        <v>1.0925077910329648</v>
      </c>
      <c r="FJ287" s="33"/>
      <c r="FN287" s="31"/>
      <c r="FV287" s="35">
        <f t="shared" si="471"/>
        <v>0</v>
      </c>
      <c r="FW287" s="35">
        <f t="shared" si="489"/>
        <v>0</v>
      </c>
      <c r="FX287" s="15">
        <f t="shared" si="518"/>
        <v>5.0446131142558811E-9</v>
      </c>
      <c r="FY287" s="28">
        <f t="shared" si="519"/>
        <v>5.8621076066227151E-9</v>
      </c>
      <c r="FZ287" s="28">
        <f t="shared" si="520"/>
        <v>1.1620529610202666</v>
      </c>
      <c r="GA287" s="33"/>
      <c r="GE287" s="31"/>
      <c r="GM287" s="35">
        <f t="shared" si="472"/>
        <v>0</v>
      </c>
      <c r="GN287" s="35">
        <f t="shared" si="490"/>
        <v>0</v>
      </c>
      <c r="GO287" s="15">
        <f t="shared" si="521"/>
        <v>5.2127851268617551E-9</v>
      </c>
      <c r="GP287" s="28">
        <f t="shared" si="522"/>
        <v>6.0415394848028368E-9</v>
      </c>
      <c r="GQ287" s="28">
        <f t="shared" si="523"/>
        <v>1.1589849452398233</v>
      </c>
      <c r="GR287" s="33"/>
      <c r="GV287" s="31"/>
      <c r="HD287" s="35">
        <f t="shared" si="473"/>
        <v>0</v>
      </c>
      <c r="HE287" s="35">
        <f t="shared" si="491"/>
        <v>0</v>
      </c>
      <c r="HF287" s="15">
        <f t="shared" si="524"/>
        <v>7.3432753214742796E-9</v>
      </c>
      <c r="HG287" s="28">
        <f t="shared" si="525"/>
        <v>4.3823088376951681E-9</v>
      </c>
      <c r="HH287" s="28">
        <f t="shared" si="526"/>
        <v>0.59677850085230766</v>
      </c>
      <c r="HI287" s="33"/>
      <c r="HM287" s="31"/>
      <c r="HU287" s="35">
        <f t="shared" si="474"/>
        <v>0</v>
      </c>
      <c r="HV287" s="35">
        <f t="shared" si="492"/>
        <v>0</v>
      </c>
      <c r="HW287" s="15">
        <f t="shared" si="527"/>
        <v>1.6953313148996666E-17</v>
      </c>
      <c r="HX287" s="28">
        <f t="shared" si="528"/>
        <v>1.5401051537507623E-21</v>
      </c>
      <c r="HY287" s="28">
        <f t="shared" si="529"/>
        <v>9.0843904092098316E-5</v>
      </c>
      <c r="HZ287" s="33"/>
      <c r="ID287" s="31"/>
      <c r="II287" s="12"/>
      <c r="IL287" s="35">
        <f t="shared" si="475"/>
        <v>0</v>
      </c>
      <c r="IM287" s="35">
        <f t="shared" si="476"/>
        <v>4.5022409387583986</v>
      </c>
      <c r="IN287" s="15">
        <f t="shared" si="530"/>
        <v>1.6706977281750432E-9</v>
      </c>
      <c r="IO287" s="28">
        <f t="shared" si="531"/>
        <v>1.1391323992146708E-10</v>
      </c>
      <c r="IP287" s="28">
        <f t="shared" si="532"/>
        <v>6.8183033950670519E-2</v>
      </c>
      <c r="IQ287" s="33"/>
      <c r="IU287" s="31"/>
      <c r="JC287" s="35">
        <f t="shared" si="458"/>
        <v>0</v>
      </c>
      <c r="JD287" s="35">
        <f t="shared" si="477"/>
        <v>5.3176403086446307</v>
      </c>
      <c r="JE287" s="15">
        <f t="shared" si="533"/>
        <v>2.0175027230067128E-9</v>
      </c>
      <c r="JF287" s="28">
        <f t="shared" si="534"/>
        <v>1.4539357848132708E-10</v>
      </c>
      <c r="JG287" s="28">
        <f t="shared" si="535"/>
        <v>7.2066112636836974E-2</v>
      </c>
      <c r="JH287" s="33"/>
      <c r="JL287" s="31"/>
      <c r="JR287" s="99"/>
      <c r="JS287" s="99"/>
      <c r="JT287" s="99"/>
      <c r="JU287" s="99"/>
      <c r="JV287" s="99"/>
      <c r="JW287" s="99"/>
      <c r="JX287" s="99"/>
      <c r="JY287" s="99"/>
      <c r="JZ287" s="99"/>
      <c r="KA287" s="99"/>
      <c r="KB287" s="99"/>
      <c r="KC287" s="99"/>
      <c r="KD287" s="99"/>
      <c r="KE287" s="99"/>
      <c r="KF287" s="99"/>
      <c r="KG287" s="99"/>
      <c r="KH287" s="99"/>
      <c r="KI287" s="99"/>
      <c r="KJ287" s="99"/>
      <c r="KK287" s="99"/>
      <c r="KL287" s="99"/>
      <c r="KM287" s="99"/>
      <c r="KN287" s="99"/>
      <c r="KO287" s="99"/>
      <c r="KP287" s="99"/>
      <c r="KQ287" s="99"/>
      <c r="KR287" s="99"/>
      <c r="KS287" s="99"/>
      <c r="KT287" s="99"/>
      <c r="KU287" s="99"/>
      <c r="KV287" s="99"/>
      <c r="KW287" s="99"/>
      <c r="KX287" s="99"/>
      <c r="KY287" s="99"/>
      <c r="KZ287" s="99"/>
      <c r="LA287" s="99"/>
      <c r="LB287" s="99"/>
      <c r="LC287" s="99"/>
      <c r="LD287" s="99"/>
      <c r="LE287" s="99"/>
      <c r="LF287" s="99"/>
      <c r="LG287" s="99"/>
      <c r="LH287" s="99"/>
      <c r="LI287" s="99"/>
      <c r="LJ287" s="99"/>
      <c r="LK287" s="99"/>
      <c r="LL287" s="99"/>
      <c r="LM287" s="99"/>
      <c r="LN287" s="99"/>
      <c r="LO287" s="99"/>
      <c r="LP287" s="99"/>
      <c r="LQ287" s="99"/>
      <c r="LR287" s="99"/>
      <c r="LS287" s="99"/>
      <c r="LT287" s="99"/>
      <c r="LU287" s="99"/>
      <c r="LV287" s="99"/>
      <c r="LW287" s="99"/>
      <c r="LX287" s="99"/>
      <c r="LY287" s="99"/>
      <c r="LZ287" s="99"/>
      <c r="MA287" s="99"/>
      <c r="MB287" s="99"/>
      <c r="MC287" s="99"/>
      <c r="MD287" s="99"/>
      <c r="ME287" s="99"/>
      <c r="MF287" s="99"/>
    </row>
    <row r="288" spans="1:344" ht="17.25" customHeight="1" x14ac:dyDescent="0.25">
      <c r="A288" s="156"/>
      <c r="B288" s="81" t="s">
        <v>5</v>
      </c>
      <c r="C288" s="82">
        <v>45422</v>
      </c>
      <c r="D288" s="49"/>
      <c r="G288" s="89">
        <f t="shared" si="459"/>
        <v>0</v>
      </c>
      <c r="H288" s="35">
        <f t="shared" si="460"/>
        <v>0</v>
      </c>
      <c r="I288" s="39"/>
      <c r="L288" s="89">
        <f t="shared" si="461"/>
        <v>0</v>
      </c>
      <c r="M288" s="35">
        <f t="shared" si="478"/>
        <v>0</v>
      </c>
      <c r="N288" s="35">
        <f t="shared" si="479"/>
        <v>0</v>
      </c>
      <c r="O288" s="97" t="e">
        <f>SUM($Z288,$BH288,$AQ288,$BY288,$CP288,$DG288,$DX288,$EO288,$FF288,$FW288,$GN288)/D288</f>
        <v>#DIV/0!</v>
      </c>
      <c r="P288" s="150"/>
      <c r="Q288" s="132">
        <f t="shared" si="543"/>
        <v>0</v>
      </c>
      <c r="R288" s="134">
        <f t="shared" si="539"/>
        <v>0</v>
      </c>
      <c r="S288" s="136">
        <f t="shared" si="540"/>
        <v>0</v>
      </c>
      <c r="T288" s="138">
        <f t="shared" si="541"/>
        <v>0</v>
      </c>
      <c r="U288" s="144">
        <f t="shared" si="542"/>
        <v>0</v>
      </c>
      <c r="W288" s="11">
        <v>0</v>
      </c>
      <c r="X288" s="1">
        <v>0</v>
      </c>
      <c r="Y288" s="35">
        <f t="shared" si="462"/>
        <v>0</v>
      </c>
      <c r="Z288" s="35">
        <f t="shared" si="480"/>
        <v>0</v>
      </c>
      <c r="AA288" s="15">
        <f t="shared" si="493"/>
        <v>1.1993780005324188E-11</v>
      </c>
      <c r="AB288" s="43">
        <f t="shared" si="537"/>
        <v>1.597558132972764E-12</v>
      </c>
      <c r="AC288" s="43">
        <f t="shared" si="538"/>
        <v>0.13319888577776048</v>
      </c>
      <c r="AD288" s="33"/>
      <c r="AH288" s="31"/>
      <c r="AP288" s="35">
        <f t="shared" si="463"/>
        <v>0</v>
      </c>
      <c r="AQ288" s="35">
        <f t="shared" si="481"/>
        <v>0</v>
      </c>
      <c r="AR288" s="15">
        <f t="shared" si="494"/>
        <v>3.6220028545009058E-9</v>
      </c>
      <c r="AS288" s="28">
        <f t="shared" si="495"/>
        <v>3.3308109334952482E-9</v>
      </c>
      <c r="AT288" s="28">
        <f t="shared" si="496"/>
        <v>0.9196047234905389</v>
      </c>
      <c r="AU288" s="33"/>
      <c r="AY288" s="31"/>
      <c r="BG288" s="35">
        <f t="shared" si="464"/>
        <v>0</v>
      </c>
      <c r="BH288" s="35">
        <f t="shared" si="482"/>
        <v>0</v>
      </c>
      <c r="BI288" s="15">
        <f t="shared" si="497"/>
        <v>4.988371185995009E-9</v>
      </c>
      <c r="BJ288" s="28">
        <f t="shared" si="498"/>
        <v>5.1168027730039536E-9</v>
      </c>
      <c r="BK288" s="28">
        <f t="shared" si="499"/>
        <v>1.0257461969489199</v>
      </c>
      <c r="BL288" s="33"/>
      <c r="BP288" s="31"/>
      <c r="BX288" s="35">
        <f t="shared" si="465"/>
        <v>0</v>
      </c>
      <c r="BY288" s="35">
        <f t="shared" si="483"/>
        <v>0</v>
      </c>
      <c r="BZ288" s="15">
        <f t="shared" si="500"/>
        <v>3.792992851987451E-9</v>
      </c>
      <c r="CA288" s="28">
        <f t="shared" si="501"/>
        <v>3.179849135722392E-9</v>
      </c>
      <c r="CB288" s="28">
        <f t="shared" si="502"/>
        <v>0.83834830694611395</v>
      </c>
      <c r="CC288" s="33"/>
      <c r="CG288" s="31"/>
      <c r="CO288" s="35">
        <f t="shared" si="466"/>
        <v>0</v>
      </c>
      <c r="CP288" s="35">
        <f t="shared" si="484"/>
        <v>0</v>
      </c>
      <c r="CQ288" s="15">
        <f t="shared" si="503"/>
        <v>4.1557059644834617E-9</v>
      </c>
      <c r="CR288" s="28">
        <f t="shared" si="504"/>
        <v>4.1149023005969955E-9</v>
      </c>
      <c r="CS288" s="28">
        <f t="shared" si="505"/>
        <v>0.99018129188272885</v>
      </c>
      <c r="CT288" s="33"/>
      <c r="CX288" s="31"/>
      <c r="DF288" s="35">
        <f t="shared" si="467"/>
        <v>0</v>
      </c>
      <c r="DG288" s="35">
        <f t="shared" si="485"/>
        <v>0</v>
      </c>
      <c r="DH288" s="15">
        <f t="shared" si="506"/>
        <v>4.0420138643898409E-9</v>
      </c>
      <c r="DI288" s="28">
        <f t="shared" si="507"/>
        <v>2.5003066653962559E-9</v>
      </c>
      <c r="DJ288" s="28">
        <f t="shared" si="508"/>
        <v>0.61857943819143424</v>
      </c>
      <c r="DK288" s="33"/>
      <c r="DO288" s="31"/>
      <c r="DW288" s="35">
        <f t="shared" si="468"/>
        <v>0</v>
      </c>
      <c r="DX288" s="35">
        <f t="shared" si="486"/>
        <v>0</v>
      </c>
      <c r="DY288" s="15">
        <f t="shared" si="509"/>
        <v>4.184904537420526E-9</v>
      </c>
      <c r="DZ288" s="28">
        <f t="shared" si="510"/>
        <v>2.4410533385370549E-9</v>
      </c>
      <c r="EA288" s="28">
        <f t="shared" si="511"/>
        <v>0.58329964679234025</v>
      </c>
      <c r="EB288" s="33"/>
      <c r="EF288" s="31"/>
      <c r="EN288" s="35">
        <f t="shared" si="469"/>
        <v>0</v>
      </c>
      <c r="EO288" s="35">
        <f t="shared" si="487"/>
        <v>0</v>
      </c>
      <c r="EP288" s="15">
        <f t="shared" si="512"/>
        <v>4.4681580206748945E-9</v>
      </c>
      <c r="EQ288" s="28">
        <f t="shared" si="513"/>
        <v>4.7965454442847169E-9</v>
      </c>
      <c r="ER288" s="28">
        <f t="shared" si="514"/>
        <v>1.0734950335440958</v>
      </c>
      <c r="ES288" s="33"/>
      <c r="EW288" s="31"/>
      <c r="FE288" s="35">
        <f t="shared" si="470"/>
        <v>0</v>
      </c>
      <c r="FF288" s="35">
        <f t="shared" si="488"/>
        <v>0</v>
      </c>
      <c r="FG288" s="15">
        <f t="shared" si="515"/>
        <v>4.3167105880432592E-9</v>
      </c>
      <c r="FH288" s="28">
        <f t="shared" si="516"/>
        <v>4.3907958146530104E-9</v>
      </c>
      <c r="FI288" s="28">
        <f t="shared" si="517"/>
        <v>1.0171624261341397</v>
      </c>
      <c r="FJ288" s="33"/>
      <c r="FN288" s="31"/>
      <c r="FV288" s="35">
        <f t="shared" si="471"/>
        <v>0</v>
      </c>
      <c r="FW288" s="35">
        <f t="shared" si="489"/>
        <v>0</v>
      </c>
      <c r="FX288" s="15">
        <f t="shared" si="518"/>
        <v>4.0637161198172379E-9</v>
      </c>
      <c r="FY288" s="28">
        <f t="shared" si="519"/>
        <v>4.3965807049670359E-9</v>
      </c>
      <c r="FZ288" s="28">
        <f t="shared" si="520"/>
        <v>1.0819113775016274</v>
      </c>
      <c r="GA288" s="33"/>
      <c r="GE288" s="31"/>
      <c r="GM288" s="35">
        <f t="shared" si="472"/>
        <v>0</v>
      </c>
      <c r="GN288" s="35">
        <f t="shared" si="490"/>
        <v>0</v>
      </c>
      <c r="GO288" s="15">
        <f t="shared" si="521"/>
        <v>4.1991880188608583E-9</v>
      </c>
      <c r="GP288" s="28">
        <f t="shared" si="522"/>
        <v>4.5311546136021272E-9</v>
      </c>
      <c r="GQ288" s="28">
        <f t="shared" si="523"/>
        <v>1.0790549490163872</v>
      </c>
      <c r="GR288" s="33"/>
      <c r="GV288" s="31"/>
      <c r="HD288" s="35">
        <f t="shared" si="473"/>
        <v>0</v>
      </c>
      <c r="HE288" s="35">
        <f t="shared" si="491"/>
        <v>0</v>
      </c>
      <c r="HF288" s="15">
        <f t="shared" si="524"/>
        <v>5.915416231187614E-9</v>
      </c>
      <c r="HG288" s="28">
        <f t="shared" si="525"/>
        <v>3.2867316282713761E-9</v>
      </c>
      <c r="HH288" s="28">
        <f t="shared" si="526"/>
        <v>0.55562136286249331</v>
      </c>
      <c r="HI288" s="33"/>
      <c r="HM288" s="31"/>
      <c r="HU288" s="35">
        <f t="shared" si="474"/>
        <v>0</v>
      </c>
      <c r="HV288" s="35">
        <f t="shared" si="492"/>
        <v>0</v>
      </c>
      <c r="HW288" s="15">
        <f t="shared" si="527"/>
        <v>1.3656835592247313E-17</v>
      </c>
      <c r="HX288" s="28">
        <f t="shared" si="528"/>
        <v>1.1550788653130716E-21</v>
      </c>
      <c r="HY288" s="28">
        <f t="shared" si="529"/>
        <v>8.4578807258160494E-5</v>
      </c>
      <c r="HZ288" s="33"/>
      <c r="ID288" s="31"/>
      <c r="II288" s="12"/>
      <c r="IL288" s="35">
        <f t="shared" si="475"/>
        <v>0</v>
      </c>
      <c r="IM288" s="35">
        <f t="shared" si="476"/>
        <v>4.1917415588289444</v>
      </c>
      <c r="IN288" s="15">
        <f t="shared" si="530"/>
        <v>1.3458398365854515E-9</v>
      </c>
      <c r="IO288" s="28">
        <f t="shared" si="531"/>
        <v>8.5434929941100306E-11</v>
      </c>
      <c r="IP288" s="28">
        <f t="shared" si="532"/>
        <v>6.3480755747176001E-2</v>
      </c>
      <c r="IQ288" s="33"/>
      <c r="IU288" s="31"/>
      <c r="JC288" s="35">
        <f t="shared" si="458"/>
        <v>0</v>
      </c>
      <c r="JD288" s="35">
        <f t="shared" si="477"/>
        <v>4.9509064883403715</v>
      </c>
      <c r="JE288" s="15">
        <f t="shared" si="533"/>
        <v>1.6252105268665188E-9</v>
      </c>
      <c r="JF288" s="28">
        <f t="shared" si="534"/>
        <v>1.0904518386099531E-10</v>
      </c>
      <c r="JG288" s="28">
        <f t="shared" si="535"/>
        <v>6.7096035903262005E-2</v>
      </c>
      <c r="JH288" s="33"/>
      <c r="JL288" s="31"/>
      <c r="JR288" s="99"/>
      <c r="JS288" s="99"/>
      <c r="JT288" s="99"/>
      <c r="JU288" s="99"/>
      <c r="JV288" s="99"/>
      <c r="JW288" s="99"/>
      <c r="JX288" s="99"/>
      <c r="JY288" s="99"/>
      <c r="JZ288" s="99"/>
      <c r="KA288" s="99"/>
      <c r="KB288" s="99"/>
      <c r="KC288" s="99"/>
      <c r="KD288" s="99"/>
      <c r="KE288" s="99"/>
      <c r="KF288" s="99"/>
      <c r="KG288" s="99"/>
      <c r="KH288" s="99"/>
      <c r="KI288" s="99"/>
      <c r="KJ288" s="99"/>
      <c r="KK288" s="99"/>
      <c r="KL288" s="99"/>
      <c r="KM288" s="99"/>
      <c r="KN288" s="99"/>
      <c r="KO288" s="99"/>
      <c r="KP288" s="99"/>
      <c r="KQ288" s="99"/>
      <c r="KR288" s="99"/>
      <c r="KS288" s="99"/>
      <c r="KT288" s="99"/>
      <c r="KU288" s="99"/>
      <c r="KV288" s="99"/>
      <c r="KW288" s="99"/>
      <c r="KX288" s="99"/>
      <c r="KY288" s="99"/>
      <c r="KZ288" s="99"/>
      <c r="LA288" s="99"/>
      <c r="LB288" s="99"/>
      <c r="LC288" s="99"/>
      <c r="LD288" s="99"/>
      <c r="LE288" s="99"/>
      <c r="LF288" s="99"/>
      <c r="LG288" s="99"/>
      <c r="LH288" s="99"/>
      <c r="LI288" s="99"/>
      <c r="LJ288" s="99"/>
      <c r="LK288" s="99"/>
      <c r="LL288" s="99"/>
      <c r="LM288" s="99"/>
      <c r="LN288" s="99"/>
      <c r="LO288" s="99"/>
      <c r="LP288" s="99"/>
      <c r="LQ288" s="99"/>
      <c r="LR288" s="99"/>
      <c r="LS288" s="99"/>
      <c r="LT288" s="99"/>
      <c r="LU288" s="99"/>
      <c r="LV288" s="99"/>
      <c r="LW288" s="99"/>
      <c r="LX288" s="99"/>
      <c r="LY288" s="99"/>
      <c r="LZ288" s="99"/>
      <c r="MA288" s="99"/>
      <c r="MB288" s="99"/>
      <c r="MC288" s="99"/>
      <c r="MD288" s="99"/>
      <c r="ME288" s="99"/>
      <c r="MF288" s="99"/>
    </row>
    <row r="289" spans="1:344" ht="17.25" customHeight="1" x14ac:dyDescent="0.25">
      <c r="A289" s="156"/>
      <c r="B289" s="81" t="s">
        <v>6</v>
      </c>
      <c r="C289" s="82">
        <v>45423</v>
      </c>
      <c r="D289" s="49"/>
      <c r="G289" s="89">
        <f t="shared" si="459"/>
        <v>0</v>
      </c>
      <c r="H289" s="35">
        <f t="shared" si="460"/>
        <v>0</v>
      </c>
      <c r="I289" s="39"/>
      <c r="L289" s="89">
        <f t="shared" si="461"/>
        <v>0</v>
      </c>
      <c r="M289" s="35">
        <f t="shared" si="478"/>
        <v>0</v>
      </c>
      <c r="N289" s="35">
        <f t="shared" si="479"/>
        <v>0</v>
      </c>
      <c r="O289" s="97" t="e">
        <f>SUM($Z289,$BH289,$AQ289,$BY289,$CP289,$DG289,$DX289,$EO289,$FF289,$FW289,$GN289)/D289</f>
        <v>#DIV/0!</v>
      </c>
      <c r="P289" s="150"/>
      <c r="Q289" s="132">
        <f t="shared" si="543"/>
        <v>0</v>
      </c>
      <c r="R289" s="134">
        <f t="shared" si="539"/>
        <v>0</v>
      </c>
      <c r="S289" s="136">
        <f t="shared" si="540"/>
        <v>0</v>
      </c>
      <c r="T289" s="138">
        <f t="shared" si="541"/>
        <v>0</v>
      </c>
      <c r="U289" s="144">
        <f t="shared" si="542"/>
        <v>0</v>
      </c>
      <c r="W289" s="11">
        <v>0</v>
      </c>
      <c r="X289" s="1">
        <v>0</v>
      </c>
      <c r="Y289" s="35">
        <f t="shared" si="462"/>
        <v>0</v>
      </c>
      <c r="Z289" s="35">
        <f t="shared" si="480"/>
        <v>0</v>
      </c>
      <c r="AA289" s="15">
        <f t="shared" si="493"/>
        <v>9.6616561154000415E-12</v>
      </c>
      <c r="AB289" s="43">
        <f t="shared" si="537"/>
        <v>1.1981685997295731E-12</v>
      </c>
      <c r="AC289" s="43">
        <f t="shared" si="538"/>
        <v>0.12401275572412182</v>
      </c>
      <c r="AD289" s="33"/>
      <c r="AH289" s="31"/>
      <c r="AP289" s="35">
        <f t="shared" si="463"/>
        <v>0</v>
      </c>
      <c r="AQ289" s="35">
        <f t="shared" si="481"/>
        <v>0</v>
      </c>
      <c r="AR289" s="15">
        <f t="shared" si="494"/>
        <v>2.9177245216812851E-9</v>
      </c>
      <c r="AS289" s="28">
        <f t="shared" si="495"/>
        <v>2.4981082001214359E-9</v>
      </c>
      <c r="AT289" s="28">
        <f t="shared" si="496"/>
        <v>0.8561837080773983</v>
      </c>
      <c r="AU289" s="33"/>
      <c r="AY289" s="31"/>
      <c r="BG289" s="35">
        <f t="shared" si="464"/>
        <v>0</v>
      </c>
      <c r="BH289" s="35">
        <f t="shared" si="482"/>
        <v>0</v>
      </c>
      <c r="BI289" s="15">
        <f t="shared" si="497"/>
        <v>4.018410122051535E-9</v>
      </c>
      <c r="BJ289" s="28">
        <f t="shared" si="498"/>
        <v>3.8376020797529652E-9</v>
      </c>
      <c r="BK289" s="28">
        <f t="shared" si="499"/>
        <v>0.95500507991795991</v>
      </c>
      <c r="BL289" s="33"/>
      <c r="BP289" s="31"/>
      <c r="BX289" s="35">
        <f t="shared" si="465"/>
        <v>0</v>
      </c>
      <c r="BY289" s="35">
        <f t="shared" si="483"/>
        <v>0</v>
      </c>
      <c r="BZ289" s="15">
        <f t="shared" si="500"/>
        <v>3.0554664641010022E-9</v>
      </c>
      <c r="CA289" s="28">
        <f t="shared" si="501"/>
        <v>2.3848868517917938E-9</v>
      </c>
      <c r="CB289" s="28">
        <f t="shared" si="502"/>
        <v>0.78053118232914054</v>
      </c>
      <c r="CC289" s="33"/>
      <c r="CG289" s="31"/>
      <c r="CO289" s="35">
        <f t="shared" si="466"/>
        <v>0</v>
      </c>
      <c r="CP289" s="35">
        <f t="shared" si="484"/>
        <v>0</v>
      </c>
      <c r="CQ289" s="15">
        <f t="shared" si="503"/>
        <v>3.3476520269450109E-9</v>
      </c>
      <c r="CR289" s="28">
        <f t="shared" si="504"/>
        <v>3.0861767254477466E-9</v>
      </c>
      <c r="CS289" s="28">
        <f t="shared" si="505"/>
        <v>0.92189292692529923</v>
      </c>
      <c r="CT289" s="33"/>
      <c r="CX289" s="31"/>
      <c r="DF289" s="35">
        <f t="shared" si="467"/>
        <v>0</v>
      </c>
      <c r="DG289" s="35">
        <f t="shared" si="485"/>
        <v>0</v>
      </c>
      <c r="DH289" s="15">
        <f t="shared" si="506"/>
        <v>3.256066724091817E-9</v>
      </c>
      <c r="DI289" s="28">
        <f t="shared" si="507"/>
        <v>1.8752299990471921E-9</v>
      </c>
      <c r="DJ289" s="28">
        <f t="shared" si="508"/>
        <v>0.57591878728168011</v>
      </c>
      <c r="DK289" s="33"/>
      <c r="DO289" s="31"/>
      <c r="DW289" s="35">
        <f t="shared" si="468"/>
        <v>0</v>
      </c>
      <c r="DX289" s="35">
        <f t="shared" si="486"/>
        <v>0</v>
      </c>
      <c r="DY289" s="15">
        <f t="shared" si="509"/>
        <v>3.3711730995887574E-9</v>
      </c>
      <c r="DZ289" s="28">
        <f t="shared" si="510"/>
        <v>1.8307900039027912E-9</v>
      </c>
      <c r="EA289" s="28">
        <f t="shared" si="511"/>
        <v>0.54307208494459258</v>
      </c>
      <c r="EB289" s="33"/>
      <c r="EF289" s="31"/>
      <c r="EN289" s="35">
        <f t="shared" si="469"/>
        <v>0</v>
      </c>
      <c r="EO289" s="35">
        <f t="shared" si="487"/>
        <v>0</v>
      </c>
      <c r="EP289" s="15">
        <f t="shared" si="512"/>
        <v>3.5993495166547769E-9</v>
      </c>
      <c r="EQ289" s="28">
        <f t="shared" si="513"/>
        <v>3.5974090832135379E-9</v>
      </c>
      <c r="ER289" s="28">
        <f t="shared" si="514"/>
        <v>0.99946089329967536</v>
      </c>
      <c r="ES289" s="33"/>
      <c r="EW289" s="31"/>
      <c r="FE289" s="35">
        <f t="shared" si="470"/>
        <v>0</v>
      </c>
      <c r="FF289" s="35">
        <f t="shared" si="488"/>
        <v>0</v>
      </c>
      <c r="FG289" s="15">
        <f t="shared" si="515"/>
        <v>3.4773501959237369E-9</v>
      </c>
      <c r="FH289" s="28">
        <f t="shared" si="516"/>
        <v>3.2930968609897578E-9</v>
      </c>
      <c r="FI289" s="28">
        <f t="shared" si="517"/>
        <v>0.94701329329730244</v>
      </c>
      <c r="FJ289" s="33"/>
      <c r="FN289" s="31"/>
      <c r="FV289" s="35">
        <f t="shared" si="471"/>
        <v>0</v>
      </c>
      <c r="FW289" s="35">
        <f t="shared" si="489"/>
        <v>0</v>
      </c>
      <c r="FX289" s="15">
        <f t="shared" si="518"/>
        <v>3.2735490965194418E-9</v>
      </c>
      <c r="FY289" s="28">
        <f t="shared" si="519"/>
        <v>3.2974355287252769E-9</v>
      </c>
      <c r="FZ289" s="28">
        <f t="shared" si="520"/>
        <v>1.0072967997428943</v>
      </c>
      <c r="GA289" s="33"/>
      <c r="GE289" s="31"/>
      <c r="GM289" s="35">
        <f t="shared" si="472"/>
        <v>0</v>
      </c>
      <c r="GN289" s="35">
        <f t="shared" si="490"/>
        <v>0</v>
      </c>
      <c r="GO289" s="15">
        <f t="shared" si="521"/>
        <v>3.3826792374156914E-9</v>
      </c>
      <c r="GP289" s="28">
        <f t="shared" si="522"/>
        <v>3.3983659602015954E-9</v>
      </c>
      <c r="GQ289" s="28">
        <f t="shared" si="523"/>
        <v>1.0046373663256019</v>
      </c>
      <c r="GR289" s="33"/>
      <c r="GV289" s="31"/>
      <c r="HD289" s="35">
        <f t="shared" si="473"/>
        <v>0</v>
      </c>
      <c r="HE289" s="35">
        <f t="shared" si="491"/>
        <v>0</v>
      </c>
      <c r="HF289" s="15">
        <f t="shared" si="524"/>
        <v>4.7651964084566898E-9</v>
      </c>
      <c r="HG289" s="28">
        <f t="shared" si="525"/>
        <v>2.465048721203532E-9</v>
      </c>
      <c r="HH289" s="28">
        <f t="shared" si="526"/>
        <v>0.5173026481823213</v>
      </c>
      <c r="HI289" s="33"/>
      <c r="HM289" s="31"/>
      <c r="HU289" s="35">
        <f t="shared" si="474"/>
        <v>0</v>
      </c>
      <c r="HV289" s="35">
        <f t="shared" si="492"/>
        <v>0</v>
      </c>
      <c r="HW289" s="15">
        <f t="shared" si="527"/>
        <v>1.1001339782643669E-17</v>
      </c>
      <c r="HX289" s="28">
        <f t="shared" si="528"/>
        <v>8.6630914898480373E-22</v>
      </c>
      <c r="HY289" s="28">
        <f t="shared" si="529"/>
        <v>7.8745786067942528E-5</v>
      </c>
      <c r="HZ289" s="33"/>
      <c r="ID289" s="31"/>
      <c r="II289" s="12"/>
      <c r="IL289" s="35">
        <f t="shared" si="475"/>
        <v>0</v>
      </c>
      <c r="IM289" s="35">
        <f t="shared" si="476"/>
        <v>3.9026559303516497</v>
      </c>
      <c r="IN289" s="15">
        <f t="shared" si="530"/>
        <v>1.0841487572493915E-9</v>
      </c>
      <c r="IO289" s="28">
        <f t="shared" si="531"/>
        <v>6.4076197455825226E-11</v>
      </c>
      <c r="IP289" s="28">
        <f t="shared" si="532"/>
        <v>5.9102772592198344E-2</v>
      </c>
      <c r="IQ289" s="33"/>
      <c r="IU289" s="31"/>
      <c r="JC289" s="35">
        <f t="shared" si="458"/>
        <v>0</v>
      </c>
      <c r="JD289" s="35">
        <f t="shared" si="477"/>
        <v>4.6094646570141595</v>
      </c>
      <c r="JE289" s="15">
        <f t="shared" si="533"/>
        <v>1.3091973688646957E-9</v>
      </c>
      <c r="JF289" s="28">
        <f t="shared" si="534"/>
        <v>8.1783887895746482E-11</v>
      </c>
      <c r="JG289" s="28">
        <f t="shared" si="535"/>
        <v>6.2468723082347383E-2</v>
      </c>
      <c r="JH289" s="33"/>
      <c r="JL289" s="31"/>
      <c r="JR289" s="99"/>
      <c r="JS289" s="99"/>
      <c r="JT289" s="99"/>
      <c r="JU289" s="99"/>
      <c r="JV289" s="99"/>
      <c r="JW289" s="99"/>
      <c r="JX289" s="99"/>
      <c r="JY289" s="99"/>
      <c r="JZ289" s="99"/>
      <c r="KA289" s="99"/>
      <c r="KB289" s="99"/>
      <c r="KC289" s="99"/>
      <c r="KD289" s="99"/>
      <c r="KE289" s="99"/>
      <c r="KF289" s="99"/>
      <c r="KG289" s="99"/>
      <c r="KH289" s="99"/>
      <c r="KI289" s="99"/>
      <c r="KJ289" s="99"/>
      <c r="KK289" s="99"/>
      <c r="KL289" s="99"/>
      <c r="KM289" s="99"/>
      <c r="KN289" s="99"/>
      <c r="KO289" s="99"/>
      <c r="KP289" s="99"/>
      <c r="KQ289" s="99"/>
      <c r="KR289" s="99"/>
      <c r="KS289" s="99"/>
      <c r="KT289" s="99"/>
      <c r="KU289" s="99"/>
      <c r="KV289" s="99"/>
      <c r="KW289" s="99"/>
      <c r="KX289" s="99"/>
      <c r="KY289" s="99"/>
      <c r="KZ289" s="99"/>
      <c r="LA289" s="99"/>
      <c r="LB289" s="99"/>
      <c r="LC289" s="99"/>
      <c r="LD289" s="99"/>
      <c r="LE289" s="99"/>
      <c r="LF289" s="99"/>
      <c r="LG289" s="99"/>
      <c r="LH289" s="99"/>
      <c r="LI289" s="99"/>
      <c r="LJ289" s="99"/>
      <c r="LK289" s="99"/>
      <c r="LL289" s="99"/>
      <c r="LM289" s="99"/>
      <c r="LN289" s="99"/>
      <c r="LO289" s="99"/>
      <c r="LP289" s="99"/>
      <c r="LQ289" s="99"/>
      <c r="LR289" s="99"/>
      <c r="LS289" s="99"/>
      <c r="LT289" s="99"/>
      <c r="LU289" s="99"/>
      <c r="LV289" s="99"/>
      <c r="LW289" s="99"/>
      <c r="LX289" s="99"/>
      <c r="LY289" s="99"/>
      <c r="LZ289" s="99"/>
      <c r="MA289" s="99"/>
      <c r="MB289" s="99"/>
      <c r="MC289" s="99"/>
      <c r="MD289" s="99"/>
      <c r="ME289" s="99"/>
      <c r="MF289" s="99"/>
    </row>
    <row r="290" spans="1:344" ht="17.25" customHeight="1" x14ac:dyDescent="0.25">
      <c r="A290" s="157"/>
      <c r="B290" s="83" t="s">
        <v>7</v>
      </c>
      <c r="C290" s="84">
        <v>45424</v>
      </c>
      <c r="D290" s="51"/>
      <c r="E290" s="48"/>
      <c r="F290" s="104"/>
      <c r="G290" s="37">
        <f t="shared" si="459"/>
        <v>0</v>
      </c>
      <c r="H290" s="26">
        <f t="shared" si="460"/>
        <v>0</v>
      </c>
      <c r="I290" s="48"/>
      <c r="J290" s="48"/>
      <c r="K290" s="104"/>
      <c r="L290" s="37">
        <f t="shared" si="461"/>
        <v>0</v>
      </c>
      <c r="M290" s="26">
        <f t="shared" si="478"/>
        <v>0</v>
      </c>
      <c r="N290" s="26">
        <f t="shared" si="479"/>
        <v>0</v>
      </c>
      <c r="O290" s="98" t="e">
        <f>SUM($Z290,$BH290,$AQ290,$BY290,$CP290,$DG290,$DX290,$EO290,$FF290,$FW290,$GN290)/D290</f>
        <v>#DIV/0!</v>
      </c>
      <c r="P290" s="151"/>
      <c r="Q290" s="139">
        <f t="shared" si="543"/>
        <v>0</v>
      </c>
      <c r="R290" s="140">
        <f t="shared" si="539"/>
        <v>0</v>
      </c>
      <c r="S290" s="141">
        <f t="shared" si="540"/>
        <v>0</v>
      </c>
      <c r="T290" s="142">
        <f t="shared" si="541"/>
        <v>0</v>
      </c>
      <c r="U290" s="145">
        <f t="shared" si="542"/>
        <v>0</v>
      </c>
      <c r="V290" s="23"/>
      <c r="W290" s="13">
        <v>0</v>
      </c>
      <c r="X290" s="2">
        <v>0</v>
      </c>
      <c r="Y290" s="26">
        <f t="shared" si="462"/>
        <v>0</v>
      </c>
      <c r="Z290" s="26">
        <f t="shared" si="480"/>
        <v>0</v>
      </c>
      <c r="AA290" s="16">
        <f t="shared" si="493"/>
        <v>7.7830007596278103E-12</v>
      </c>
      <c r="AB290" s="44">
        <f t="shared" si="537"/>
        <v>8.9862644979717975E-13</v>
      </c>
      <c r="AC290" s="44">
        <f t="shared" si="538"/>
        <v>0.11546015188107893</v>
      </c>
      <c r="AD290" s="34"/>
      <c r="AE290" s="4"/>
      <c r="AF290" s="5"/>
      <c r="AG290" s="6"/>
      <c r="AH290" s="32"/>
      <c r="AI290" s="3"/>
      <c r="AJ290" s="4"/>
      <c r="AK290" s="5"/>
      <c r="AL290" s="6"/>
      <c r="AM290" s="14"/>
      <c r="AN290" s="13"/>
      <c r="AO290" s="2"/>
      <c r="AP290" s="26">
        <f t="shared" si="463"/>
        <v>0</v>
      </c>
      <c r="AQ290" s="26">
        <f t="shared" si="481"/>
        <v>0</v>
      </c>
      <c r="AR290" s="16">
        <f t="shared" si="494"/>
        <v>2.3503891980210357E-9</v>
      </c>
      <c r="AS290" s="29">
        <f t="shared" si="495"/>
        <v>1.8735811500910771E-9</v>
      </c>
      <c r="AT290" s="29">
        <f t="shared" si="496"/>
        <v>0.79713655579619835</v>
      </c>
      <c r="AU290" s="34"/>
      <c r="AV290" s="4"/>
      <c r="AW290" s="5"/>
      <c r="AX290" s="6"/>
      <c r="AY290" s="32"/>
      <c r="AZ290" s="3"/>
      <c r="BA290" s="4"/>
      <c r="BB290" s="5"/>
      <c r="BC290" s="6"/>
      <c r="BD290" s="14"/>
      <c r="BE290" s="13"/>
      <c r="BF290" s="2"/>
      <c r="BG290" s="26">
        <f t="shared" si="464"/>
        <v>0</v>
      </c>
      <c r="BH290" s="26">
        <f t="shared" si="482"/>
        <v>0</v>
      </c>
      <c r="BI290" s="16">
        <f t="shared" si="497"/>
        <v>3.2370525983192919E-9</v>
      </c>
      <c r="BJ290" s="29">
        <f t="shared" si="498"/>
        <v>2.8782015598147237E-9</v>
      </c>
      <c r="BK290" s="29">
        <f t="shared" si="499"/>
        <v>0.88914266061327296</v>
      </c>
      <c r="BL290" s="34"/>
      <c r="BM290" s="4"/>
      <c r="BN290" s="5"/>
      <c r="BO290" s="6"/>
      <c r="BP290" s="32"/>
      <c r="BQ290" s="3"/>
      <c r="BR290" s="4"/>
      <c r="BS290" s="5"/>
      <c r="BT290" s="6"/>
      <c r="BU290" s="14"/>
      <c r="BV290" s="13"/>
      <c r="BW290" s="2"/>
      <c r="BX290" s="26">
        <f t="shared" si="465"/>
        <v>0</v>
      </c>
      <c r="BY290" s="26">
        <f t="shared" si="483"/>
        <v>0</v>
      </c>
      <c r="BZ290" s="16">
        <f t="shared" si="500"/>
        <v>2.4613479849702521E-9</v>
      </c>
      <c r="CA290" s="29">
        <f t="shared" si="501"/>
        <v>1.7886651388438454E-9</v>
      </c>
      <c r="CB290" s="29">
        <f t="shared" si="502"/>
        <v>0.72670144561678596</v>
      </c>
      <c r="CC290" s="34"/>
      <c r="CD290" s="4"/>
      <c r="CE290" s="5"/>
      <c r="CF290" s="6"/>
      <c r="CG290" s="32"/>
      <c r="CH290" s="3"/>
      <c r="CI290" s="4"/>
      <c r="CJ290" s="5"/>
      <c r="CK290" s="6"/>
      <c r="CL290" s="14"/>
      <c r="CM290" s="13"/>
      <c r="CN290" s="2"/>
      <c r="CO290" s="26">
        <f t="shared" si="466"/>
        <v>0</v>
      </c>
      <c r="CP290" s="26">
        <f t="shared" si="484"/>
        <v>0</v>
      </c>
      <c r="CQ290" s="16">
        <f t="shared" si="503"/>
        <v>2.6967196883723698E-9</v>
      </c>
      <c r="CR290" s="29">
        <f t="shared" si="504"/>
        <v>2.3146325440858099E-9</v>
      </c>
      <c r="CS290" s="29">
        <f t="shared" si="505"/>
        <v>0.85831410437872679</v>
      </c>
      <c r="CT290" s="34"/>
      <c r="CU290" s="4"/>
      <c r="CV290" s="5"/>
      <c r="CW290" s="6"/>
      <c r="CX290" s="32"/>
      <c r="CY290" s="3"/>
      <c r="CZ290" s="4"/>
      <c r="DA290" s="5"/>
      <c r="DB290" s="6"/>
      <c r="DC290" s="14"/>
      <c r="DD290" s="13"/>
      <c r="DE290" s="2"/>
      <c r="DF290" s="26">
        <f t="shared" si="467"/>
        <v>0</v>
      </c>
      <c r="DG290" s="26">
        <f t="shared" si="485"/>
        <v>0</v>
      </c>
      <c r="DH290" s="16">
        <f t="shared" si="506"/>
        <v>2.6229426388517416E-9</v>
      </c>
      <c r="DI290" s="29">
        <f t="shared" si="507"/>
        <v>1.4064224992853941E-9</v>
      </c>
      <c r="DJ290" s="29">
        <f t="shared" si="508"/>
        <v>0.53620025022777107</v>
      </c>
      <c r="DK290" s="34"/>
      <c r="DL290" s="4"/>
      <c r="DM290" s="5"/>
      <c r="DN290" s="6"/>
      <c r="DO290" s="32"/>
      <c r="DP290" s="3"/>
      <c r="DQ290" s="4"/>
      <c r="DR290" s="5"/>
      <c r="DS290" s="6"/>
      <c r="DT290" s="14"/>
      <c r="DU290" s="13"/>
      <c r="DV290" s="2"/>
      <c r="DW290" s="26">
        <f t="shared" si="468"/>
        <v>0</v>
      </c>
      <c r="DX290" s="26">
        <f t="shared" si="486"/>
        <v>0</v>
      </c>
      <c r="DY290" s="16">
        <f t="shared" si="509"/>
        <v>2.715667219113166E-9</v>
      </c>
      <c r="DZ290" s="29">
        <f t="shared" si="510"/>
        <v>1.3730925029270934E-9</v>
      </c>
      <c r="EA290" s="29">
        <f t="shared" si="511"/>
        <v>0.50561883770703442</v>
      </c>
      <c r="EB290" s="34"/>
      <c r="EC290" s="4"/>
      <c r="ED290" s="5"/>
      <c r="EE290" s="6"/>
      <c r="EF290" s="32"/>
      <c r="EG290" s="3"/>
      <c r="EH290" s="4"/>
      <c r="EI290" s="5"/>
      <c r="EJ290" s="6"/>
      <c r="EK290" s="14"/>
      <c r="EL290" s="13"/>
      <c r="EM290" s="2"/>
      <c r="EN290" s="26">
        <f t="shared" si="469"/>
        <v>0</v>
      </c>
      <c r="EO290" s="26">
        <f t="shared" si="487"/>
        <v>0</v>
      </c>
      <c r="EP290" s="16">
        <f t="shared" si="512"/>
        <v>2.899475999527459E-9</v>
      </c>
      <c r="EQ290" s="29">
        <f t="shared" si="513"/>
        <v>2.6980568124101534E-9</v>
      </c>
      <c r="ER290" s="29">
        <f t="shared" si="514"/>
        <v>0.93053255583073224</v>
      </c>
      <c r="ES290" s="34"/>
      <c r="ET290" s="4"/>
      <c r="EU290" s="5"/>
      <c r="EV290" s="6"/>
      <c r="EW290" s="32"/>
      <c r="EX290" s="3"/>
      <c r="EY290" s="4"/>
      <c r="EZ290" s="5"/>
      <c r="FA290" s="6"/>
      <c r="FB290" s="14"/>
      <c r="FC290" s="13"/>
      <c r="FD290" s="2"/>
      <c r="FE290" s="26">
        <f t="shared" si="470"/>
        <v>0</v>
      </c>
      <c r="FF290" s="26">
        <f t="shared" si="488"/>
        <v>0</v>
      </c>
      <c r="FG290" s="16">
        <f t="shared" si="515"/>
        <v>2.8011987689385655E-9</v>
      </c>
      <c r="FH290" s="29">
        <f t="shared" si="516"/>
        <v>2.4698226457423182E-9</v>
      </c>
      <c r="FI290" s="29">
        <f t="shared" si="517"/>
        <v>0.88170203169059191</v>
      </c>
      <c r="FJ290" s="34"/>
      <c r="FK290" s="4"/>
      <c r="FL290" s="5"/>
      <c r="FM290" s="6"/>
      <c r="FN290" s="32"/>
      <c r="FO290" s="3"/>
      <c r="FP290" s="4"/>
      <c r="FQ290" s="5"/>
      <c r="FR290" s="6"/>
      <c r="FS290" s="14"/>
      <c r="FT290" s="13"/>
      <c r="FU290" s="2"/>
      <c r="FV290" s="26">
        <f t="shared" si="471"/>
        <v>0</v>
      </c>
      <c r="FW290" s="26">
        <f t="shared" si="489"/>
        <v>0</v>
      </c>
      <c r="FX290" s="16">
        <f t="shared" si="518"/>
        <v>2.6370256610851059E-9</v>
      </c>
      <c r="FY290" s="29">
        <f t="shared" si="519"/>
        <v>2.4730766465439576E-9</v>
      </c>
      <c r="FZ290" s="29">
        <f t="shared" si="520"/>
        <v>0.93782805493303956</v>
      </c>
      <c r="GA290" s="34"/>
      <c r="GB290" s="4"/>
      <c r="GC290" s="5"/>
      <c r="GD290" s="6"/>
      <c r="GE290" s="32"/>
      <c r="GF290" s="3"/>
      <c r="GG290" s="4"/>
      <c r="GH290" s="5"/>
      <c r="GI290" s="6"/>
      <c r="GJ290" s="14"/>
      <c r="GK290" s="13"/>
      <c r="GL290" s="2"/>
      <c r="GM290" s="26">
        <f t="shared" si="472"/>
        <v>0</v>
      </c>
      <c r="GN290" s="26">
        <f t="shared" si="490"/>
        <v>0</v>
      </c>
      <c r="GO290" s="16">
        <f t="shared" si="521"/>
        <v>2.7249360523626403E-9</v>
      </c>
      <c r="GP290" s="29">
        <f t="shared" si="522"/>
        <v>2.5487744701511966E-9</v>
      </c>
      <c r="GQ290" s="29">
        <f t="shared" si="523"/>
        <v>0.93535203071693962</v>
      </c>
      <c r="GR290" s="34"/>
      <c r="GS290" s="4"/>
      <c r="GT290" s="5"/>
      <c r="GU290" s="6"/>
      <c r="GV290" s="32"/>
      <c r="GW290" s="3"/>
      <c r="GX290" s="4"/>
      <c r="GY290" s="5"/>
      <c r="GZ290" s="6"/>
      <c r="HA290" s="14"/>
      <c r="HB290" s="13"/>
      <c r="HC290" s="2"/>
      <c r="HD290" s="26">
        <f t="shared" si="473"/>
        <v>0</v>
      </c>
      <c r="HE290" s="26">
        <f t="shared" si="491"/>
        <v>0</v>
      </c>
      <c r="HF290" s="16">
        <f t="shared" si="524"/>
        <v>3.8386304401456668E-9</v>
      </c>
      <c r="HG290" s="29">
        <f t="shared" si="525"/>
        <v>1.8487865409026489E-9</v>
      </c>
      <c r="HH290" s="29">
        <f t="shared" si="526"/>
        <v>0.48162660348009223</v>
      </c>
      <c r="HI290" s="34"/>
      <c r="HJ290" s="4"/>
      <c r="HK290" s="5"/>
      <c r="HL290" s="6"/>
      <c r="HM290" s="32"/>
      <c r="HN290" s="3"/>
      <c r="HO290" s="4"/>
      <c r="HP290" s="5"/>
      <c r="HQ290" s="6"/>
      <c r="HR290" s="14"/>
      <c r="HS290" s="13"/>
      <c r="HT290" s="2"/>
      <c r="HU290" s="26">
        <f t="shared" si="474"/>
        <v>0</v>
      </c>
      <c r="HV290" s="26">
        <f t="shared" si="492"/>
        <v>0</v>
      </c>
      <c r="HW290" s="16">
        <f t="shared" si="527"/>
        <v>8.8621903804629561E-18</v>
      </c>
      <c r="HX290" s="29">
        <f t="shared" si="528"/>
        <v>6.4973186173860275E-22</v>
      </c>
      <c r="HY290" s="29">
        <f t="shared" si="529"/>
        <v>7.3315042201187869E-5</v>
      </c>
      <c r="HZ290" s="34"/>
      <c r="IA290" s="4"/>
      <c r="IB290" s="5"/>
      <c r="IC290" s="6"/>
      <c r="ID290" s="32"/>
      <c r="IE290" s="3"/>
      <c r="IF290" s="4"/>
      <c r="IG290" s="5"/>
      <c r="IH290" s="6"/>
      <c r="II290" s="14"/>
      <c r="IJ290" s="13"/>
      <c r="IK290" s="2"/>
      <c r="IL290" s="26">
        <f t="shared" si="475"/>
        <v>0</v>
      </c>
      <c r="IM290" s="26">
        <f t="shared" si="476"/>
        <v>3.6335072426226342</v>
      </c>
      <c r="IN290" s="16">
        <f t="shared" si="530"/>
        <v>8.7334205445089875E-10</v>
      </c>
      <c r="IO290" s="29">
        <f t="shared" si="531"/>
        <v>4.8057148091868923E-11</v>
      </c>
      <c r="IP290" s="29">
        <f t="shared" si="532"/>
        <v>5.5026719309977767E-2</v>
      </c>
      <c r="IQ290" s="34"/>
      <c r="IR290" s="4"/>
      <c r="IS290" s="5"/>
      <c r="IT290" s="6"/>
      <c r="IU290" s="32"/>
      <c r="IV290" s="3"/>
      <c r="IW290" s="4"/>
      <c r="IX290" s="5"/>
      <c r="IY290" s="6"/>
      <c r="IZ290" s="14"/>
      <c r="JA290" s="13"/>
      <c r="JB290" s="2"/>
      <c r="JC290" s="26">
        <f t="shared" si="458"/>
        <v>0</v>
      </c>
      <c r="JD290" s="26">
        <f t="shared" si="477"/>
        <v>4.2915705392423238</v>
      </c>
      <c r="JE290" s="16">
        <f t="shared" si="533"/>
        <v>1.0546312138076717E-9</v>
      </c>
      <c r="JF290" s="29">
        <f t="shared" si="534"/>
        <v>6.1337915921809865E-11</v>
      </c>
      <c r="JG290" s="29">
        <f t="shared" si="535"/>
        <v>5.8160535283564803E-2</v>
      </c>
      <c r="JH290" s="34"/>
      <c r="JI290" s="4"/>
      <c r="JJ290" s="5"/>
      <c r="JK290" s="6"/>
      <c r="JL290" s="32"/>
      <c r="JM290" s="3"/>
      <c r="JN290" s="4"/>
      <c r="JO290" s="5"/>
      <c r="JP290" s="6"/>
      <c r="JQ290" s="14"/>
      <c r="JR290" s="99"/>
      <c r="JS290" s="99"/>
      <c r="JT290" s="99"/>
      <c r="JU290" s="99"/>
      <c r="JV290" s="99"/>
      <c r="JW290" s="99"/>
      <c r="JX290" s="99"/>
      <c r="JY290" s="99"/>
      <c r="JZ290" s="99"/>
      <c r="KA290" s="99"/>
      <c r="KB290" s="99"/>
      <c r="KC290" s="99"/>
      <c r="KD290" s="99"/>
      <c r="KE290" s="99"/>
      <c r="KF290" s="99"/>
      <c r="KG290" s="99"/>
      <c r="KH290" s="99"/>
      <c r="KI290" s="99"/>
      <c r="KJ290" s="99"/>
      <c r="KK290" s="99"/>
      <c r="KL290" s="99"/>
      <c r="KM290" s="99"/>
      <c r="KN290" s="99"/>
      <c r="KO290" s="99"/>
      <c r="KP290" s="99"/>
      <c r="KQ290" s="99"/>
      <c r="KR290" s="99"/>
      <c r="KS290" s="99"/>
      <c r="KT290" s="99"/>
      <c r="KU290" s="99"/>
      <c r="KV290" s="99"/>
      <c r="KW290" s="99"/>
      <c r="KX290" s="99"/>
      <c r="KY290" s="99"/>
      <c r="KZ290" s="99"/>
      <c r="LA290" s="99"/>
      <c r="LB290" s="99"/>
      <c r="LC290" s="99"/>
      <c r="LD290" s="99"/>
      <c r="LE290" s="99"/>
      <c r="LF290" s="99"/>
      <c r="LG290" s="99"/>
      <c r="LH290" s="99"/>
      <c r="LI290" s="99"/>
      <c r="LJ290" s="99"/>
      <c r="LK290" s="99"/>
      <c r="LL290" s="99"/>
      <c r="LM290" s="99"/>
      <c r="LN290" s="99"/>
      <c r="LO290" s="99"/>
      <c r="LP290" s="99"/>
      <c r="LQ290" s="99"/>
      <c r="LR290" s="99"/>
      <c r="LS290" s="99"/>
      <c r="LT290" s="99"/>
      <c r="LU290" s="99"/>
      <c r="LV290" s="99"/>
      <c r="LW290" s="99"/>
      <c r="LX290" s="99"/>
      <c r="LY290" s="99"/>
      <c r="LZ290" s="99"/>
      <c r="MA290" s="99"/>
      <c r="MB290" s="99"/>
      <c r="MC290" s="99"/>
      <c r="MD290" s="99"/>
      <c r="ME290" s="99"/>
      <c r="MF290" s="99"/>
    </row>
    <row r="291" spans="1:344" ht="17.25" customHeight="1" x14ac:dyDescent="0.25">
      <c r="A291" s="155" t="s">
        <v>47</v>
      </c>
      <c r="B291" s="79" t="s">
        <v>1</v>
      </c>
      <c r="C291" s="80">
        <v>45425</v>
      </c>
      <c r="D291" s="50"/>
      <c r="G291" s="36">
        <f t="shared" si="459"/>
        <v>0</v>
      </c>
      <c r="H291" s="27">
        <f t="shared" si="460"/>
        <v>0</v>
      </c>
      <c r="I291" s="47"/>
      <c r="K291" s="105"/>
      <c r="L291" s="89">
        <f t="shared" si="461"/>
        <v>0</v>
      </c>
      <c r="M291" s="27">
        <f t="shared" si="478"/>
        <v>0</v>
      </c>
      <c r="N291" s="35">
        <f t="shared" si="479"/>
        <v>0</v>
      </c>
      <c r="O291" s="97" t="e">
        <f>SUM($Z291,$BH291,$AQ291,$BY291,$CP291,$DG291,$DX291,$EO291,$FF291,$FW291,$GN291)/I291</f>
        <v>#DIV/0!</v>
      </c>
      <c r="P291" s="149">
        <f t="shared" si="536"/>
        <v>0</v>
      </c>
      <c r="Q291" s="131">
        <f t="shared" si="543"/>
        <v>0</v>
      </c>
      <c r="R291" s="133">
        <f t="shared" si="539"/>
        <v>0</v>
      </c>
      <c r="S291" s="135">
        <f t="shared" si="540"/>
        <v>0</v>
      </c>
      <c r="T291" s="137">
        <f t="shared" si="541"/>
        <v>0</v>
      </c>
      <c r="U291" s="143">
        <f t="shared" si="542"/>
        <v>0</v>
      </c>
      <c r="W291" s="11">
        <v>0</v>
      </c>
      <c r="X291" s="1">
        <v>0</v>
      </c>
      <c r="Y291" s="27">
        <f t="shared" si="462"/>
        <v>0</v>
      </c>
      <c r="Z291" s="27">
        <f t="shared" si="480"/>
        <v>0</v>
      </c>
      <c r="AA291" s="15">
        <f t="shared" si="493"/>
        <v>6.2696395008112922E-12</v>
      </c>
      <c r="AB291" s="43">
        <f t="shared" si="537"/>
        <v>6.7396983734788481E-13</v>
      </c>
      <c r="AC291" s="43">
        <f t="shared" si="538"/>
        <v>0.10749738278583211</v>
      </c>
      <c r="AD291" s="33"/>
      <c r="AH291" s="31"/>
      <c r="AP291" s="27">
        <f t="shared" si="463"/>
        <v>0</v>
      </c>
      <c r="AQ291" s="27">
        <f t="shared" si="481"/>
        <v>0</v>
      </c>
      <c r="AR291" s="15">
        <f t="shared" si="494"/>
        <v>1.8933690761836121E-9</v>
      </c>
      <c r="AS291" s="28">
        <f t="shared" si="495"/>
        <v>1.4051858625683079E-9</v>
      </c>
      <c r="AT291" s="28">
        <f t="shared" si="496"/>
        <v>0.74216162091370186</v>
      </c>
      <c r="AU291" s="33"/>
      <c r="AY291" s="31"/>
      <c r="BG291" s="27">
        <f t="shared" si="464"/>
        <v>0</v>
      </c>
      <c r="BH291" s="27">
        <f t="shared" si="482"/>
        <v>0</v>
      </c>
      <c r="BI291" s="15">
        <f t="shared" si="497"/>
        <v>2.6076257042016518E-9</v>
      </c>
      <c r="BJ291" s="28">
        <f t="shared" si="498"/>
        <v>2.1586511698610426E-9</v>
      </c>
      <c r="BK291" s="28">
        <f t="shared" si="499"/>
        <v>0.8278224771227024</v>
      </c>
      <c r="BL291" s="33"/>
      <c r="BP291" s="31"/>
      <c r="BX291" s="27">
        <f t="shared" si="465"/>
        <v>0</v>
      </c>
      <c r="BY291" s="27">
        <f t="shared" si="483"/>
        <v>0</v>
      </c>
      <c r="BZ291" s="15">
        <f t="shared" si="500"/>
        <v>1.9827525434482589E-9</v>
      </c>
      <c r="CA291" s="28">
        <f t="shared" si="501"/>
        <v>1.3414988541328841E-9</v>
      </c>
      <c r="CB291" s="28">
        <f t="shared" si="502"/>
        <v>0.67658410453976625</v>
      </c>
      <c r="CC291" s="33"/>
      <c r="CG291" s="31"/>
      <c r="CO291" s="27">
        <f t="shared" si="466"/>
        <v>0</v>
      </c>
      <c r="CP291" s="27">
        <f t="shared" si="484"/>
        <v>0</v>
      </c>
      <c r="CQ291" s="15">
        <f t="shared" si="503"/>
        <v>2.1723575267444091E-9</v>
      </c>
      <c r="CR291" s="28">
        <f t="shared" si="504"/>
        <v>1.7359744080643574E-9</v>
      </c>
      <c r="CS291" s="28">
        <f t="shared" si="505"/>
        <v>0.79912002821467665</v>
      </c>
      <c r="CT291" s="33"/>
      <c r="CX291" s="31"/>
      <c r="DF291" s="27">
        <f t="shared" si="467"/>
        <v>0</v>
      </c>
      <c r="DG291" s="27">
        <f t="shared" si="485"/>
        <v>0</v>
      </c>
      <c r="DH291" s="15">
        <f t="shared" si="506"/>
        <v>2.1129260146305698E-9</v>
      </c>
      <c r="DI291" s="28">
        <f t="shared" si="507"/>
        <v>1.0548168744640456E-9</v>
      </c>
      <c r="DJ291" s="28">
        <f t="shared" si="508"/>
        <v>0.49922092262585582</v>
      </c>
      <c r="DK291" s="33"/>
      <c r="DO291" s="31"/>
      <c r="DW291" s="27">
        <f t="shared" si="468"/>
        <v>0</v>
      </c>
      <c r="DX291" s="27">
        <f t="shared" si="486"/>
        <v>0</v>
      </c>
      <c r="DY291" s="15">
        <f t="shared" si="509"/>
        <v>2.187620815396717E-9</v>
      </c>
      <c r="DZ291" s="28">
        <f t="shared" si="510"/>
        <v>1.0298193771953201E-9</v>
      </c>
      <c r="EA291" s="28">
        <f t="shared" si="511"/>
        <v>0.47074857303758377</v>
      </c>
      <c r="EB291" s="33"/>
      <c r="EF291" s="31"/>
      <c r="EN291" s="27">
        <f t="shared" si="469"/>
        <v>0</v>
      </c>
      <c r="EO291" s="27">
        <f t="shared" si="487"/>
        <v>0</v>
      </c>
      <c r="EP291" s="15">
        <f t="shared" si="512"/>
        <v>2.3356889996193422E-9</v>
      </c>
      <c r="EQ291" s="28">
        <f t="shared" si="513"/>
        <v>2.0235426093076152E-9</v>
      </c>
      <c r="ER291" s="28">
        <f t="shared" si="514"/>
        <v>0.86635789680792308</v>
      </c>
      <c r="ES291" s="33"/>
      <c r="EW291" s="31"/>
      <c r="FE291" s="27">
        <f t="shared" si="470"/>
        <v>0</v>
      </c>
      <c r="FF291" s="27">
        <f t="shared" si="488"/>
        <v>0</v>
      </c>
      <c r="FG291" s="15">
        <f t="shared" si="515"/>
        <v>2.2565212305338445E-9</v>
      </c>
      <c r="FH291" s="28">
        <f t="shared" si="516"/>
        <v>1.8523669843067387E-9</v>
      </c>
      <c r="FI291" s="28">
        <f t="shared" si="517"/>
        <v>0.82089499502227525</v>
      </c>
      <c r="FJ291" s="33"/>
      <c r="FN291" s="31"/>
      <c r="FV291" s="27">
        <f t="shared" si="471"/>
        <v>0</v>
      </c>
      <c r="FW291" s="27">
        <f t="shared" si="489"/>
        <v>0</v>
      </c>
      <c r="FX291" s="15">
        <f t="shared" si="518"/>
        <v>2.1242706714296688E-9</v>
      </c>
      <c r="FY291" s="28">
        <f t="shared" si="519"/>
        <v>1.8548074849079683E-9</v>
      </c>
      <c r="FZ291" s="28">
        <f t="shared" si="520"/>
        <v>0.8731502580411058</v>
      </c>
      <c r="GA291" s="33"/>
      <c r="GE291" s="31"/>
      <c r="GM291" s="27">
        <f t="shared" si="472"/>
        <v>0</v>
      </c>
      <c r="GN291" s="27">
        <f t="shared" si="490"/>
        <v>0</v>
      </c>
      <c r="GO291" s="15">
        <f t="shared" si="521"/>
        <v>2.1950873755143493E-9</v>
      </c>
      <c r="GP291" s="28">
        <f t="shared" si="522"/>
        <v>1.9115808526133973E-9</v>
      </c>
      <c r="GQ291" s="28">
        <f t="shared" si="523"/>
        <v>0.87084499411577132</v>
      </c>
      <c r="GR291" s="33"/>
      <c r="GV291" s="31"/>
      <c r="HD291" s="27">
        <f t="shared" si="473"/>
        <v>0</v>
      </c>
      <c r="HE291" s="27">
        <f t="shared" si="491"/>
        <v>0</v>
      </c>
      <c r="HF291" s="15">
        <f t="shared" si="524"/>
        <v>3.0922300767840096E-9</v>
      </c>
      <c r="HG291" s="28">
        <f t="shared" si="525"/>
        <v>1.3865899056769867E-9</v>
      </c>
      <c r="HH291" s="28">
        <f t="shared" si="526"/>
        <v>0.44841097565387894</v>
      </c>
      <c r="HI291" s="33"/>
      <c r="HM291" s="31"/>
      <c r="HU291" s="27">
        <f t="shared" si="474"/>
        <v>0</v>
      </c>
      <c r="HV291" s="27">
        <f t="shared" si="492"/>
        <v>0</v>
      </c>
      <c r="HW291" s="15">
        <f t="shared" si="527"/>
        <v>7.1389866953729356E-18</v>
      </c>
      <c r="HX291" s="28">
        <f t="shared" si="528"/>
        <v>4.8729889630395206E-22</v>
      </c>
      <c r="HY291" s="28">
        <f t="shared" si="529"/>
        <v>6.8258832394209397E-5</v>
      </c>
      <c r="HZ291" s="33"/>
      <c r="ID291" s="31"/>
      <c r="II291" s="12"/>
      <c r="IL291" s="27">
        <f t="shared" si="475"/>
        <v>0</v>
      </c>
      <c r="IM291" s="27">
        <f t="shared" si="476"/>
        <v>3.3829205340130843</v>
      </c>
      <c r="IN291" s="15">
        <f t="shared" si="530"/>
        <v>7.0352554386322394E-10</v>
      </c>
      <c r="IO291" s="28">
        <f t="shared" si="531"/>
        <v>3.6042861068901692E-11</v>
      </c>
      <c r="IP291" s="28">
        <f t="shared" si="532"/>
        <v>5.1231773150668958E-2</v>
      </c>
      <c r="IQ291" s="33"/>
      <c r="IU291" s="31"/>
      <c r="JC291" s="27">
        <f t="shared" si="458"/>
        <v>0</v>
      </c>
      <c r="JD291" s="27">
        <f t="shared" si="477"/>
        <v>3.9956001545343534</v>
      </c>
      <c r="JE291" s="15">
        <f t="shared" si="533"/>
        <v>8.4956403334506895E-10</v>
      </c>
      <c r="JF291" s="28">
        <f t="shared" si="534"/>
        <v>4.6003436941357402E-11</v>
      </c>
      <c r="JG291" s="28">
        <f t="shared" si="535"/>
        <v>5.4149463884698261E-2</v>
      </c>
      <c r="JH291" s="33"/>
      <c r="JL291" s="31"/>
      <c r="JR291" s="99"/>
      <c r="JS291" s="99"/>
      <c r="JT291" s="99"/>
      <c r="JU291" s="99"/>
      <c r="JV291" s="99"/>
      <c r="JW291" s="99"/>
      <c r="JX291" s="99"/>
      <c r="JY291" s="99"/>
      <c r="JZ291" s="99"/>
      <c r="KA291" s="99"/>
      <c r="KB291" s="99"/>
      <c r="KC291" s="99"/>
      <c r="KD291" s="99"/>
      <c r="KE291" s="99"/>
      <c r="KF291" s="99"/>
      <c r="KG291" s="99"/>
      <c r="KH291" s="99"/>
      <c r="KI291" s="99"/>
      <c r="KJ291" s="99"/>
      <c r="KK291" s="99"/>
      <c r="KL291" s="99"/>
      <c r="KM291" s="99"/>
      <c r="KN291" s="99"/>
      <c r="KO291" s="99"/>
      <c r="KP291" s="99"/>
      <c r="KQ291" s="99"/>
      <c r="KR291" s="99"/>
      <c r="KS291" s="99"/>
      <c r="KT291" s="99"/>
      <c r="KU291" s="99"/>
      <c r="KV291" s="99"/>
      <c r="KW291" s="99"/>
      <c r="KX291" s="99"/>
      <c r="KY291" s="99"/>
      <c r="KZ291" s="99"/>
      <c r="LA291" s="99"/>
      <c r="LB291" s="99"/>
      <c r="LC291" s="99"/>
      <c r="LD291" s="99"/>
      <c r="LE291" s="99"/>
      <c r="LF291" s="99"/>
      <c r="LG291" s="99"/>
      <c r="LH291" s="99"/>
      <c r="LI291" s="99"/>
      <c r="LJ291" s="99"/>
      <c r="LK291" s="99"/>
      <c r="LL291" s="99"/>
      <c r="LM291" s="99"/>
      <c r="LN291" s="99"/>
      <c r="LO291" s="99"/>
      <c r="LP291" s="99"/>
      <c r="LQ291" s="99"/>
      <c r="LR291" s="99"/>
      <c r="LS291" s="99"/>
      <c r="LT291" s="99"/>
      <c r="LU291" s="99"/>
      <c r="LV291" s="99"/>
      <c r="LW291" s="99"/>
      <c r="LX291" s="99"/>
      <c r="LY291" s="99"/>
      <c r="LZ291" s="99"/>
      <c r="MA291" s="99"/>
      <c r="MB291" s="99"/>
      <c r="MC291" s="99"/>
      <c r="MD291" s="99"/>
      <c r="ME291" s="99"/>
      <c r="MF291" s="99"/>
    </row>
    <row r="292" spans="1:344" ht="17.25" customHeight="1" x14ac:dyDescent="0.25">
      <c r="A292" s="156"/>
      <c r="B292" s="81" t="s">
        <v>2</v>
      </c>
      <c r="C292" s="82">
        <v>45426</v>
      </c>
      <c r="D292" s="49"/>
      <c r="G292" s="89">
        <f t="shared" si="459"/>
        <v>0</v>
      </c>
      <c r="H292" s="35">
        <f t="shared" si="460"/>
        <v>0</v>
      </c>
      <c r="I292" s="39"/>
      <c r="L292" s="89">
        <f t="shared" si="461"/>
        <v>0</v>
      </c>
      <c r="M292" s="35">
        <f t="shared" si="478"/>
        <v>0</v>
      </c>
      <c r="N292" s="35">
        <f t="shared" si="479"/>
        <v>0</v>
      </c>
      <c r="O292" s="97" t="e">
        <f>SUM($Z292,$BH292,$AQ292,$BY292,$CP292,$DG292,$DX292,$EO292,$FF292,$FW292,$GN292)/I292</f>
        <v>#DIV/0!</v>
      </c>
      <c r="P292" s="150"/>
      <c r="Q292" s="132">
        <f t="shared" si="543"/>
        <v>0</v>
      </c>
      <c r="R292" s="134">
        <f t="shared" si="539"/>
        <v>0</v>
      </c>
      <c r="S292" s="136">
        <f t="shared" si="540"/>
        <v>0</v>
      </c>
      <c r="T292" s="138">
        <f t="shared" si="541"/>
        <v>0</v>
      </c>
      <c r="U292" s="144">
        <f t="shared" si="542"/>
        <v>0</v>
      </c>
      <c r="W292" s="11">
        <v>0</v>
      </c>
      <c r="X292" s="1">
        <v>0</v>
      </c>
      <c r="Y292" s="35">
        <f t="shared" si="462"/>
        <v>0</v>
      </c>
      <c r="Z292" s="35">
        <f t="shared" si="480"/>
        <v>0</v>
      </c>
      <c r="AA292" s="15">
        <f t="shared" si="493"/>
        <v>5.050542931209096E-12</v>
      </c>
      <c r="AB292" s="43">
        <f t="shared" si="537"/>
        <v>5.0547737801091358E-13</v>
      </c>
      <c r="AC292" s="43">
        <f t="shared" si="538"/>
        <v>0.10008377017991266</v>
      </c>
      <c r="AD292" s="33"/>
      <c r="AH292" s="31"/>
      <c r="AP292" s="35">
        <f t="shared" si="463"/>
        <v>0</v>
      </c>
      <c r="AQ292" s="35">
        <f t="shared" si="481"/>
        <v>0</v>
      </c>
      <c r="AR292" s="15">
        <f t="shared" si="494"/>
        <v>1.5252139780367988E-9</v>
      </c>
      <c r="AS292" s="28">
        <f t="shared" si="495"/>
        <v>1.0538893969262309E-9</v>
      </c>
      <c r="AT292" s="28">
        <f t="shared" si="496"/>
        <v>0.69097806085068791</v>
      </c>
      <c r="AU292" s="33"/>
      <c r="AY292" s="31"/>
      <c r="BG292" s="35">
        <f t="shared" si="464"/>
        <v>0</v>
      </c>
      <c r="BH292" s="35">
        <f t="shared" si="482"/>
        <v>0</v>
      </c>
      <c r="BI292" s="15">
        <f t="shared" si="497"/>
        <v>2.1005873728291084E-9</v>
      </c>
      <c r="BJ292" s="28">
        <f t="shared" si="498"/>
        <v>1.6189883773957819E-9</v>
      </c>
      <c r="BK292" s="28">
        <f t="shared" si="499"/>
        <v>0.77073127180389533</v>
      </c>
      <c r="BL292" s="33"/>
      <c r="BP292" s="31"/>
      <c r="BX292" s="35">
        <f t="shared" si="465"/>
        <v>0</v>
      </c>
      <c r="BY292" s="35">
        <f t="shared" si="483"/>
        <v>0</v>
      </c>
      <c r="BZ292" s="15">
        <f t="shared" si="500"/>
        <v>1.5972173266666527E-9</v>
      </c>
      <c r="CA292" s="28">
        <f t="shared" si="501"/>
        <v>1.006124140599663E-9</v>
      </c>
      <c r="CB292" s="28">
        <f t="shared" si="502"/>
        <v>0.62992313181288584</v>
      </c>
      <c r="CC292" s="33"/>
      <c r="CG292" s="31"/>
      <c r="CO292" s="35">
        <f t="shared" si="466"/>
        <v>0</v>
      </c>
      <c r="CP292" s="35">
        <f t="shared" si="484"/>
        <v>0</v>
      </c>
      <c r="CQ292" s="15">
        <f t="shared" si="503"/>
        <v>1.7499546743218852E-9</v>
      </c>
      <c r="CR292" s="28">
        <f t="shared" si="504"/>
        <v>1.3019808060482681E-9</v>
      </c>
      <c r="CS292" s="28">
        <f t="shared" si="505"/>
        <v>0.74400830213090585</v>
      </c>
      <c r="CT292" s="33"/>
      <c r="CX292" s="31"/>
      <c r="DF292" s="35">
        <f t="shared" si="467"/>
        <v>0</v>
      </c>
      <c r="DG292" s="35">
        <f t="shared" si="485"/>
        <v>0</v>
      </c>
      <c r="DH292" s="15">
        <f t="shared" si="506"/>
        <v>1.7020792895635145E-9</v>
      </c>
      <c r="DI292" s="28">
        <f t="shared" si="507"/>
        <v>7.9111265584803416E-10</v>
      </c>
      <c r="DJ292" s="28">
        <f t="shared" si="508"/>
        <v>0.46479189347924504</v>
      </c>
      <c r="DK292" s="33"/>
      <c r="DO292" s="31"/>
      <c r="DW292" s="35">
        <f t="shared" si="468"/>
        <v>0</v>
      </c>
      <c r="DX292" s="35">
        <f t="shared" si="486"/>
        <v>0</v>
      </c>
      <c r="DY292" s="15">
        <f t="shared" si="509"/>
        <v>1.7622501012918001E-9</v>
      </c>
      <c r="DZ292" s="28">
        <f t="shared" si="510"/>
        <v>7.7236453289649009E-10</v>
      </c>
      <c r="EA292" s="28">
        <f t="shared" si="511"/>
        <v>0.43828315420740555</v>
      </c>
      <c r="EB292" s="33"/>
      <c r="EF292" s="31"/>
      <c r="EN292" s="35">
        <f t="shared" si="469"/>
        <v>0</v>
      </c>
      <c r="EO292" s="35">
        <f t="shared" si="487"/>
        <v>0</v>
      </c>
      <c r="EP292" s="15">
        <f t="shared" si="512"/>
        <v>1.8815272496933589E-9</v>
      </c>
      <c r="EQ292" s="28">
        <f t="shared" si="513"/>
        <v>1.5176569569807114E-9</v>
      </c>
      <c r="ER292" s="28">
        <f t="shared" si="514"/>
        <v>0.80660907633841117</v>
      </c>
      <c r="ES292" s="33"/>
      <c r="EW292" s="31"/>
      <c r="FE292" s="35">
        <f t="shared" si="470"/>
        <v>0</v>
      </c>
      <c r="FF292" s="35">
        <f t="shared" si="488"/>
        <v>0</v>
      </c>
      <c r="FG292" s="15">
        <f t="shared" si="515"/>
        <v>1.8177532134855969E-9</v>
      </c>
      <c r="FH292" s="28">
        <f t="shared" si="516"/>
        <v>1.389275238230054E-9</v>
      </c>
      <c r="FI292" s="28">
        <f t="shared" si="517"/>
        <v>0.76428154708970453</v>
      </c>
      <c r="FJ292" s="33"/>
      <c r="FN292" s="31"/>
      <c r="FV292" s="35">
        <f t="shared" si="471"/>
        <v>0</v>
      </c>
      <c r="FW292" s="35">
        <f t="shared" si="489"/>
        <v>0</v>
      </c>
      <c r="FX292" s="15">
        <f t="shared" si="518"/>
        <v>1.7112180408738999E-9</v>
      </c>
      <c r="FY292" s="28">
        <f t="shared" si="519"/>
        <v>1.3911056136809763E-9</v>
      </c>
      <c r="FZ292" s="28">
        <f t="shared" si="520"/>
        <v>0.81293299886585713</v>
      </c>
      <c r="GA292" s="33"/>
      <c r="GE292" s="31"/>
      <c r="GM292" s="35">
        <f t="shared" si="472"/>
        <v>0</v>
      </c>
      <c r="GN292" s="35">
        <f t="shared" si="490"/>
        <v>0</v>
      </c>
      <c r="GO292" s="15">
        <f t="shared" si="521"/>
        <v>1.7682648302754479E-9</v>
      </c>
      <c r="GP292" s="28">
        <f t="shared" si="522"/>
        <v>1.433685639460048E-9</v>
      </c>
      <c r="GQ292" s="28">
        <f t="shared" si="523"/>
        <v>0.81078671865951124</v>
      </c>
      <c r="GR292" s="33"/>
      <c r="GV292" s="31"/>
      <c r="HD292" s="35">
        <f t="shared" si="473"/>
        <v>0</v>
      </c>
      <c r="HE292" s="35">
        <f t="shared" si="491"/>
        <v>0</v>
      </c>
      <c r="HF292" s="15">
        <f t="shared" si="524"/>
        <v>2.4909631174093411E-9</v>
      </c>
      <c r="HG292" s="28">
        <f t="shared" si="525"/>
        <v>1.0399424292577401E-9</v>
      </c>
      <c r="HH292" s="28">
        <f t="shared" si="526"/>
        <v>0.41748608078119764</v>
      </c>
      <c r="HI292" s="33"/>
      <c r="HM292" s="31"/>
      <c r="HU292" s="35">
        <f t="shared" si="474"/>
        <v>0</v>
      </c>
      <c r="HV292" s="35">
        <f t="shared" si="492"/>
        <v>0</v>
      </c>
      <c r="HW292" s="15">
        <f t="shared" si="527"/>
        <v>5.7508503934948656E-18</v>
      </c>
      <c r="HX292" s="28">
        <f t="shared" si="528"/>
        <v>3.6547417222796405E-22</v>
      </c>
      <c r="HY292" s="28">
        <f t="shared" si="529"/>
        <v>6.3551326711850121E-5</v>
      </c>
      <c r="HZ292" s="33"/>
      <c r="ID292" s="31"/>
      <c r="II292" s="12"/>
      <c r="IL292" s="35">
        <f t="shared" si="475"/>
        <v>0</v>
      </c>
      <c r="IM292" s="35">
        <f t="shared" si="476"/>
        <v>3.1496156678805778</v>
      </c>
      <c r="IN292" s="15">
        <f t="shared" si="530"/>
        <v>5.6672891033426376E-10</v>
      </c>
      <c r="IO292" s="28">
        <f t="shared" si="531"/>
        <v>2.7032145801676269E-11</v>
      </c>
      <c r="IP292" s="28">
        <f t="shared" si="532"/>
        <v>4.7698547416140061E-2</v>
      </c>
      <c r="IQ292" s="33"/>
      <c r="IU292" s="31"/>
      <c r="JC292" s="35">
        <f t="shared" si="458"/>
        <v>0</v>
      </c>
      <c r="JD292" s="35">
        <f t="shared" si="477"/>
        <v>3.7200415211123166</v>
      </c>
      <c r="JE292" s="15">
        <f t="shared" si="533"/>
        <v>6.8437102686130558E-10</v>
      </c>
      <c r="JF292" s="28">
        <f t="shared" si="534"/>
        <v>3.4502577706018051E-11</v>
      </c>
      <c r="JG292" s="28">
        <f t="shared" si="535"/>
        <v>5.0415018099546655E-2</v>
      </c>
      <c r="JH292" s="33"/>
      <c r="JL292" s="31"/>
      <c r="JR292" s="99"/>
      <c r="JS292" s="99"/>
      <c r="JT292" s="99"/>
      <c r="JU292" s="99"/>
      <c r="JV292" s="99"/>
      <c r="JW292" s="99"/>
      <c r="JX292" s="99"/>
      <c r="JY292" s="99"/>
      <c r="JZ292" s="99"/>
      <c r="KA292" s="99"/>
      <c r="KB292" s="99"/>
      <c r="KC292" s="99"/>
      <c r="KD292" s="99"/>
      <c r="KE292" s="99"/>
      <c r="KF292" s="99"/>
      <c r="KG292" s="99"/>
      <c r="KH292" s="99"/>
      <c r="KI292" s="99"/>
      <c r="KJ292" s="99"/>
      <c r="KK292" s="99"/>
      <c r="KL292" s="99"/>
      <c r="KM292" s="99"/>
      <c r="KN292" s="99"/>
      <c r="KO292" s="99"/>
      <c r="KP292" s="99"/>
      <c r="KQ292" s="99"/>
      <c r="KR292" s="99"/>
      <c r="KS292" s="99"/>
      <c r="KT292" s="99"/>
      <c r="KU292" s="99"/>
      <c r="KV292" s="99"/>
      <c r="KW292" s="99"/>
      <c r="KX292" s="99"/>
      <c r="KY292" s="99"/>
      <c r="KZ292" s="99"/>
      <c r="LA292" s="99"/>
      <c r="LB292" s="99"/>
      <c r="LC292" s="99"/>
      <c r="LD292" s="99"/>
      <c r="LE292" s="99"/>
      <c r="LF292" s="99"/>
      <c r="LG292" s="99"/>
      <c r="LH292" s="99"/>
      <c r="LI292" s="99"/>
      <c r="LJ292" s="99"/>
      <c r="LK292" s="99"/>
      <c r="LL292" s="99"/>
      <c r="LM292" s="99"/>
      <c r="LN292" s="99"/>
      <c r="LO292" s="99"/>
      <c r="LP292" s="99"/>
      <c r="LQ292" s="99"/>
      <c r="LR292" s="99"/>
      <c r="LS292" s="99"/>
      <c r="LT292" s="99"/>
      <c r="LU292" s="99"/>
      <c r="LV292" s="99"/>
      <c r="LW292" s="99"/>
      <c r="LX292" s="99"/>
      <c r="LY292" s="99"/>
      <c r="LZ292" s="99"/>
      <c r="MA292" s="99"/>
      <c r="MB292" s="99"/>
      <c r="MC292" s="99"/>
      <c r="MD292" s="99"/>
      <c r="ME292" s="99"/>
      <c r="MF292" s="99"/>
    </row>
    <row r="293" spans="1:344" ht="17.25" customHeight="1" x14ac:dyDescent="0.25">
      <c r="A293" s="156"/>
      <c r="B293" s="81" t="s">
        <v>3</v>
      </c>
      <c r="C293" s="82">
        <v>45427</v>
      </c>
      <c r="D293" s="49"/>
      <c r="G293" s="89">
        <f t="shared" si="459"/>
        <v>0</v>
      </c>
      <c r="H293" s="35">
        <f t="shared" si="460"/>
        <v>0</v>
      </c>
      <c r="I293" s="39"/>
      <c r="L293" s="89">
        <f t="shared" si="461"/>
        <v>0</v>
      </c>
      <c r="M293" s="35">
        <f t="shared" si="478"/>
        <v>0</v>
      </c>
      <c r="N293" s="35">
        <f t="shared" si="479"/>
        <v>0</v>
      </c>
      <c r="O293" s="97" t="e">
        <f>SUM($Z293,$BH293,$AQ293,$BY293,$CP293,$DG293,$DX293,$EO293,$FF293,$FW293,$GN293)/D293</f>
        <v>#DIV/0!</v>
      </c>
      <c r="P293" s="150"/>
      <c r="Q293" s="132">
        <f t="shared" si="543"/>
        <v>0</v>
      </c>
      <c r="R293" s="134">
        <f t="shared" si="539"/>
        <v>0</v>
      </c>
      <c r="S293" s="136">
        <f t="shared" si="540"/>
        <v>0</v>
      </c>
      <c r="T293" s="138">
        <f t="shared" si="541"/>
        <v>0</v>
      </c>
      <c r="U293" s="144">
        <f t="shared" si="542"/>
        <v>0</v>
      </c>
      <c r="W293" s="11">
        <v>0</v>
      </c>
      <c r="X293" s="1">
        <v>0</v>
      </c>
      <c r="Y293" s="35">
        <f t="shared" si="462"/>
        <v>0</v>
      </c>
      <c r="Z293" s="35">
        <f t="shared" si="480"/>
        <v>0</v>
      </c>
      <c r="AA293" s="15">
        <f t="shared" si="493"/>
        <v>4.0684929168073272E-12</v>
      </c>
      <c r="AB293" s="43">
        <f t="shared" si="537"/>
        <v>3.7910803350818516E-13</v>
      </c>
      <c r="AC293" s="43">
        <f t="shared" si="538"/>
        <v>9.3181441201987639E-2</v>
      </c>
      <c r="AD293" s="33"/>
      <c r="AH293" s="31"/>
      <c r="AP293" s="35">
        <f t="shared" si="463"/>
        <v>0</v>
      </c>
      <c r="AQ293" s="35">
        <f t="shared" si="481"/>
        <v>0</v>
      </c>
      <c r="AR293" s="15">
        <f t="shared" si="494"/>
        <v>1.2286445934185325E-9</v>
      </c>
      <c r="AS293" s="28">
        <f t="shared" si="495"/>
        <v>7.9041704769467321E-10</v>
      </c>
      <c r="AT293" s="28">
        <f t="shared" si="496"/>
        <v>0.64332440148167491</v>
      </c>
      <c r="AU293" s="33"/>
      <c r="AY293" s="31"/>
      <c r="BG293" s="35">
        <f t="shared" si="464"/>
        <v>0</v>
      </c>
      <c r="BH293" s="35">
        <f t="shared" si="482"/>
        <v>0</v>
      </c>
      <c r="BI293" s="15">
        <f t="shared" si="497"/>
        <v>1.6921398281123374E-9</v>
      </c>
      <c r="BJ293" s="28">
        <f t="shared" si="498"/>
        <v>1.2142412830468365E-9</v>
      </c>
      <c r="BK293" s="28">
        <f t="shared" si="499"/>
        <v>0.71757739098983353</v>
      </c>
      <c r="BL293" s="33"/>
      <c r="BP293" s="31"/>
      <c r="BX293" s="35">
        <f t="shared" si="465"/>
        <v>0</v>
      </c>
      <c r="BY293" s="35">
        <f t="shared" si="483"/>
        <v>0</v>
      </c>
      <c r="BZ293" s="15">
        <f t="shared" si="500"/>
        <v>1.2866472909259148E-9</v>
      </c>
      <c r="CA293" s="28">
        <f t="shared" si="501"/>
        <v>7.5459310544974725E-10</v>
      </c>
      <c r="CB293" s="28">
        <f t="shared" si="502"/>
        <v>0.58648015720510061</v>
      </c>
      <c r="CC293" s="33"/>
      <c r="CG293" s="31"/>
      <c r="CO293" s="35">
        <f t="shared" si="466"/>
        <v>0</v>
      </c>
      <c r="CP293" s="35">
        <f t="shared" si="484"/>
        <v>0</v>
      </c>
      <c r="CQ293" s="15">
        <f t="shared" si="503"/>
        <v>1.4096857098704075E-9</v>
      </c>
      <c r="CR293" s="28">
        <f t="shared" si="504"/>
        <v>9.7648560453620104E-10</v>
      </c>
      <c r="CS293" s="28">
        <f t="shared" si="505"/>
        <v>0.69269738474256748</v>
      </c>
      <c r="CT293" s="33"/>
      <c r="CX293" s="31"/>
      <c r="DF293" s="35">
        <f t="shared" si="467"/>
        <v>0</v>
      </c>
      <c r="DG293" s="35">
        <f t="shared" si="485"/>
        <v>0</v>
      </c>
      <c r="DH293" s="15">
        <f t="shared" si="506"/>
        <v>1.3711194277039421E-9</v>
      </c>
      <c r="DI293" s="28">
        <f t="shared" si="507"/>
        <v>5.9333449188602557E-10</v>
      </c>
      <c r="DJ293" s="28">
        <f t="shared" si="508"/>
        <v>0.43273728013584883</v>
      </c>
      <c r="DK293" s="33"/>
      <c r="DO293" s="31"/>
      <c r="DW293" s="35">
        <f t="shared" si="468"/>
        <v>0</v>
      </c>
      <c r="DX293" s="35">
        <f t="shared" si="486"/>
        <v>0</v>
      </c>
      <c r="DY293" s="15">
        <f t="shared" si="509"/>
        <v>1.41959035937395E-9</v>
      </c>
      <c r="DZ293" s="28">
        <f t="shared" si="510"/>
        <v>5.7927339967236757E-10</v>
      </c>
      <c r="EA293" s="28">
        <f t="shared" si="511"/>
        <v>0.40805672977930862</v>
      </c>
      <c r="EB293" s="33"/>
      <c r="EF293" s="31"/>
      <c r="EN293" s="35">
        <f t="shared" si="469"/>
        <v>0</v>
      </c>
      <c r="EO293" s="35">
        <f t="shared" si="487"/>
        <v>0</v>
      </c>
      <c r="EP293" s="15">
        <f t="shared" si="512"/>
        <v>1.5156747289196504E-9</v>
      </c>
      <c r="EQ293" s="28">
        <f t="shared" si="513"/>
        <v>1.1382427177355336E-9</v>
      </c>
      <c r="ER293" s="28">
        <f t="shared" si="514"/>
        <v>0.75098086417714138</v>
      </c>
      <c r="ES293" s="33"/>
      <c r="EW293" s="31"/>
      <c r="FE293" s="35">
        <f t="shared" si="470"/>
        <v>0</v>
      </c>
      <c r="FF293" s="35">
        <f t="shared" si="488"/>
        <v>0</v>
      </c>
      <c r="FG293" s="15">
        <f t="shared" si="515"/>
        <v>1.4643011997522865E-9</v>
      </c>
      <c r="FH293" s="28">
        <f t="shared" si="516"/>
        <v>1.0419564286725406E-9</v>
      </c>
      <c r="FI293" s="28">
        <f t="shared" si="517"/>
        <v>0.71157247487662145</v>
      </c>
      <c r="FJ293" s="33"/>
      <c r="FN293" s="31"/>
      <c r="FV293" s="35">
        <f t="shared" si="471"/>
        <v>0</v>
      </c>
      <c r="FW293" s="35">
        <f t="shared" si="489"/>
        <v>0</v>
      </c>
      <c r="FX293" s="15">
        <f t="shared" si="518"/>
        <v>1.3784811995928639E-9</v>
      </c>
      <c r="FY293" s="28">
        <f t="shared" si="519"/>
        <v>1.0433292102607322E-9</v>
      </c>
      <c r="FZ293" s="28">
        <f t="shared" si="520"/>
        <v>0.75686865411648763</v>
      </c>
      <c r="GA293" s="33"/>
      <c r="GE293" s="31"/>
      <c r="GM293" s="35">
        <f t="shared" si="472"/>
        <v>0</v>
      </c>
      <c r="GN293" s="35">
        <f t="shared" si="490"/>
        <v>0</v>
      </c>
      <c r="GO293" s="15">
        <f t="shared" si="521"/>
        <v>1.4244355577218887E-9</v>
      </c>
      <c r="GP293" s="28">
        <f t="shared" si="522"/>
        <v>1.075264229595036E-9</v>
      </c>
      <c r="GQ293" s="28">
        <f t="shared" si="523"/>
        <v>0.75487039323471739</v>
      </c>
      <c r="GR293" s="33"/>
      <c r="GV293" s="31"/>
      <c r="HD293" s="35">
        <f t="shared" si="473"/>
        <v>0</v>
      </c>
      <c r="HE293" s="35">
        <f t="shared" si="491"/>
        <v>0</v>
      </c>
      <c r="HF293" s="15">
        <f t="shared" si="524"/>
        <v>2.0066091779130804E-9</v>
      </c>
      <c r="HG293" s="28">
        <f t="shared" si="525"/>
        <v>7.7995682194330509E-10</v>
      </c>
      <c r="HH293" s="28">
        <f t="shared" si="526"/>
        <v>0.38869393727904605</v>
      </c>
      <c r="HI293" s="33"/>
      <c r="HM293" s="31"/>
      <c r="HU293" s="35">
        <f t="shared" si="474"/>
        <v>0</v>
      </c>
      <c r="HV293" s="35">
        <f t="shared" si="492"/>
        <v>0</v>
      </c>
      <c r="HW293" s="15">
        <f t="shared" si="527"/>
        <v>4.6326294836486419E-18</v>
      </c>
      <c r="HX293" s="28">
        <f t="shared" si="528"/>
        <v>2.7410562917097305E-22</v>
      </c>
      <c r="HY293" s="28">
        <f t="shared" si="529"/>
        <v>5.9168476593791491E-5</v>
      </c>
      <c r="HZ293" s="33"/>
      <c r="ID293" s="31"/>
      <c r="II293" s="12"/>
      <c r="IL293" s="35">
        <f t="shared" si="475"/>
        <v>0</v>
      </c>
      <c r="IM293" s="35">
        <f t="shared" si="476"/>
        <v>2.9324007929038172</v>
      </c>
      <c r="IN293" s="15">
        <f t="shared" si="530"/>
        <v>4.5653162221371249E-10</v>
      </c>
      <c r="IO293" s="28">
        <f t="shared" si="531"/>
        <v>2.0274109351257202E-11</v>
      </c>
      <c r="IP293" s="28">
        <f t="shared" si="532"/>
        <v>4.4408992421923504E-2</v>
      </c>
      <c r="IQ293" s="33"/>
      <c r="IU293" s="31"/>
      <c r="JC293" s="35">
        <f t="shared" si="458"/>
        <v>0</v>
      </c>
      <c r="JD293" s="35">
        <f t="shared" si="477"/>
        <v>3.4634869318478367</v>
      </c>
      <c r="JE293" s="15">
        <f t="shared" si="533"/>
        <v>5.5129888274938501E-10</v>
      </c>
      <c r="JF293" s="28">
        <f t="shared" si="534"/>
        <v>2.5876933279513537E-11</v>
      </c>
      <c r="JG293" s="28">
        <f t="shared" si="535"/>
        <v>4.6938120299577918E-2</v>
      </c>
      <c r="JH293" s="33"/>
      <c r="JL293" s="31"/>
      <c r="JR293" s="99"/>
      <c r="JS293" s="99"/>
      <c r="JT293" s="99"/>
      <c r="JU293" s="99"/>
      <c r="JV293" s="99"/>
      <c r="JW293" s="99"/>
      <c r="JX293" s="99"/>
      <c r="JY293" s="99"/>
      <c r="JZ293" s="99"/>
      <c r="KA293" s="99"/>
      <c r="KB293" s="99"/>
      <c r="KC293" s="99"/>
      <c r="KD293" s="99"/>
      <c r="KE293" s="99"/>
      <c r="KF293" s="99"/>
      <c r="KG293" s="99"/>
      <c r="KH293" s="99"/>
      <c r="KI293" s="99"/>
      <c r="KJ293" s="99"/>
      <c r="KK293" s="99"/>
      <c r="KL293" s="99"/>
      <c r="KM293" s="99"/>
      <c r="KN293" s="99"/>
      <c r="KO293" s="99"/>
      <c r="KP293" s="99"/>
      <c r="KQ293" s="99"/>
      <c r="KR293" s="99"/>
      <c r="KS293" s="99"/>
      <c r="KT293" s="99"/>
      <c r="KU293" s="99"/>
      <c r="KV293" s="99"/>
      <c r="KW293" s="99"/>
      <c r="KX293" s="99"/>
      <c r="KY293" s="99"/>
      <c r="KZ293" s="99"/>
      <c r="LA293" s="99"/>
      <c r="LB293" s="99"/>
      <c r="LC293" s="99"/>
      <c r="LD293" s="99"/>
      <c r="LE293" s="99"/>
      <c r="LF293" s="99"/>
      <c r="LG293" s="99"/>
      <c r="LH293" s="99"/>
      <c r="LI293" s="99"/>
      <c r="LJ293" s="99"/>
      <c r="LK293" s="99"/>
      <c r="LL293" s="99"/>
      <c r="LM293" s="99"/>
      <c r="LN293" s="99"/>
      <c r="LO293" s="99"/>
      <c r="LP293" s="99"/>
      <c r="LQ293" s="99"/>
      <c r="LR293" s="99"/>
      <c r="LS293" s="99"/>
      <c r="LT293" s="99"/>
      <c r="LU293" s="99"/>
      <c r="LV293" s="99"/>
      <c r="LW293" s="99"/>
      <c r="LX293" s="99"/>
      <c r="LY293" s="99"/>
      <c r="LZ293" s="99"/>
      <c r="MA293" s="99"/>
      <c r="MB293" s="99"/>
      <c r="MC293" s="99"/>
      <c r="MD293" s="99"/>
      <c r="ME293" s="99"/>
      <c r="MF293" s="99"/>
    </row>
    <row r="294" spans="1:344" ht="17.25" customHeight="1" x14ac:dyDescent="0.25">
      <c r="A294" s="156"/>
      <c r="B294" s="81" t="s">
        <v>4</v>
      </c>
      <c r="C294" s="82">
        <v>45428</v>
      </c>
      <c r="D294" s="49"/>
      <c r="G294" s="89">
        <f t="shared" si="459"/>
        <v>0</v>
      </c>
      <c r="H294" s="35">
        <f t="shared" si="460"/>
        <v>0</v>
      </c>
      <c r="I294" s="39"/>
      <c r="L294" s="89">
        <f t="shared" si="461"/>
        <v>0</v>
      </c>
      <c r="M294" s="35">
        <f t="shared" si="478"/>
        <v>0</v>
      </c>
      <c r="N294" s="35">
        <f t="shared" si="479"/>
        <v>0</v>
      </c>
      <c r="O294" s="97" t="e">
        <f>SUM($Z294,$BH294,$AQ294,$BY294,$CP294,$DG294,$DX294,$EO294,$FF294,$FW294,$GN294)/D294</f>
        <v>#DIV/0!</v>
      </c>
      <c r="P294" s="150"/>
      <c r="Q294" s="132">
        <f t="shared" si="543"/>
        <v>0</v>
      </c>
      <c r="R294" s="134">
        <f t="shared" si="539"/>
        <v>0</v>
      </c>
      <c r="S294" s="136">
        <f t="shared" si="540"/>
        <v>0</v>
      </c>
      <c r="T294" s="138">
        <f t="shared" si="541"/>
        <v>0</v>
      </c>
      <c r="U294" s="144">
        <f t="shared" si="542"/>
        <v>0</v>
      </c>
      <c r="W294" s="11">
        <v>0</v>
      </c>
      <c r="X294" s="1">
        <v>0</v>
      </c>
      <c r="Y294" s="35">
        <f t="shared" si="462"/>
        <v>0</v>
      </c>
      <c r="Z294" s="35">
        <f t="shared" si="480"/>
        <v>0</v>
      </c>
      <c r="AA294" s="15">
        <f t="shared" si="493"/>
        <v>3.2773970718725695E-12</v>
      </c>
      <c r="AB294" s="43">
        <f t="shared" si="537"/>
        <v>2.8433102513113887E-13</v>
      </c>
      <c r="AC294" s="43">
        <f t="shared" si="538"/>
        <v>8.6755134912195386E-2</v>
      </c>
      <c r="AD294" s="33"/>
      <c r="AH294" s="31"/>
      <c r="AP294" s="35">
        <f t="shared" si="463"/>
        <v>0</v>
      </c>
      <c r="AQ294" s="35">
        <f t="shared" si="481"/>
        <v>0</v>
      </c>
      <c r="AR294" s="15">
        <f t="shared" si="494"/>
        <v>9.8974147803159584E-10</v>
      </c>
      <c r="AS294" s="28">
        <f t="shared" si="495"/>
        <v>5.9281278577100496E-10</v>
      </c>
      <c r="AT294" s="28">
        <f t="shared" si="496"/>
        <v>0.59895720137949038</v>
      </c>
      <c r="AU294" s="33"/>
      <c r="AY294" s="31"/>
      <c r="BG294" s="35">
        <f t="shared" si="464"/>
        <v>0</v>
      </c>
      <c r="BH294" s="35">
        <f t="shared" si="482"/>
        <v>0</v>
      </c>
      <c r="BI294" s="15">
        <f t="shared" si="497"/>
        <v>1.3631126393127161E-9</v>
      </c>
      <c r="BJ294" s="28">
        <f t="shared" si="498"/>
        <v>9.1068096228512732E-10</v>
      </c>
      <c r="BK294" s="28">
        <f t="shared" si="499"/>
        <v>0.66808929505950021</v>
      </c>
      <c r="BL294" s="33"/>
      <c r="BP294" s="31"/>
      <c r="BX294" s="35">
        <f t="shared" si="465"/>
        <v>0</v>
      </c>
      <c r="BY294" s="35">
        <f t="shared" si="483"/>
        <v>0</v>
      </c>
      <c r="BZ294" s="15">
        <f t="shared" si="500"/>
        <v>1.0364658732458758E-9</v>
      </c>
      <c r="CA294" s="28">
        <f t="shared" si="501"/>
        <v>5.6594482908731044E-10</v>
      </c>
      <c r="CB294" s="28">
        <f t="shared" si="502"/>
        <v>0.54603324981164536</v>
      </c>
      <c r="CC294" s="33"/>
      <c r="CG294" s="31"/>
      <c r="CO294" s="35">
        <f t="shared" si="466"/>
        <v>0</v>
      </c>
      <c r="CP294" s="35">
        <f t="shared" si="484"/>
        <v>0</v>
      </c>
      <c r="CQ294" s="15">
        <f t="shared" si="503"/>
        <v>1.135580155173384E-9</v>
      </c>
      <c r="CR294" s="28">
        <f t="shared" si="504"/>
        <v>7.3236420340215078E-10</v>
      </c>
      <c r="CS294" s="28">
        <f t="shared" si="505"/>
        <v>0.64492515131204553</v>
      </c>
      <c r="CT294" s="33"/>
      <c r="CX294" s="31"/>
      <c r="DF294" s="35">
        <f t="shared" si="467"/>
        <v>0</v>
      </c>
      <c r="DG294" s="35">
        <f t="shared" si="485"/>
        <v>0</v>
      </c>
      <c r="DH294" s="15">
        <f t="shared" si="506"/>
        <v>1.1045128723170645E-9</v>
      </c>
      <c r="DI294" s="28">
        <f t="shared" si="507"/>
        <v>4.4500086891451917E-10</v>
      </c>
      <c r="DJ294" s="28">
        <f t="shared" si="508"/>
        <v>0.40289332978165238</v>
      </c>
      <c r="DK294" s="33"/>
      <c r="DO294" s="31"/>
      <c r="DW294" s="35">
        <f t="shared" si="468"/>
        <v>0</v>
      </c>
      <c r="DX294" s="35">
        <f t="shared" si="486"/>
        <v>0</v>
      </c>
      <c r="DY294" s="15">
        <f t="shared" si="509"/>
        <v>1.1435589006067932E-9</v>
      </c>
      <c r="DZ294" s="28">
        <f t="shared" si="510"/>
        <v>4.344550497542757E-10</v>
      </c>
      <c r="EA294" s="28">
        <f t="shared" si="511"/>
        <v>0.37991488634625287</v>
      </c>
      <c r="EB294" s="33"/>
      <c r="EF294" s="31"/>
      <c r="EN294" s="35">
        <f t="shared" si="469"/>
        <v>0</v>
      </c>
      <c r="EO294" s="35">
        <f t="shared" si="487"/>
        <v>0</v>
      </c>
      <c r="EP294" s="15">
        <f t="shared" si="512"/>
        <v>1.2209601982963853E-9</v>
      </c>
      <c r="EQ294" s="28">
        <f t="shared" si="513"/>
        <v>8.5368203830165022E-10</v>
      </c>
      <c r="ER294" s="28">
        <f t="shared" si="514"/>
        <v>0.69918908044078676</v>
      </c>
      <c r="ES294" s="33"/>
      <c r="EW294" s="31"/>
      <c r="FE294" s="35">
        <f t="shared" si="470"/>
        <v>0</v>
      </c>
      <c r="FF294" s="35">
        <f t="shared" si="488"/>
        <v>0</v>
      </c>
      <c r="FG294" s="15">
        <f t="shared" si="515"/>
        <v>1.1795759664671197E-9</v>
      </c>
      <c r="FH294" s="28">
        <f t="shared" si="516"/>
        <v>7.8146732150440542E-10</v>
      </c>
      <c r="FI294" s="28">
        <f t="shared" si="517"/>
        <v>0.66249851109202684</v>
      </c>
      <c r="FJ294" s="33"/>
      <c r="FN294" s="31"/>
      <c r="FV294" s="35">
        <f t="shared" si="471"/>
        <v>0</v>
      </c>
      <c r="FW294" s="35">
        <f t="shared" si="489"/>
        <v>0</v>
      </c>
      <c r="FX294" s="15">
        <f t="shared" si="518"/>
        <v>1.1104431885609182E-9</v>
      </c>
      <c r="FY294" s="28">
        <f t="shared" si="519"/>
        <v>7.8249690769554918E-10</v>
      </c>
      <c r="FZ294" s="28">
        <f t="shared" si="520"/>
        <v>0.70467081590155745</v>
      </c>
      <c r="GA294" s="33"/>
      <c r="GE294" s="31"/>
      <c r="GM294" s="35">
        <f t="shared" si="472"/>
        <v>0</v>
      </c>
      <c r="GN294" s="35">
        <f t="shared" si="490"/>
        <v>0</v>
      </c>
      <c r="GO294" s="15">
        <f t="shared" si="521"/>
        <v>1.1474619770537436E-9</v>
      </c>
      <c r="GP294" s="28">
        <f t="shared" si="522"/>
        <v>8.0644817219627698E-10</v>
      </c>
      <c r="GQ294" s="28">
        <f t="shared" si="523"/>
        <v>0.70281036611508163</v>
      </c>
      <c r="GR294" s="33"/>
      <c r="GV294" s="31"/>
      <c r="HD294" s="35">
        <f t="shared" si="473"/>
        <v>0</v>
      </c>
      <c r="HE294" s="35">
        <f t="shared" si="491"/>
        <v>0</v>
      </c>
      <c r="HF294" s="15">
        <f t="shared" si="524"/>
        <v>1.6164351710966484E-9</v>
      </c>
      <c r="HG294" s="28">
        <f t="shared" si="525"/>
        <v>5.8496761645747882E-10</v>
      </c>
      <c r="HH294" s="28">
        <f t="shared" si="526"/>
        <v>0.36188745884600837</v>
      </c>
      <c r="HI294" s="33"/>
      <c r="HM294" s="31"/>
      <c r="HU294" s="35">
        <f t="shared" si="474"/>
        <v>0</v>
      </c>
      <c r="HV294" s="35">
        <f t="shared" si="492"/>
        <v>0</v>
      </c>
      <c r="HW294" s="15">
        <f t="shared" si="527"/>
        <v>3.7318404173836281E-18</v>
      </c>
      <c r="HX294" s="28">
        <f t="shared" si="528"/>
        <v>2.0557922187822979E-22</v>
      </c>
      <c r="HY294" s="28">
        <f t="shared" si="529"/>
        <v>5.5087892001116216E-5</v>
      </c>
      <c r="HZ294" s="33"/>
      <c r="ID294" s="31"/>
      <c r="II294" s="12"/>
      <c r="IL294" s="35">
        <f t="shared" si="475"/>
        <v>0</v>
      </c>
      <c r="IM294" s="35">
        <f t="shared" si="476"/>
        <v>2.730166254431404</v>
      </c>
      <c r="IN294" s="15">
        <f t="shared" si="530"/>
        <v>3.6776158456104612E-10</v>
      </c>
      <c r="IO294" s="28">
        <f t="shared" si="531"/>
        <v>1.5205582013442901E-11</v>
      </c>
      <c r="IP294" s="28">
        <f t="shared" si="532"/>
        <v>4.1346303289377058E-2</v>
      </c>
      <c r="IQ294" s="33"/>
      <c r="IU294" s="31"/>
      <c r="JC294" s="35">
        <f t="shared" si="458"/>
        <v>0</v>
      </c>
      <c r="JD294" s="35">
        <f t="shared" si="477"/>
        <v>3.2246257628964248</v>
      </c>
      <c r="JE294" s="15">
        <f t="shared" si="533"/>
        <v>4.4410187777033802E-10</v>
      </c>
      <c r="JF294" s="28">
        <f t="shared" si="534"/>
        <v>1.9407699959635154E-11</v>
      </c>
      <c r="JG294" s="28">
        <f t="shared" si="535"/>
        <v>4.3701008554779437E-2</v>
      </c>
      <c r="JH294" s="33"/>
      <c r="JL294" s="31"/>
      <c r="JR294" s="99"/>
      <c r="JS294" s="99"/>
      <c r="JT294" s="99"/>
      <c r="JU294" s="99"/>
      <c r="JV294" s="99"/>
      <c r="JW294" s="99"/>
      <c r="JX294" s="99"/>
      <c r="JY294" s="99"/>
      <c r="JZ294" s="99"/>
      <c r="KA294" s="99"/>
      <c r="KB294" s="99"/>
      <c r="KC294" s="99"/>
      <c r="KD294" s="99"/>
      <c r="KE294" s="99"/>
      <c r="KF294" s="99"/>
      <c r="KG294" s="99"/>
      <c r="KH294" s="99"/>
      <c r="KI294" s="99"/>
      <c r="KJ294" s="99"/>
      <c r="KK294" s="99"/>
      <c r="KL294" s="99"/>
      <c r="KM294" s="99"/>
      <c r="KN294" s="99"/>
      <c r="KO294" s="99"/>
      <c r="KP294" s="99"/>
      <c r="KQ294" s="99"/>
      <c r="KR294" s="99"/>
      <c r="KS294" s="99"/>
      <c r="KT294" s="99"/>
      <c r="KU294" s="99"/>
      <c r="KV294" s="99"/>
      <c r="KW294" s="99"/>
      <c r="KX294" s="99"/>
      <c r="KY294" s="99"/>
      <c r="KZ294" s="99"/>
      <c r="LA294" s="99"/>
      <c r="LB294" s="99"/>
      <c r="LC294" s="99"/>
      <c r="LD294" s="99"/>
      <c r="LE294" s="99"/>
      <c r="LF294" s="99"/>
      <c r="LG294" s="99"/>
      <c r="LH294" s="99"/>
      <c r="LI294" s="99"/>
      <c r="LJ294" s="99"/>
      <c r="LK294" s="99"/>
      <c r="LL294" s="99"/>
      <c r="LM294" s="99"/>
      <c r="LN294" s="99"/>
      <c r="LO294" s="99"/>
      <c r="LP294" s="99"/>
      <c r="LQ294" s="99"/>
      <c r="LR294" s="99"/>
      <c r="LS294" s="99"/>
      <c r="LT294" s="99"/>
      <c r="LU294" s="99"/>
      <c r="LV294" s="99"/>
      <c r="LW294" s="99"/>
      <c r="LX294" s="99"/>
      <c r="LY294" s="99"/>
      <c r="LZ294" s="99"/>
      <c r="MA294" s="99"/>
      <c r="MB294" s="99"/>
      <c r="MC294" s="99"/>
      <c r="MD294" s="99"/>
      <c r="ME294" s="99"/>
      <c r="MF294" s="99"/>
    </row>
    <row r="295" spans="1:344" ht="17.25" customHeight="1" x14ac:dyDescent="0.25">
      <c r="A295" s="156"/>
      <c r="B295" s="81" t="s">
        <v>5</v>
      </c>
      <c r="C295" s="82">
        <v>45429</v>
      </c>
      <c r="D295" s="49"/>
      <c r="G295" s="89">
        <f t="shared" si="459"/>
        <v>0</v>
      </c>
      <c r="H295" s="35">
        <f t="shared" si="460"/>
        <v>0</v>
      </c>
      <c r="I295" s="39"/>
      <c r="L295" s="89">
        <f t="shared" si="461"/>
        <v>0</v>
      </c>
      <c r="M295" s="35">
        <f t="shared" si="478"/>
        <v>0</v>
      </c>
      <c r="N295" s="35">
        <f t="shared" si="479"/>
        <v>0</v>
      </c>
      <c r="O295" s="97" t="e">
        <f>SUM($Z295,$BH295,$AQ295,$BY295,$CP295,$DG295,$DX295,$EO295,$FF295,$FW295,$GN295)/D295</f>
        <v>#DIV/0!</v>
      </c>
      <c r="P295" s="150"/>
      <c r="Q295" s="132">
        <f t="shared" si="543"/>
        <v>0</v>
      </c>
      <c r="R295" s="134">
        <f t="shared" si="539"/>
        <v>0</v>
      </c>
      <c r="S295" s="136">
        <f t="shared" si="540"/>
        <v>0</v>
      </c>
      <c r="T295" s="138">
        <f t="shared" si="541"/>
        <v>0</v>
      </c>
      <c r="U295" s="144">
        <f t="shared" si="542"/>
        <v>0</v>
      </c>
      <c r="W295" s="11">
        <v>0</v>
      </c>
      <c r="X295" s="1">
        <v>0</v>
      </c>
      <c r="Y295" s="35">
        <f t="shared" si="462"/>
        <v>0</v>
      </c>
      <c r="Z295" s="35">
        <f t="shared" si="480"/>
        <v>0</v>
      </c>
      <c r="AA295" s="15">
        <f t="shared" si="493"/>
        <v>2.6401254190084588E-12</v>
      </c>
      <c r="AB295" s="43">
        <f t="shared" si="537"/>
        <v>2.1324826884835415E-13</v>
      </c>
      <c r="AC295" s="43">
        <f t="shared" si="538"/>
        <v>8.0772022159630183E-2</v>
      </c>
      <c r="AD295" s="33"/>
      <c r="AH295" s="31"/>
      <c r="AP295" s="35">
        <f t="shared" si="463"/>
        <v>0</v>
      </c>
      <c r="AQ295" s="35">
        <f t="shared" si="481"/>
        <v>0</v>
      </c>
      <c r="AR295" s="15">
        <f t="shared" si="494"/>
        <v>7.972917461921188E-10</v>
      </c>
      <c r="AS295" s="28">
        <f t="shared" si="495"/>
        <v>4.4460958932825372E-10</v>
      </c>
      <c r="AT295" s="28">
        <f t="shared" si="496"/>
        <v>0.55764980818090482</v>
      </c>
      <c r="AU295" s="33"/>
      <c r="AY295" s="31"/>
      <c r="BG295" s="35">
        <f t="shared" si="464"/>
        <v>0</v>
      </c>
      <c r="BH295" s="35">
        <f t="shared" si="482"/>
        <v>0</v>
      </c>
      <c r="BI295" s="15">
        <f t="shared" si="497"/>
        <v>1.0980629594463546E-9</v>
      </c>
      <c r="BJ295" s="28">
        <f t="shared" si="498"/>
        <v>6.8301072171384544E-10</v>
      </c>
      <c r="BK295" s="28">
        <f t="shared" si="499"/>
        <v>0.6220141712622933</v>
      </c>
      <c r="BL295" s="33"/>
      <c r="BP295" s="31"/>
      <c r="BX295" s="35">
        <f t="shared" si="465"/>
        <v>0</v>
      </c>
      <c r="BY295" s="35">
        <f t="shared" si="483"/>
        <v>0</v>
      </c>
      <c r="BZ295" s="15">
        <f t="shared" si="500"/>
        <v>8.3493084233695547E-10</v>
      </c>
      <c r="CA295" s="28">
        <f t="shared" si="501"/>
        <v>4.2445862181548283E-10</v>
      </c>
      <c r="CB295" s="28">
        <f t="shared" si="502"/>
        <v>0.50837578430739394</v>
      </c>
      <c r="CC295" s="33"/>
      <c r="CG295" s="31"/>
      <c r="CO295" s="35">
        <f t="shared" si="466"/>
        <v>0</v>
      </c>
      <c r="CP295" s="35">
        <f t="shared" si="484"/>
        <v>0</v>
      </c>
      <c r="CQ295" s="15">
        <f t="shared" si="503"/>
        <v>9.1477290277855937E-10</v>
      </c>
      <c r="CR295" s="28">
        <f t="shared" si="504"/>
        <v>5.4927315255161311E-10</v>
      </c>
      <c r="CS295" s="28">
        <f t="shared" si="505"/>
        <v>0.60044755466983546</v>
      </c>
      <c r="CT295" s="33"/>
      <c r="CX295" s="31"/>
      <c r="DF295" s="35">
        <f t="shared" si="467"/>
        <v>0</v>
      </c>
      <c r="DG295" s="35">
        <f t="shared" si="485"/>
        <v>0</v>
      </c>
      <c r="DH295" s="15">
        <f t="shared" si="506"/>
        <v>8.8974648047763527E-10</v>
      </c>
      <c r="DI295" s="28">
        <f t="shared" si="507"/>
        <v>3.3375065168588938E-10</v>
      </c>
      <c r="DJ295" s="28">
        <f t="shared" si="508"/>
        <v>0.37510758290015911</v>
      </c>
      <c r="DK295" s="33"/>
      <c r="DO295" s="31"/>
      <c r="DW295" s="35">
        <f t="shared" si="468"/>
        <v>0</v>
      </c>
      <c r="DX295" s="35">
        <f t="shared" si="486"/>
        <v>0</v>
      </c>
      <c r="DY295" s="15">
        <f t="shared" si="509"/>
        <v>9.2120022548880569E-10</v>
      </c>
      <c r="DZ295" s="28">
        <f t="shared" si="510"/>
        <v>3.2584128731570678E-10</v>
      </c>
      <c r="EA295" s="28">
        <f t="shared" si="511"/>
        <v>0.35371385970168367</v>
      </c>
      <c r="EB295" s="33"/>
      <c r="EF295" s="31"/>
      <c r="EN295" s="35">
        <f t="shared" si="469"/>
        <v>0</v>
      </c>
      <c r="EO295" s="35">
        <f t="shared" si="487"/>
        <v>0</v>
      </c>
      <c r="EP295" s="15">
        <f t="shared" si="512"/>
        <v>9.8355127084986568E-10</v>
      </c>
      <c r="EQ295" s="28">
        <f t="shared" si="513"/>
        <v>6.4026152872623761E-10</v>
      </c>
      <c r="ER295" s="28">
        <f t="shared" si="514"/>
        <v>0.65096914385866356</v>
      </c>
      <c r="ES295" s="33"/>
      <c r="EW295" s="31"/>
      <c r="FE295" s="35">
        <f t="shared" si="470"/>
        <v>0</v>
      </c>
      <c r="FF295" s="35">
        <f t="shared" si="488"/>
        <v>0</v>
      </c>
      <c r="FG295" s="15">
        <f t="shared" si="515"/>
        <v>9.5021397298740215E-10</v>
      </c>
      <c r="FH295" s="28">
        <f t="shared" si="516"/>
        <v>5.8610049112830412E-10</v>
      </c>
      <c r="FI295" s="28">
        <f t="shared" si="517"/>
        <v>0.61680895860292151</v>
      </c>
      <c r="FJ295" s="33"/>
      <c r="FN295" s="31"/>
      <c r="FV295" s="35">
        <f t="shared" si="471"/>
        <v>0</v>
      </c>
      <c r="FW295" s="35">
        <f t="shared" si="489"/>
        <v>0</v>
      </c>
      <c r="FX295" s="15">
        <f t="shared" si="518"/>
        <v>8.9452367967407293E-10</v>
      </c>
      <c r="FY295" s="28">
        <f t="shared" si="519"/>
        <v>5.8687268077166191E-10</v>
      </c>
      <c r="FZ295" s="28">
        <f t="shared" si="520"/>
        <v>0.65607282859800176</v>
      </c>
      <c r="GA295" s="33"/>
      <c r="GE295" s="31"/>
      <c r="GM295" s="35">
        <f t="shared" si="472"/>
        <v>0</v>
      </c>
      <c r="GN295" s="35">
        <f t="shared" si="490"/>
        <v>0</v>
      </c>
      <c r="GO295" s="15">
        <f t="shared" si="521"/>
        <v>9.2434437040440463E-10</v>
      </c>
      <c r="GP295" s="28">
        <f t="shared" si="522"/>
        <v>6.0483612914720768E-10</v>
      </c>
      <c r="GQ295" s="28">
        <f t="shared" si="523"/>
        <v>0.6543406856933518</v>
      </c>
      <c r="GR295" s="33"/>
      <c r="GV295" s="31"/>
      <c r="HD295" s="35">
        <f t="shared" si="473"/>
        <v>0</v>
      </c>
      <c r="HE295" s="35">
        <f t="shared" si="491"/>
        <v>0</v>
      </c>
      <c r="HF295" s="15">
        <f t="shared" si="524"/>
        <v>1.3021283322723E-9</v>
      </c>
      <c r="HG295" s="28">
        <f t="shared" si="525"/>
        <v>4.3872571234310914E-10</v>
      </c>
      <c r="HH295" s="28">
        <f t="shared" si="526"/>
        <v>0.33692970306352504</v>
      </c>
      <c r="HI295" s="33"/>
      <c r="HM295" s="31"/>
      <c r="HU295" s="35">
        <f t="shared" si="474"/>
        <v>0</v>
      </c>
      <c r="HV295" s="35">
        <f t="shared" si="492"/>
        <v>0</v>
      </c>
      <c r="HW295" s="15">
        <f t="shared" si="527"/>
        <v>3.0062047806701453E-18</v>
      </c>
      <c r="HX295" s="28">
        <f t="shared" si="528"/>
        <v>1.5418441640867234E-22</v>
      </c>
      <c r="HY295" s="28">
        <f t="shared" si="529"/>
        <v>5.128872703552199E-5</v>
      </c>
      <c r="HZ295" s="33"/>
      <c r="ID295" s="31"/>
      <c r="II295" s="12"/>
      <c r="IL295" s="35">
        <f t="shared" si="475"/>
        <v>0</v>
      </c>
      <c r="IM295" s="35">
        <f t="shared" si="476"/>
        <v>2.5418789257395971</v>
      </c>
      <c r="IN295" s="15">
        <f t="shared" si="530"/>
        <v>2.9625238756306494E-10</v>
      </c>
      <c r="IO295" s="28">
        <f t="shared" si="531"/>
        <v>1.1404186510082175E-11</v>
      </c>
      <c r="IP295" s="28">
        <f t="shared" si="532"/>
        <v>3.8494834097006228E-2</v>
      </c>
      <c r="IQ295" s="33"/>
      <c r="IU295" s="31"/>
      <c r="JC295" s="35">
        <f t="shared" si="458"/>
        <v>0</v>
      </c>
      <c r="JD295" s="35">
        <f t="shared" si="477"/>
        <v>3.0022377782905885</v>
      </c>
      <c r="JE295" s="15">
        <f t="shared" si="533"/>
        <v>3.5774873487055009E-10</v>
      </c>
      <c r="JF295" s="28">
        <f t="shared" si="534"/>
        <v>1.4555774969726366E-11</v>
      </c>
      <c r="JG295" s="28">
        <f t="shared" si="535"/>
        <v>4.0687145895829127E-2</v>
      </c>
      <c r="JH295" s="33"/>
      <c r="JL295" s="31"/>
      <c r="JR295" s="99"/>
      <c r="JS295" s="99"/>
      <c r="JT295" s="99"/>
      <c r="JU295" s="99"/>
      <c r="JV295" s="99"/>
      <c r="JW295" s="99"/>
      <c r="JX295" s="99"/>
      <c r="JY295" s="99"/>
      <c r="JZ295" s="99"/>
      <c r="KA295" s="99"/>
      <c r="KB295" s="99"/>
      <c r="KC295" s="99"/>
      <c r="KD295" s="99"/>
      <c r="KE295" s="99"/>
      <c r="KF295" s="99"/>
      <c r="KG295" s="99"/>
      <c r="KH295" s="99"/>
      <c r="KI295" s="99"/>
      <c r="KJ295" s="99"/>
      <c r="KK295" s="99"/>
      <c r="KL295" s="99"/>
      <c r="KM295" s="99"/>
      <c r="KN295" s="99"/>
      <c r="KO295" s="99"/>
      <c r="KP295" s="99"/>
      <c r="KQ295" s="99"/>
      <c r="KR295" s="99"/>
      <c r="KS295" s="99"/>
      <c r="KT295" s="99"/>
      <c r="KU295" s="99"/>
      <c r="KV295" s="99"/>
      <c r="KW295" s="99"/>
      <c r="KX295" s="99"/>
      <c r="KY295" s="99"/>
      <c r="KZ295" s="99"/>
      <c r="LA295" s="99"/>
      <c r="LB295" s="99"/>
      <c r="LC295" s="99"/>
      <c r="LD295" s="99"/>
      <c r="LE295" s="99"/>
      <c r="LF295" s="99"/>
      <c r="LG295" s="99"/>
      <c r="LH295" s="99"/>
      <c r="LI295" s="99"/>
      <c r="LJ295" s="99"/>
      <c r="LK295" s="99"/>
      <c r="LL295" s="99"/>
      <c r="LM295" s="99"/>
      <c r="LN295" s="99"/>
      <c r="LO295" s="99"/>
      <c r="LP295" s="99"/>
      <c r="LQ295" s="99"/>
      <c r="LR295" s="99"/>
      <c r="LS295" s="99"/>
      <c r="LT295" s="99"/>
      <c r="LU295" s="99"/>
      <c r="LV295" s="99"/>
      <c r="LW295" s="99"/>
      <c r="LX295" s="99"/>
      <c r="LY295" s="99"/>
      <c r="LZ295" s="99"/>
      <c r="MA295" s="99"/>
      <c r="MB295" s="99"/>
      <c r="MC295" s="99"/>
      <c r="MD295" s="99"/>
      <c r="ME295" s="99"/>
      <c r="MF295" s="99"/>
    </row>
    <row r="296" spans="1:344" ht="17.25" customHeight="1" x14ac:dyDescent="0.25">
      <c r="A296" s="156"/>
      <c r="B296" s="81" t="s">
        <v>6</v>
      </c>
      <c r="C296" s="82">
        <v>45430</v>
      </c>
      <c r="D296" s="49"/>
      <c r="G296" s="89">
        <f t="shared" si="459"/>
        <v>0</v>
      </c>
      <c r="H296" s="35">
        <f t="shared" si="460"/>
        <v>0</v>
      </c>
      <c r="I296" s="39"/>
      <c r="L296" s="89">
        <f t="shared" si="461"/>
        <v>0</v>
      </c>
      <c r="M296" s="35">
        <f t="shared" si="478"/>
        <v>0</v>
      </c>
      <c r="N296" s="35">
        <f t="shared" si="479"/>
        <v>0</v>
      </c>
      <c r="O296" s="97" t="e">
        <f>SUM($Z296,$BH296,$AQ296,$BY296,$CP296,$DG296,$DX296,$EO296,$FF296,$FW296,$GN296)/D296</f>
        <v>#DIV/0!</v>
      </c>
      <c r="P296" s="150"/>
      <c r="Q296" s="132">
        <f t="shared" si="543"/>
        <v>0</v>
      </c>
      <c r="R296" s="134">
        <f t="shared" si="539"/>
        <v>0</v>
      </c>
      <c r="S296" s="136">
        <f t="shared" si="540"/>
        <v>0</v>
      </c>
      <c r="T296" s="138">
        <f t="shared" si="541"/>
        <v>0</v>
      </c>
      <c r="U296" s="144">
        <f t="shared" si="542"/>
        <v>0</v>
      </c>
      <c r="W296" s="11">
        <v>0</v>
      </c>
      <c r="X296" s="1">
        <v>0</v>
      </c>
      <c r="Y296" s="35">
        <f t="shared" si="462"/>
        <v>0</v>
      </c>
      <c r="Z296" s="35">
        <f t="shared" si="480"/>
        <v>0</v>
      </c>
      <c r="AA296" s="15">
        <f t="shared" si="493"/>
        <v>2.1267676986457031E-12</v>
      </c>
      <c r="AB296" s="43">
        <f t="shared" si="537"/>
        <v>1.5993620163626561E-13</v>
      </c>
      <c r="AC296" s="43">
        <f t="shared" si="538"/>
        <v>7.5201537872759128E-2</v>
      </c>
      <c r="AD296" s="33"/>
      <c r="AH296" s="31"/>
      <c r="AP296" s="35">
        <f t="shared" si="463"/>
        <v>0</v>
      </c>
      <c r="AQ296" s="35">
        <f t="shared" si="481"/>
        <v>0</v>
      </c>
      <c r="AR296" s="15">
        <f t="shared" si="494"/>
        <v>6.4226279554365128E-10</v>
      </c>
      <c r="AS296" s="28">
        <f t="shared" si="495"/>
        <v>3.334571919961903E-10</v>
      </c>
      <c r="AT296" s="28">
        <f t="shared" si="496"/>
        <v>0.51919120072015279</v>
      </c>
      <c r="AU296" s="33"/>
      <c r="AY296" s="31"/>
      <c r="BG296" s="35">
        <f t="shared" si="464"/>
        <v>0</v>
      </c>
      <c r="BH296" s="35">
        <f t="shared" si="482"/>
        <v>0</v>
      </c>
      <c r="BI296" s="15">
        <f t="shared" si="497"/>
        <v>8.8455071733178564E-10</v>
      </c>
      <c r="BJ296" s="28">
        <f t="shared" si="498"/>
        <v>5.1225804128538408E-10</v>
      </c>
      <c r="BK296" s="28">
        <f t="shared" si="499"/>
        <v>0.57911664220972137</v>
      </c>
      <c r="BL296" s="33"/>
      <c r="BP296" s="31"/>
      <c r="BX296" s="35">
        <f t="shared" si="465"/>
        <v>0</v>
      </c>
      <c r="BY296" s="35">
        <f t="shared" si="483"/>
        <v>0</v>
      </c>
      <c r="BZ296" s="15">
        <f t="shared" si="500"/>
        <v>6.725831785492142E-10</v>
      </c>
      <c r="CA296" s="28">
        <f t="shared" si="501"/>
        <v>3.1834396636161212E-10</v>
      </c>
      <c r="CB296" s="28">
        <f t="shared" si="502"/>
        <v>0.47331538538964263</v>
      </c>
      <c r="CC296" s="33"/>
      <c r="CG296" s="31"/>
      <c r="CO296" s="35">
        <f t="shared" si="466"/>
        <v>0</v>
      </c>
      <c r="CP296" s="35">
        <f t="shared" si="484"/>
        <v>0</v>
      </c>
      <c r="CQ296" s="15">
        <f t="shared" si="503"/>
        <v>7.3690039390495061E-10</v>
      </c>
      <c r="CR296" s="28">
        <f t="shared" si="504"/>
        <v>4.1195486441370986E-10</v>
      </c>
      <c r="CS296" s="28">
        <f t="shared" si="505"/>
        <v>0.55903737848570889</v>
      </c>
      <c r="CT296" s="33"/>
      <c r="CX296" s="31"/>
      <c r="DF296" s="35">
        <f t="shared" si="467"/>
        <v>0</v>
      </c>
      <c r="DG296" s="35">
        <f t="shared" si="485"/>
        <v>0</v>
      </c>
      <c r="DH296" s="15">
        <f t="shared" si="506"/>
        <v>7.1674022038476182E-10</v>
      </c>
      <c r="DI296" s="28">
        <f t="shared" si="507"/>
        <v>2.5031298876441702E-10</v>
      </c>
      <c r="DJ296" s="28">
        <f t="shared" si="508"/>
        <v>0.34923809442428605</v>
      </c>
      <c r="DK296" s="33"/>
      <c r="DO296" s="31"/>
      <c r="DW296" s="35">
        <f t="shared" si="468"/>
        <v>0</v>
      </c>
      <c r="DX296" s="35">
        <f t="shared" si="486"/>
        <v>0</v>
      </c>
      <c r="DY296" s="15">
        <f t="shared" si="509"/>
        <v>7.4207795942153791E-10</v>
      </c>
      <c r="DZ296" s="28">
        <f t="shared" si="510"/>
        <v>2.4438096548678007E-10</v>
      </c>
      <c r="EA296" s="28">
        <f t="shared" si="511"/>
        <v>0.32931980041191239</v>
      </c>
      <c r="EB296" s="33"/>
      <c r="EF296" s="31"/>
      <c r="EN296" s="35">
        <f t="shared" si="469"/>
        <v>0</v>
      </c>
      <c r="EO296" s="35">
        <f t="shared" si="487"/>
        <v>0</v>
      </c>
      <c r="EP296" s="15">
        <f t="shared" si="512"/>
        <v>7.9230519040683638E-10</v>
      </c>
      <c r="EQ296" s="28">
        <f t="shared" si="513"/>
        <v>4.8019614654467826E-10</v>
      </c>
      <c r="ER296" s="28">
        <f t="shared" si="514"/>
        <v>0.60607472014427299</v>
      </c>
      <c r="ES296" s="33"/>
      <c r="EW296" s="31"/>
      <c r="FE296" s="35">
        <f t="shared" si="470"/>
        <v>0</v>
      </c>
      <c r="FF296" s="35">
        <f t="shared" si="488"/>
        <v>0</v>
      </c>
      <c r="FG296" s="15">
        <f t="shared" si="515"/>
        <v>7.6545014490651836E-10</v>
      </c>
      <c r="FH296" s="28">
        <f t="shared" si="516"/>
        <v>4.3957536834622809E-10</v>
      </c>
      <c r="FI296" s="28">
        <f t="shared" si="517"/>
        <v>0.57427040973375454</v>
      </c>
      <c r="FJ296" s="33"/>
      <c r="FN296" s="31"/>
      <c r="FV296" s="35">
        <f t="shared" si="471"/>
        <v>0</v>
      </c>
      <c r="FW296" s="35">
        <f t="shared" si="489"/>
        <v>0</v>
      </c>
      <c r="FX296" s="15">
        <f t="shared" si="518"/>
        <v>7.2058851973744772E-10</v>
      </c>
      <c r="FY296" s="28">
        <f t="shared" si="519"/>
        <v>4.4015451057874643E-10</v>
      </c>
      <c r="FZ296" s="28">
        <f t="shared" si="520"/>
        <v>0.61082642662572573</v>
      </c>
      <c r="GA296" s="33"/>
      <c r="GE296" s="31"/>
      <c r="GM296" s="35">
        <f t="shared" si="472"/>
        <v>0</v>
      </c>
      <c r="GN296" s="35">
        <f t="shared" si="490"/>
        <v>0</v>
      </c>
      <c r="GO296" s="15">
        <f t="shared" si="521"/>
        <v>7.4461074282577043E-10</v>
      </c>
      <c r="GP296" s="28">
        <f t="shared" si="522"/>
        <v>4.5362709686040576E-10</v>
      </c>
      <c r="GQ296" s="28">
        <f t="shared" si="523"/>
        <v>0.60921374185243093</v>
      </c>
      <c r="GR296" s="33"/>
      <c r="GV296" s="31"/>
      <c r="HD296" s="35">
        <f t="shared" si="473"/>
        <v>0</v>
      </c>
      <c r="HE296" s="35">
        <f t="shared" si="491"/>
        <v>0</v>
      </c>
      <c r="HF296" s="15">
        <f t="shared" si="524"/>
        <v>1.0489367121082418E-9</v>
      </c>
      <c r="HG296" s="28">
        <f t="shared" si="525"/>
        <v>3.2904428425733186E-10</v>
      </c>
      <c r="HH296" s="28">
        <f t="shared" si="526"/>
        <v>0.31369317181776468</v>
      </c>
      <c r="HI296" s="33"/>
      <c r="HM296" s="31"/>
      <c r="HU296" s="35">
        <f t="shared" si="474"/>
        <v>0</v>
      </c>
      <c r="HV296" s="35">
        <f t="shared" si="492"/>
        <v>0</v>
      </c>
      <c r="HW296" s="15">
        <f t="shared" si="527"/>
        <v>2.4216649622065058E-18</v>
      </c>
      <c r="HX296" s="28">
        <f t="shared" si="528"/>
        <v>1.1563831230650425E-22</v>
      </c>
      <c r="HY296" s="28">
        <f t="shared" si="529"/>
        <v>4.7751573446865301E-5</v>
      </c>
      <c r="HZ296" s="33"/>
      <c r="ID296" s="31"/>
      <c r="II296" s="12"/>
      <c r="IL296" s="35">
        <f t="shared" si="475"/>
        <v>0</v>
      </c>
      <c r="IM296" s="35">
        <f t="shared" si="476"/>
        <v>2.3665769302393387</v>
      </c>
      <c r="IN296" s="15">
        <f t="shared" si="530"/>
        <v>2.3864775664802453E-10</v>
      </c>
      <c r="IO296" s="28">
        <f t="shared" si="531"/>
        <v>8.5531398825616324E-12</v>
      </c>
      <c r="IP296" s="28">
        <f t="shared" si="532"/>
        <v>3.584001795238511E-2</v>
      </c>
      <c r="IQ296" s="33"/>
      <c r="IU296" s="31"/>
      <c r="JC296" s="35">
        <f t="shared" si="458"/>
        <v>0</v>
      </c>
      <c r="JD296" s="35">
        <f t="shared" si="477"/>
        <v>2.7951868962870652</v>
      </c>
      <c r="JE296" s="15">
        <f t="shared" si="533"/>
        <v>2.8818648086794319E-10</v>
      </c>
      <c r="JF296" s="28">
        <f t="shared" si="534"/>
        <v>1.0916831227294775E-11</v>
      </c>
      <c r="JG296" s="28">
        <f t="shared" si="535"/>
        <v>3.7881135834047806E-2</v>
      </c>
      <c r="JH296" s="33"/>
      <c r="JL296" s="31"/>
      <c r="JR296" s="99"/>
      <c r="JS296" s="99"/>
      <c r="JT296" s="99"/>
      <c r="JU296" s="99"/>
      <c r="JV296" s="99"/>
      <c r="JW296" s="99"/>
      <c r="JX296" s="99"/>
      <c r="JY296" s="99"/>
      <c r="JZ296" s="99"/>
      <c r="KA296" s="99"/>
      <c r="KB296" s="99"/>
      <c r="KC296" s="99"/>
      <c r="KD296" s="99"/>
      <c r="KE296" s="99"/>
      <c r="KF296" s="99"/>
      <c r="KG296" s="99"/>
      <c r="KH296" s="99"/>
      <c r="KI296" s="99"/>
      <c r="KJ296" s="99"/>
      <c r="KK296" s="99"/>
      <c r="KL296" s="99"/>
      <c r="KM296" s="99"/>
      <c r="KN296" s="99"/>
      <c r="KO296" s="99"/>
      <c r="KP296" s="99"/>
      <c r="KQ296" s="99"/>
      <c r="KR296" s="99"/>
      <c r="KS296" s="99"/>
      <c r="KT296" s="99"/>
      <c r="KU296" s="99"/>
      <c r="KV296" s="99"/>
      <c r="KW296" s="99"/>
      <c r="KX296" s="99"/>
      <c r="KY296" s="99"/>
      <c r="KZ296" s="99"/>
      <c r="LA296" s="99"/>
      <c r="LB296" s="99"/>
      <c r="LC296" s="99"/>
      <c r="LD296" s="99"/>
      <c r="LE296" s="99"/>
      <c r="LF296" s="99"/>
      <c r="LG296" s="99"/>
      <c r="LH296" s="99"/>
      <c r="LI296" s="99"/>
      <c r="LJ296" s="99"/>
      <c r="LK296" s="99"/>
      <c r="LL296" s="99"/>
      <c r="LM296" s="99"/>
      <c r="LN296" s="99"/>
      <c r="LO296" s="99"/>
      <c r="LP296" s="99"/>
      <c r="LQ296" s="99"/>
      <c r="LR296" s="99"/>
      <c r="LS296" s="99"/>
      <c r="LT296" s="99"/>
      <c r="LU296" s="99"/>
      <c r="LV296" s="99"/>
      <c r="LW296" s="99"/>
      <c r="LX296" s="99"/>
      <c r="LY296" s="99"/>
      <c r="LZ296" s="99"/>
      <c r="MA296" s="99"/>
      <c r="MB296" s="99"/>
      <c r="MC296" s="99"/>
      <c r="MD296" s="99"/>
      <c r="ME296" s="99"/>
      <c r="MF296" s="99"/>
    </row>
    <row r="297" spans="1:344" ht="17.25" customHeight="1" x14ac:dyDescent="0.25">
      <c r="A297" s="157"/>
      <c r="B297" s="83" t="s">
        <v>7</v>
      </c>
      <c r="C297" s="84">
        <v>45431</v>
      </c>
      <c r="D297" s="51"/>
      <c r="E297" s="48"/>
      <c r="F297" s="104"/>
      <c r="G297" s="37">
        <f t="shared" si="459"/>
        <v>0</v>
      </c>
      <c r="H297" s="26">
        <f t="shared" si="460"/>
        <v>0</v>
      </c>
      <c r="I297" s="48"/>
      <c r="J297" s="48"/>
      <c r="K297" s="104"/>
      <c r="L297" s="37">
        <f t="shared" si="461"/>
        <v>0</v>
      </c>
      <c r="M297" s="26">
        <f t="shared" si="478"/>
        <v>0</v>
      </c>
      <c r="N297" s="26">
        <f t="shared" si="479"/>
        <v>0</v>
      </c>
      <c r="O297" s="98" t="e">
        <f>SUM($Z297,$BH297,$AQ297,$BY297,$CP297,$DG297,$DX297,$EO297,$FF297,$FW297,$GN297)/D297</f>
        <v>#DIV/0!</v>
      </c>
      <c r="P297" s="151"/>
      <c r="Q297" s="139">
        <f t="shared" si="543"/>
        <v>0</v>
      </c>
      <c r="R297" s="140">
        <f t="shared" si="539"/>
        <v>0</v>
      </c>
      <c r="S297" s="141">
        <f t="shared" si="540"/>
        <v>0</v>
      </c>
      <c r="T297" s="142">
        <f t="shared" si="541"/>
        <v>0</v>
      </c>
      <c r="U297" s="145">
        <f t="shared" si="542"/>
        <v>0</v>
      </c>
      <c r="V297" s="23"/>
      <c r="W297" s="13">
        <v>0</v>
      </c>
      <c r="X297" s="2">
        <v>0</v>
      </c>
      <c r="Y297" s="26">
        <f t="shared" si="462"/>
        <v>0</v>
      </c>
      <c r="Z297" s="26">
        <f t="shared" si="480"/>
        <v>0</v>
      </c>
      <c r="AA297" s="16">
        <f t="shared" si="493"/>
        <v>1.71322953502015E-12</v>
      </c>
      <c r="AB297" s="44">
        <f t="shared" si="537"/>
        <v>1.1995215122719922E-13</v>
      </c>
      <c r="AC297" s="44">
        <f t="shared" si="538"/>
        <v>7.001522491601711E-2</v>
      </c>
      <c r="AD297" s="34"/>
      <c r="AE297" s="4"/>
      <c r="AF297" s="5"/>
      <c r="AG297" s="6"/>
      <c r="AH297" s="32"/>
      <c r="AI297" s="3"/>
      <c r="AJ297" s="4"/>
      <c r="AK297" s="5"/>
      <c r="AL297" s="6"/>
      <c r="AM297" s="14"/>
      <c r="AN297" s="13"/>
      <c r="AO297" s="2"/>
      <c r="AP297" s="26">
        <f t="shared" si="463"/>
        <v>0</v>
      </c>
      <c r="AQ297" s="26">
        <f t="shared" si="481"/>
        <v>0</v>
      </c>
      <c r="AR297" s="16">
        <f t="shared" si="494"/>
        <v>5.1737836307683029E-10</v>
      </c>
      <c r="AS297" s="29">
        <f t="shared" si="495"/>
        <v>2.5009289399714275E-10</v>
      </c>
      <c r="AT297" s="29">
        <f t="shared" si="496"/>
        <v>0.48338491101531467</v>
      </c>
      <c r="AU297" s="34"/>
      <c r="AV297" s="4"/>
      <c r="AW297" s="5"/>
      <c r="AX297" s="6"/>
      <c r="AY297" s="32"/>
      <c r="AZ297" s="3"/>
      <c r="BA297" s="4"/>
      <c r="BB297" s="5"/>
      <c r="BC297" s="6"/>
      <c r="BD297" s="14"/>
      <c r="BE297" s="13"/>
      <c r="BF297" s="2"/>
      <c r="BG297" s="26">
        <f t="shared" si="464"/>
        <v>0</v>
      </c>
      <c r="BH297" s="26">
        <f t="shared" si="482"/>
        <v>0</v>
      </c>
      <c r="BI297" s="16">
        <f t="shared" si="497"/>
        <v>7.125547445172718E-10</v>
      </c>
      <c r="BJ297" s="29">
        <f t="shared" si="498"/>
        <v>3.8419353096403806E-10</v>
      </c>
      <c r="BK297" s="29">
        <f t="shared" si="499"/>
        <v>0.53917756343663714</v>
      </c>
      <c r="BL297" s="34"/>
      <c r="BM297" s="4"/>
      <c r="BN297" s="5"/>
      <c r="BO297" s="6"/>
      <c r="BP297" s="32"/>
      <c r="BQ297" s="3"/>
      <c r="BR297" s="4"/>
      <c r="BS297" s="5"/>
      <c r="BT297" s="6"/>
      <c r="BU297" s="14"/>
      <c r="BV297" s="13"/>
      <c r="BW297" s="2"/>
      <c r="BX297" s="26">
        <f t="shared" si="465"/>
        <v>0</v>
      </c>
      <c r="BY297" s="26">
        <f t="shared" si="483"/>
        <v>0</v>
      </c>
      <c r="BZ297" s="16">
        <f t="shared" si="500"/>
        <v>5.4180311605353357E-10</v>
      </c>
      <c r="CA297" s="29">
        <f t="shared" si="501"/>
        <v>2.3875797477120907E-10</v>
      </c>
      <c r="CB297" s="29">
        <f t="shared" si="502"/>
        <v>0.44067294501794313</v>
      </c>
      <c r="CC297" s="34"/>
      <c r="CD297" s="4"/>
      <c r="CE297" s="5"/>
      <c r="CF297" s="6"/>
      <c r="CG297" s="32"/>
      <c r="CH297" s="3"/>
      <c r="CI297" s="4"/>
      <c r="CJ297" s="5"/>
      <c r="CK297" s="6"/>
      <c r="CL297" s="14"/>
      <c r="CM297" s="13"/>
      <c r="CN297" s="2"/>
      <c r="CO297" s="26">
        <f t="shared" si="466"/>
        <v>0</v>
      </c>
      <c r="CP297" s="26">
        <f t="shared" si="484"/>
        <v>0</v>
      </c>
      <c r="CQ297" s="16">
        <f t="shared" si="503"/>
        <v>5.9361420620121038E-10</v>
      </c>
      <c r="CR297" s="29">
        <f t="shared" si="504"/>
        <v>3.0896614831028242E-10</v>
      </c>
      <c r="CS297" s="29">
        <f t="shared" si="505"/>
        <v>0.5204830765211772</v>
      </c>
      <c r="CT297" s="34"/>
      <c r="CU297" s="4"/>
      <c r="CV297" s="5"/>
      <c r="CW297" s="6"/>
      <c r="CX297" s="32"/>
      <c r="CY297" s="3"/>
      <c r="CZ297" s="4"/>
      <c r="DA297" s="5"/>
      <c r="DB297" s="6"/>
      <c r="DC297" s="14"/>
      <c r="DD297" s="13"/>
      <c r="DE297" s="2"/>
      <c r="DF297" s="26">
        <f t="shared" si="467"/>
        <v>0</v>
      </c>
      <c r="DG297" s="26">
        <f t="shared" si="485"/>
        <v>0</v>
      </c>
      <c r="DH297" s="16">
        <f t="shared" si="506"/>
        <v>5.773740664210582E-10</v>
      </c>
      <c r="DI297" s="29">
        <f t="shared" si="507"/>
        <v>1.8773474157331278E-10</v>
      </c>
      <c r="DJ297" s="29">
        <f t="shared" si="508"/>
        <v>0.32515270860192147</v>
      </c>
      <c r="DK297" s="34"/>
      <c r="DL297" s="4"/>
      <c r="DM297" s="5"/>
      <c r="DN297" s="6"/>
      <c r="DO297" s="32"/>
      <c r="DP297" s="3"/>
      <c r="DQ297" s="4"/>
      <c r="DR297" s="5"/>
      <c r="DS297" s="6"/>
      <c r="DT297" s="14"/>
      <c r="DU297" s="13"/>
      <c r="DV297" s="2"/>
      <c r="DW297" s="26">
        <f t="shared" si="468"/>
        <v>0</v>
      </c>
      <c r="DX297" s="26">
        <f t="shared" si="486"/>
        <v>0</v>
      </c>
      <c r="DY297" s="16">
        <f t="shared" si="509"/>
        <v>5.9778502286734994E-10</v>
      </c>
      <c r="DZ297" s="29">
        <f t="shared" si="510"/>
        <v>1.8328572411508505E-10</v>
      </c>
      <c r="EA297" s="29">
        <f t="shared" si="511"/>
        <v>0.30660809003867706</v>
      </c>
      <c r="EB297" s="34"/>
      <c r="EC297" s="4"/>
      <c r="ED297" s="5"/>
      <c r="EE297" s="6"/>
      <c r="EF297" s="32"/>
      <c r="EG297" s="3"/>
      <c r="EH297" s="4"/>
      <c r="EI297" s="5"/>
      <c r="EJ297" s="6"/>
      <c r="EK297" s="14"/>
      <c r="EL297" s="13"/>
      <c r="EM297" s="2"/>
      <c r="EN297" s="26">
        <f t="shared" si="469"/>
        <v>0</v>
      </c>
      <c r="EO297" s="26">
        <f t="shared" si="487"/>
        <v>0</v>
      </c>
      <c r="EP297" s="16">
        <f t="shared" si="512"/>
        <v>6.3824584782772927E-10</v>
      </c>
      <c r="EQ297" s="29">
        <f t="shared" si="513"/>
        <v>3.601471099085087E-10</v>
      </c>
      <c r="ER297" s="29">
        <f t="shared" si="514"/>
        <v>0.56427646358259897</v>
      </c>
      <c r="ES297" s="34"/>
      <c r="ET297" s="4"/>
      <c r="EU297" s="5"/>
      <c r="EV297" s="6"/>
      <c r="EW297" s="32"/>
      <c r="EX297" s="3"/>
      <c r="EY297" s="4"/>
      <c r="EZ297" s="5"/>
      <c r="FA297" s="6"/>
      <c r="FB297" s="14"/>
      <c r="FC297" s="13"/>
      <c r="FD297" s="2"/>
      <c r="FE297" s="26">
        <f t="shared" si="470"/>
        <v>0</v>
      </c>
      <c r="FF297" s="26">
        <f t="shared" si="488"/>
        <v>0</v>
      </c>
      <c r="FG297" s="16">
        <f t="shared" si="515"/>
        <v>6.1661261673025098E-10</v>
      </c>
      <c r="FH297" s="29">
        <f t="shared" si="516"/>
        <v>3.2968152625967108E-10</v>
      </c>
      <c r="FI297" s="29">
        <f t="shared" si="517"/>
        <v>0.53466555389004733</v>
      </c>
      <c r="FJ297" s="34"/>
      <c r="FK297" s="4"/>
      <c r="FL297" s="5"/>
      <c r="FM297" s="6"/>
      <c r="FN297" s="32"/>
      <c r="FO297" s="3"/>
      <c r="FP297" s="4"/>
      <c r="FQ297" s="5"/>
      <c r="FR297" s="6"/>
      <c r="FS297" s="14"/>
      <c r="FT297" s="13"/>
      <c r="FU297" s="2"/>
      <c r="FV297" s="26">
        <f t="shared" si="471"/>
        <v>0</v>
      </c>
      <c r="FW297" s="26">
        <f t="shared" si="489"/>
        <v>0</v>
      </c>
      <c r="FX297" s="16">
        <f t="shared" si="518"/>
        <v>5.8047408534405509E-10</v>
      </c>
      <c r="FY297" s="29">
        <f t="shared" si="519"/>
        <v>3.3011588293405983E-10</v>
      </c>
      <c r="FZ297" s="29">
        <f t="shared" si="520"/>
        <v>0.56870046616877912</v>
      </c>
      <c r="GA297" s="34"/>
      <c r="GB297" s="4"/>
      <c r="GC297" s="5"/>
      <c r="GD297" s="6"/>
      <c r="GE297" s="32"/>
      <c r="GF297" s="3"/>
      <c r="GG297" s="4"/>
      <c r="GH297" s="5"/>
      <c r="GI297" s="6"/>
      <c r="GJ297" s="14"/>
      <c r="GK297" s="13"/>
      <c r="GL297" s="2"/>
      <c r="GM297" s="26">
        <f t="shared" si="472"/>
        <v>0</v>
      </c>
      <c r="GN297" s="26">
        <f t="shared" si="490"/>
        <v>0</v>
      </c>
      <c r="GO297" s="16">
        <f t="shared" si="521"/>
        <v>5.9982532060964847E-10</v>
      </c>
      <c r="GP297" s="29">
        <f t="shared" si="522"/>
        <v>3.4022032264530433E-10</v>
      </c>
      <c r="GQ297" s="29">
        <f t="shared" si="523"/>
        <v>0.56719900103502185</v>
      </c>
      <c r="GR297" s="34"/>
      <c r="GS297" s="4"/>
      <c r="GT297" s="5"/>
      <c r="GU297" s="6"/>
      <c r="GV297" s="32"/>
      <c r="GW297" s="3"/>
      <c r="GX297" s="4"/>
      <c r="GY297" s="5"/>
      <c r="GZ297" s="6"/>
      <c r="HA297" s="14"/>
      <c r="HB297" s="13"/>
      <c r="HC297" s="2"/>
      <c r="HD297" s="26">
        <f t="shared" si="473"/>
        <v>0</v>
      </c>
      <c r="HE297" s="26">
        <f t="shared" si="491"/>
        <v>0</v>
      </c>
      <c r="HF297" s="16">
        <f t="shared" si="524"/>
        <v>8.4497679586497253E-10</v>
      </c>
      <c r="HG297" s="29">
        <f t="shared" si="525"/>
        <v>2.4678321319299888E-10</v>
      </c>
      <c r="HH297" s="29">
        <f t="shared" si="526"/>
        <v>0.29205915996826365</v>
      </c>
      <c r="HI297" s="34"/>
      <c r="HJ297" s="4"/>
      <c r="HK297" s="5"/>
      <c r="HL297" s="6"/>
      <c r="HM297" s="32"/>
      <c r="HN297" s="3"/>
      <c r="HO297" s="4"/>
      <c r="HP297" s="5"/>
      <c r="HQ297" s="6"/>
      <c r="HR297" s="14"/>
      <c r="HS297" s="13"/>
      <c r="HT297" s="2"/>
      <c r="HU297" s="26">
        <f t="shared" si="474"/>
        <v>0</v>
      </c>
      <c r="HV297" s="26">
        <f t="shared" si="492"/>
        <v>0</v>
      </c>
      <c r="HW297" s="16">
        <f t="shared" si="527"/>
        <v>1.9507856639996853E-18</v>
      </c>
      <c r="HX297" s="29">
        <f t="shared" si="528"/>
        <v>8.6728734229878185E-23</v>
      </c>
      <c r="HY297" s="29">
        <f t="shared" si="529"/>
        <v>4.4458361485012524E-5</v>
      </c>
      <c r="HZ297" s="34"/>
      <c r="IA297" s="4"/>
      <c r="IB297" s="5"/>
      <c r="IC297" s="6"/>
      <c r="ID297" s="32"/>
      <c r="IE297" s="3"/>
      <c r="IF297" s="4"/>
      <c r="IG297" s="5"/>
      <c r="IH297" s="6"/>
      <c r="II297" s="14"/>
      <c r="IJ297" s="13"/>
      <c r="IK297" s="2"/>
      <c r="IL297" s="26">
        <f t="shared" si="475"/>
        <v>0</v>
      </c>
      <c r="IM297" s="26">
        <f t="shared" si="476"/>
        <v>2.2033647276701567</v>
      </c>
      <c r="IN297" s="16">
        <f t="shared" si="530"/>
        <v>1.9224402618868642E-10</v>
      </c>
      <c r="IO297" s="29">
        <f t="shared" si="531"/>
        <v>6.4148549119212243E-12</v>
      </c>
      <c r="IP297" s="29">
        <f t="shared" si="532"/>
        <v>3.3368292576358552E-2</v>
      </c>
      <c r="IQ297" s="34"/>
      <c r="IR297" s="4"/>
      <c r="IS297" s="5"/>
      <c r="IT297" s="6"/>
      <c r="IU297" s="32"/>
      <c r="IV297" s="3"/>
      <c r="IW297" s="4"/>
      <c r="IX297" s="5"/>
      <c r="IY297" s="6"/>
      <c r="IZ297" s="14"/>
      <c r="JA297" s="13"/>
      <c r="JB297" s="2"/>
      <c r="JC297" s="26">
        <f t="shared" si="458"/>
        <v>0</v>
      </c>
      <c r="JD297" s="26">
        <f t="shared" si="477"/>
        <v>2.6024153856225936</v>
      </c>
      <c r="JE297" s="16">
        <f t="shared" si="533"/>
        <v>2.3215022069917647E-10</v>
      </c>
      <c r="JF297" s="29">
        <f t="shared" si="534"/>
        <v>8.1876234204710813E-12</v>
      </c>
      <c r="JG297" s="29">
        <f t="shared" si="535"/>
        <v>3.5268643707561748E-2</v>
      </c>
      <c r="JH297" s="34"/>
      <c r="JI297" s="4"/>
      <c r="JJ297" s="5"/>
      <c r="JK297" s="6"/>
      <c r="JL297" s="32"/>
      <c r="JM297" s="3"/>
      <c r="JN297" s="4"/>
      <c r="JO297" s="5"/>
      <c r="JP297" s="6"/>
      <c r="JQ297" s="14"/>
      <c r="JR297" s="99"/>
      <c r="JS297" s="99"/>
      <c r="JT297" s="99"/>
      <c r="JU297" s="99"/>
      <c r="JV297" s="99"/>
      <c r="JW297" s="99"/>
      <c r="JX297" s="99"/>
      <c r="JY297" s="99"/>
      <c r="JZ297" s="99"/>
      <c r="KA297" s="99"/>
      <c r="KB297" s="99"/>
      <c r="KC297" s="99"/>
      <c r="KD297" s="99"/>
      <c r="KE297" s="99"/>
      <c r="KF297" s="99"/>
      <c r="KG297" s="99"/>
      <c r="KH297" s="99"/>
      <c r="KI297" s="99"/>
      <c r="KJ297" s="99"/>
      <c r="KK297" s="99"/>
      <c r="KL297" s="99"/>
      <c r="KM297" s="99"/>
      <c r="KN297" s="99"/>
      <c r="KO297" s="99"/>
      <c r="KP297" s="99"/>
      <c r="KQ297" s="99"/>
      <c r="KR297" s="99"/>
      <c r="KS297" s="99"/>
      <c r="KT297" s="99"/>
      <c r="KU297" s="99"/>
      <c r="KV297" s="99"/>
      <c r="KW297" s="99"/>
      <c r="KX297" s="99"/>
      <c r="KY297" s="99"/>
      <c r="KZ297" s="99"/>
      <c r="LA297" s="99"/>
      <c r="LB297" s="99"/>
      <c r="LC297" s="99"/>
      <c r="LD297" s="99"/>
      <c r="LE297" s="99"/>
      <c r="LF297" s="99"/>
      <c r="LG297" s="99"/>
      <c r="LH297" s="99"/>
      <c r="LI297" s="99"/>
      <c r="LJ297" s="99"/>
      <c r="LK297" s="99"/>
      <c r="LL297" s="99"/>
      <c r="LM297" s="99"/>
      <c r="LN297" s="99"/>
      <c r="LO297" s="99"/>
      <c r="LP297" s="99"/>
      <c r="LQ297" s="99"/>
      <c r="LR297" s="99"/>
      <c r="LS297" s="99"/>
      <c r="LT297" s="99"/>
      <c r="LU297" s="99"/>
      <c r="LV297" s="99"/>
      <c r="LW297" s="99"/>
      <c r="LX297" s="99"/>
      <c r="LY297" s="99"/>
      <c r="LZ297" s="99"/>
      <c r="MA297" s="99"/>
      <c r="MB297" s="99"/>
      <c r="MC297" s="99"/>
      <c r="MD297" s="99"/>
      <c r="ME297" s="99"/>
      <c r="MF297" s="99"/>
    </row>
    <row r="298" spans="1:344" ht="17.25" customHeight="1" x14ac:dyDescent="0.25">
      <c r="A298" s="155" t="s">
        <v>48</v>
      </c>
      <c r="B298" s="79" t="s">
        <v>1</v>
      </c>
      <c r="C298" s="80">
        <v>45432</v>
      </c>
      <c r="D298" s="50"/>
      <c r="G298" s="36">
        <f t="shared" si="459"/>
        <v>0</v>
      </c>
      <c r="H298" s="27">
        <f t="shared" si="460"/>
        <v>0</v>
      </c>
      <c r="I298" s="47"/>
      <c r="K298" s="105"/>
      <c r="L298" s="89">
        <f t="shared" si="461"/>
        <v>0</v>
      </c>
      <c r="M298" s="27">
        <f t="shared" si="478"/>
        <v>0</v>
      </c>
      <c r="N298" s="35">
        <f t="shared" si="479"/>
        <v>0</v>
      </c>
      <c r="O298" s="97" t="e">
        <f>SUM($Z298,$BH298,$AQ298,$BY298,$CP298,$DG298,$DX298,$EO298,$FF298,$FW298,$GN298)/I298</f>
        <v>#DIV/0!</v>
      </c>
      <c r="P298" s="149">
        <f t="shared" si="536"/>
        <v>0</v>
      </c>
      <c r="Q298" s="131">
        <f t="shared" si="543"/>
        <v>0</v>
      </c>
      <c r="R298" s="133">
        <f t="shared" si="539"/>
        <v>0</v>
      </c>
      <c r="S298" s="135">
        <f t="shared" si="540"/>
        <v>0</v>
      </c>
      <c r="T298" s="137">
        <f t="shared" si="541"/>
        <v>0</v>
      </c>
      <c r="U298" s="143">
        <f t="shared" si="542"/>
        <v>0</v>
      </c>
      <c r="W298" s="11">
        <v>0</v>
      </c>
      <c r="X298" s="1">
        <v>0</v>
      </c>
      <c r="Y298" s="27">
        <f t="shared" si="462"/>
        <v>0</v>
      </c>
      <c r="Z298" s="27">
        <f t="shared" si="480"/>
        <v>0</v>
      </c>
      <c r="AA298" s="15">
        <f t="shared" si="493"/>
        <v>1.3801015698773432E-12</v>
      </c>
      <c r="AB298" s="43">
        <f t="shared" si="537"/>
        <v>8.9964113420399413E-14</v>
      </c>
      <c r="AC298" s="43">
        <f t="shared" si="538"/>
        <v>6.518658871491248E-2</v>
      </c>
      <c r="AD298" s="33"/>
      <c r="AH298" s="31"/>
      <c r="AP298" s="27">
        <f t="shared" si="463"/>
        <v>0</v>
      </c>
      <c r="AQ298" s="27">
        <f t="shared" si="481"/>
        <v>0</v>
      </c>
      <c r="AR298" s="15">
        <f t="shared" si="494"/>
        <v>4.167770147007799E-10</v>
      </c>
      <c r="AS298" s="28">
        <f t="shared" si="495"/>
        <v>1.8756967049785706E-10</v>
      </c>
      <c r="AT298" s="28">
        <f t="shared" si="496"/>
        <v>0.45004802060046539</v>
      </c>
      <c r="AU298" s="33"/>
      <c r="AY298" s="31"/>
      <c r="BG298" s="27">
        <f t="shared" si="464"/>
        <v>0</v>
      </c>
      <c r="BH298" s="27">
        <f t="shared" si="482"/>
        <v>0</v>
      </c>
      <c r="BI298" s="15">
        <f t="shared" si="497"/>
        <v>5.7400243308335787E-10</v>
      </c>
      <c r="BJ298" s="28">
        <f t="shared" si="498"/>
        <v>2.8814514822302857E-10</v>
      </c>
      <c r="BK298" s="28">
        <f t="shared" si="499"/>
        <v>0.50199290388928286</v>
      </c>
      <c r="BL298" s="33"/>
      <c r="BP298" s="31"/>
      <c r="BX298" s="27">
        <f t="shared" si="465"/>
        <v>0</v>
      </c>
      <c r="BY298" s="27">
        <f t="shared" si="483"/>
        <v>0</v>
      </c>
      <c r="BZ298" s="15">
        <f t="shared" si="500"/>
        <v>4.3645251015423542E-10</v>
      </c>
      <c r="CA298" s="28">
        <f t="shared" si="501"/>
        <v>1.790684810784068E-10</v>
      </c>
      <c r="CB298" s="28">
        <f t="shared" si="502"/>
        <v>0.41028170743049874</v>
      </c>
      <c r="CC298" s="33"/>
      <c r="CG298" s="31"/>
      <c r="CO298" s="27">
        <f t="shared" si="466"/>
        <v>0</v>
      </c>
      <c r="CP298" s="27">
        <f t="shared" si="484"/>
        <v>0</v>
      </c>
      <c r="CQ298" s="15">
        <f t="shared" si="503"/>
        <v>4.7818922166208608E-10</v>
      </c>
      <c r="CR298" s="28">
        <f t="shared" si="504"/>
        <v>2.3172461123271182E-10</v>
      </c>
      <c r="CS298" s="28">
        <f t="shared" si="505"/>
        <v>0.48458769193350981</v>
      </c>
      <c r="CT298" s="33"/>
      <c r="CX298" s="31"/>
      <c r="DF298" s="27">
        <f t="shared" si="467"/>
        <v>0</v>
      </c>
      <c r="DG298" s="27">
        <f t="shared" si="485"/>
        <v>0</v>
      </c>
      <c r="DH298" s="15">
        <f t="shared" si="506"/>
        <v>4.6510688683918578E-10</v>
      </c>
      <c r="DI298" s="28">
        <f t="shared" si="507"/>
        <v>1.4080105617998458E-10</v>
      </c>
      <c r="DJ298" s="28">
        <f t="shared" si="508"/>
        <v>0.30272838387075446</v>
      </c>
      <c r="DK298" s="33"/>
      <c r="DO298" s="31"/>
      <c r="DW298" s="27">
        <f t="shared" si="468"/>
        <v>0</v>
      </c>
      <c r="DX298" s="27">
        <f t="shared" si="486"/>
        <v>0</v>
      </c>
      <c r="DY298" s="15">
        <f t="shared" si="509"/>
        <v>4.8154904619869849E-10</v>
      </c>
      <c r="DZ298" s="28">
        <f t="shared" si="510"/>
        <v>1.3746429308631379E-10</v>
      </c>
      <c r="EA298" s="28">
        <f t="shared" si="511"/>
        <v>0.28546270451876832</v>
      </c>
      <c r="EB298" s="33"/>
      <c r="EF298" s="31"/>
      <c r="EN298" s="27">
        <f t="shared" si="469"/>
        <v>0</v>
      </c>
      <c r="EO298" s="27">
        <f t="shared" si="487"/>
        <v>0</v>
      </c>
      <c r="EP298" s="15">
        <f t="shared" si="512"/>
        <v>5.1414248852789311E-10</v>
      </c>
      <c r="EQ298" s="28">
        <f t="shared" si="513"/>
        <v>2.7011033243138154E-10</v>
      </c>
      <c r="ER298" s="28">
        <f t="shared" si="514"/>
        <v>0.52536084540448869</v>
      </c>
      <c r="ES298" s="33"/>
      <c r="EW298" s="31"/>
      <c r="FE298" s="27">
        <f t="shared" si="470"/>
        <v>0</v>
      </c>
      <c r="FF298" s="27">
        <f t="shared" si="488"/>
        <v>0</v>
      </c>
      <c r="FG298" s="15">
        <f t="shared" si="515"/>
        <v>4.967157190327021E-10</v>
      </c>
      <c r="FH298" s="28">
        <f t="shared" si="516"/>
        <v>2.4726114469475331E-10</v>
      </c>
      <c r="FI298" s="28">
        <f t="shared" si="517"/>
        <v>0.49779206741487164</v>
      </c>
      <c r="FJ298" s="33"/>
      <c r="FN298" s="31"/>
      <c r="FV298" s="27">
        <f t="shared" si="471"/>
        <v>0</v>
      </c>
      <c r="FW298" s="27">
        <f t="shared" si="489"/>
        <v>0</v>
      </c>
      <c r="FX298" s="15">
        <f t="shared" si="518"/>
        <v>4.6760412430493336E-10</v>
      </c>
      <c r="FY298" s="28">
        <f t="shared" si="519"/>
        <v>2.4758691220054487E-10</v>
      </c>
      <c r="FZ298" s="28">
        <f t="shared" si="520"/>
        <v>0.52947974436403566</v>
      </c>
      <c r="GA298" s="33"/>
      <c r="GE298" s="31"/>
      <c r="GM298" s="27">
        <f t="shared" si="472"/>
        <v>0</v>
      </c>
      <c r="GN298" s="27">
        <f t="shared" si="490"/>
        <v>0</v>
      </c>
      <c r="GO298" s="15">
        <f t="shared" si="521"/>
        <v>4.8319261937999479E-10</v>
      </c>
      <c r="GP298" s="28">
        <f t="shared" si="522"/>
        <v>2.5516524198397828E-10</v>
      </c>
      <c r="GQ298" s="28">
        <f t="shared" si="523"/>
        <v>0.52808182854984786</v>
      </c>
      <c r="GR298" s="33"/>
      <c r="GV298" s="31"/>
      <c r="HD298" s="27">
        <f t="shared" si="473"/>
        <v>0</v>
      </c>
      <c r="HE298" s="27">
        <f t="shared" si="491"/>
        <v>0</v>
      </c>
      <c r="HF298" s="15">
        <f t="shared" si="524"/>
        <v>6.8067575222456129E-10</v>
      </c>
      <c r="HG298" s="28">
        <f t="shared" si="525"/>
        <v>1.8508740989474915E-10</v>
      </c>
      <c r="HH298" s="28">
        <f t="shared" si="526"/>
        <v>0.27191714893596958</v>
      </c>
      <c r="HI298" s="33"/>
      <c r="HM298" s="31"/>
      <c r="HU298" s="27">
        <f t="shared" si="474"/>
        <v>0</v>
      </c>
      <c r="HV298" s="27">
        <f t="shared" si="492"/>
        <v>0</v>
      </c>
      <c r="HW298" s="15">
        <f t="shared" si="527"/>
        <v>1.5714662293330796E-18</v>
      </c>
      <c r="HX298" s="28">
        <f t="shared" si="528"/>
        <v>6.5046550672408636E-23</v>
      </c>
      <c r="HY298" s="28">
        <f t="shared" si="529"/>
        <v>4.1392267589494419E-5</v>
      </c>
      <c r="HZ298" s="33"/>
      <c r="ID298" s="31"/>
      <c r="II298" s="12"/>
      <c r="IL298" s="27">
        <f t="shared" si="475"/>
        <v>0</v>
      </c>
      <c r="IM298" s="27">
        <f t="shared" si="476"/>
        <v>2.0514085391781252</v>
      </c>
      <c r="IN298" s="15">
        <f t="shared" si="530"/>
        <v>1.5486324331866405E-10</v>
      </c>
      <c r="IO298" s="28">
        <f t="shared" si="531"/>
        <v>4.811141183940918E-12</v>
      </c>
      <c r="IP298" s="28">
        <f t="shared" si="532"/>
        <v>3.1067031019368307E-2</v>
      </c>
      <c r="IQ298" s="33"/>
      <c r="IU298" s="31"/>
      <c r="JC298" s="27">
        <f t="shared" si="458"/>
        <v>0</v>
      </c>
      <c r="JD298" s="27">
        <f t="shared" si="477"/>
        <v>2.4229384620290153</v>
      </c>
      <c r="JE298" s="15">
        <f t="shared" si="533"/>
        <v>1.8700990000766991E-10</v>
      </c>
      <c r="JF298" s="28">
        <f t="shared" si="534"/>
        <v>6.1407175653533106E-12</v>
      </c>
      <c r="JG298" s="28">
        <f t="shared" si="535"/>
        <v>3.2836323451867835E-2</v>
      </c>
      <c r="JH298" s="33"/>
      <c r="JL298" s="31"/>
      <c r="JR298" s="99"/>
      <c r="JS298" s="99"/>
      <c r="JT298" s="99"/>
      <c r="JU298" s="99"/>
      <c r="JV298" s="99"/>
      <c r="JW298" s="99"/>
      <c r="JX298" s="99"/>
      <c r="JY298" s="99"/>
      <c r="JZ298" s="99"/>
      <c r="KA298" s="99"/>
      <c r="KB298" s="99"/>
      <c r="KC298" s="99"/>
      <c r="KD298" s="99"/>
      <c r="KE298" s="99"/>
      <c r="KF298" s="99"/>
      <c r="KG298" s="99"/>
      <c r="KH298" s="99"/>
      <c r="KI298" s="99"/>
      <c r="KJ298" s="99"/>
      <c r="KK298" s="99"/>
      <c r="KL298" s="99"/>
      <c r="KM298" s="99"/>
      <c r="KN298" s="99"/>
      <c r="KO298" s="99"/>
      <c r="KP298" s="99"/>
      <c r="KQ298" s="99"/>
      <c r="KR298" s="99"/>
      <c r="KS298" s="99"/>
      <c r="KT298" s="99"/>
      <c r="KU298" s="99"/>
      <c r="KV298" s="99"/>
      <c r="KW298" s="99"/>
      <c r="KX298" s="99"/>
      <c r="KY298" s="99"/>
      <c r="KZ298" s="99"/>
      <c r="LA298" s="99"/>
      <c r="LB298" s="99"/>
      <c r="LC298" s="99"/>
      <c r="LD298" s="99"/>
      <c r="LE298" s="99"/>
      <c r="LF298" s="99"/>
      <c r="LG298" s="99"/>
      <c r="LH298" s="99"/>
      <c r="LI298" s="99"/>
      <c r="LJ298" s="99"/>
      <c r="LK298" s="99"/>
      <c r="LL298" s="99"/>
      <c r="LM298" s="99"/>
      <c r="LN298" s="99"/>
      <c r="LO298" s="99"/>
      <c r="LP298" s="99"/>
      <c r="LQ298" s="99"/>
      <c r="LR298" s="99"/>
      <c r="LS298" s="99"/>
      <c r="LT298" s="99"/>
      <c r="LU298" s="99"/>
      <c r="LV298" s="99"/>
      <c r="LW298" s="99"/>
      <c r="LX298" s="99"/>
      <c r="LY298" s="99"/>
      <c r="LZ298" s="99"/>
      <c r="MA298" s="99"/>
      <c r="MB298" s="99"/>
      <c r="MC298" s="99"/>
      <c r="MD298" s="99"/>
      <c r="ME298" s="99"/>
      <c r="MF298" s="99"/>
    </row>
    <row r="299" spans="1:344" ht="17.25" customHeight="1" x14ac:dyDescent="0.25">
      <c r="A299" s="156"/>
      <c r="B299" s="81" t="s">
        <v>2</v>
      </c>
      <c r="C299" s="82">
        <v>45433</v>
      </c>
      <c r="D299" s="49"/>
      <c r="G299" s="89">
        <f t="shared" si="459"/>
        <v>0</v>
      </c>
      <c r="H299" s="35">
        <f t="shared" si="460"/>
        <v>0</v>
      </c>
      <c r="I299" s="39"/>
      <c r="L299" s="89">
        <f t="shared" si="461"/>
        <v>0</v>
      </c>
      <c r="M299" s="35">
        <f t="shared" si="478"/>
        <v>0</v>
      </c>
      <c r="N299" s="35">
        <f t="shared" si="479"/>
        <v>0</v>
      </c>
      <c r="O299" s="97" t="e">
        <f>SUM($Z299,$BH299,$AQ299,$BY299,$CP299,$DG299,$DX299,$EO299,$FF299,$FW299,$GN299)/I299</f>
        <v>#DIV/0!</v>
      </c>
      <c r="P299" s="150"/>
      <c r="Q299" s="132">
        <f t="shared" si="543"/>
        <v>0</v>
      </c>
      <c r="R299" s="134">
        <f t="shared" si="539"/>
        <v>0</v>
      </c>
      <c r="S299" s="136">
        <f t="shared" si="540"/>
        <v>0</v>
      </c>
      <c r="T299" s="138">
        <f t="shared" si="541"/>
        <v>0</v>
      </c>
      <c r="U299" s="144">
        <f t="shared" si="542"/>
        <v>0</v>
      </c>
      <c r="W299" s="11">
        <v>0</v>
      </c>
      <c r="X299" s="1">
        <v>0</v>
      </c>
      <c r="Y299" s="35">
        <f t="shared" si="462"/>
        <v>0</v>
      </c>
      <c r="Z299" s="35">
        <f t="shared" si="480"/>
        <v>0</v>
      </c>
      <c r="AA299" s="15">
        <f t="shared" si="493"/>
        <v>1.1117484868456377E-12</v>
      </c>
      <c r="AB299" s="43">
        <f t="shared" si="537"/>
        <v>6.7473085065299566E-14</v>
      </c>
      <c r="AC299" s="43">
        <f t="shared" si="538"/>
        <v>6.069096190698748E-2</v>
      </c>
      <c r="AD299" s="33"/>
      <c r="AH299" s="31"/>
      <c r="AP299" s="35">
        <f t="shared" si="463"/>
        <v>0</v>
      </c>
      <c r="AQ299" s="35">
        <f t="shared" si="481"/>
        <v>0</v>
      </c>
      <c r="AR299" s="15">
        <f t="shared" si="494"/>
        <v>3.3573703962007276E-10</v>
      </c>
      <c r="AS299" s="28">
        <f t="shared" si="495"/>
        <v>1.406772528733928E-10</v>
      </c>
      <c r="AT299" s="28">
        <f t="shared" si="496"/>
        <v>0.41901022607629534</v>
      </c>
      <c r="AU299" s="33"/>
      <c r="AY299" s="31"/>
      <c r="BG299" s="35">
        <f t="shared" si="464"/>
        <v>0</v>
      </c>
      <c r="BH299" s="35">
        <f t="shared" si="482"/>
        <v>0</v>
      </c>
      <c r="BI299" s="15">
        <f t="shared" si="497"/>
        <v>4.6239084887270498E-10</v>
      </c>
      <c r="BJ299" s="28">
        <f t="shared" si="498"/>
        <v>2.1610886116727143E-10</v>
      </c>
      <c r="BK299" s="28">
        <f t="shared" si="499"/>
        <v>0.46737270362105643</v>
      </c>
      <c r="BL299" s="33"/>
      <c r="BP299" s="31"/>
      <c r="BX299" s="35">
        <f t="shared" si="465"/>
        <v>0</v>
      </c>
      <c r="BY299" s="35">
        <f t="shared" si="483"/>
        <v>0</v>
      </c>
      <c r="BZ299" s="15">
        <f t="shared" si="500"/>
        <v>3.5158674429091188E-10</v>
      </c>
      <c r="CA299" s="28">
        <f t="shared" si="501"/>
        <v>1.3430136080880511E-10</v>
      </c>
      <c r="CB299" s="28">
        <f t="shared" si="502"/>
        <v>0.38198641726287813</v>
      </c>
      <c r="CC299" s="33"/>
      <c r="CG299" s="31"/>
      <c r="CO299" s="35">
        <f t="shared" si="466"/>
        <v>0</v>
      </c>
      <c r="CP299" s="35">
        <f t="shared" si="484"/>
        <v>0</v>
      </c>
      <c r="CQ299" s="15">
        <f t="shared" si="503"/>
        <v>3.8520798411668047E-10</v>
      </c>
      <c r="CR299" s="28">
        <f t="shared" si="504"/>
        <v>1.7379345842453385E-10</v>
      </c>
      <c r="CS299" s="28">
        <f t="shared" si="505"/>
        <v>0.45116785111050911</v>
      </c>
      <c r="CT299" s="33"/>
      <c r="CX299" s="31"/>
      <c r="DF299" s="35">
        <f t="shared" si="467"/>
        <v>0</v>
      </c>
      <c r="DG299" s="35">
        <f t="shared" si="485"/>
        <v>0</v>
      </c>
      <c r="DH299" s="15">
        <f t="shared" si="506"/>
        <v>3.7466943662045517E-10</v>
      </c>
      <c r="DI299" s="28">
        <f t="shared" si="507"/>
        <v>1.0560079213498844E-10</v>
      </c>
      <c r="DJ299" s="28">
        <f t="shared" si="508"/>
        <v>0.28185056429346106</v>
      </c>
      <c r="DK299" s="33"/>
      <c r="DO299" s="31"/>
      <c r="DW299" s="35">
        <f t="shared" si="468"/>
        <v>0</v>
      </c>
      <c r="DX299" s="35">
        <f t="shared" si="486"/>
        <v>0</v>
      </c>
      <c r="DY299" s="15">
        <f t="shared" si="509"/>
        <v>3.879145094378405E-10</v>
      </c>
      <c r="DZ299" s="28">
        <f t="shared" si="510"/>
        <v>1.0309821981473534E-10</v>
      </c>
      <c r="EA299" s="28">
        <f t="shared" si="511"/>
        <v>0.26577562144850841</v>
      </c>
      <c r="EB299" s="33"/>
      <c r="EF299" s="31"/>
      <c r="EN299" s="35">
        <f t="shared" si="469"/>
        <v>0</v>
      </c>
      <c r="EO299" s="35">
        <f t="shared" si="487"/>
        <v>0</v>
      </c>
      <c r="EP299" s="15">
        <f t="shared" si="512"/>
        <v>4.141703379808028E-10</v>
      </c>
      <c r="EQ299" s="28">
        <f t="shared" si="513"/>
        <v>2.0258274932353615E-10</v>
      </c>
      <c r="ER299" s="28">
        <f t="shared" si="514"/>
        <v>0.48912906296279979</v>
      </c>
      <c r="ES299" s="33"/>
      <c r="EW299" s="31"/>
      <c r="FE299" s="35">
        <f t="shared" si="470"/>
        <v>0</v>
      </c>
      <c r="FF299" s="35">
        <f t="shared" si="488"/>
        <v>0</v>
      </c>
      <c r="FG299" s="15">
        <f t="shared" si="515"/>
        <v>4.0013210699856567E-10</v>
      </c>
      <c r="FH299" s="28">
        <f t="shared" si="516"/>
        <v>1.8544585852106499E-10</v>
      </c>
      <c r="FI299" s="28">
        <f t="shared" si="517"/>
        <v>0.46346158000694943</v>
      </c>
      <c r="FJ299" s="33"/>
      <c r="FN299" s="31"/>
      <c r="FV299" s="35">
        <f t="shared" si="471"/>
        <v>0</v>
      </c>
      <c r="FW299" s="35">
        <f t="shared" si="489"/>
        <v>0</v>
      </c>
      <c r="FX299" s="15">
        <f t="shared" si="518"/>
        <v>3.7668110013452963E-10</v>
      </c>
      <c r="FY299" s="28">
        <f t="shared" si="519"/>
        <v>1.8569018415040864E-10</v>
      </c>
      <c r="FZ299" s="28">
        <f t="shared" si="520"/>
        <v>0.49296389992513662</v>
      </c>
      <c r="GA299" s="33"/>
      <c r="GE299" s="31"/>
      <c r="GM299" s="35">
        <f t="shared" si="472"/>
        <v>0</v>
      </c>
      <c r="GN299" s="35">
        <f t="shared" si="490"/>
        <v>0</v>
      </c>
      <c r="GO299" s="15">
        <f t="shared" si="521"/>
        <v>3.8923849894499573E-10</v>
      </c>
      <c r="GP299" s="28">
        <f t="shared" si="522"/>
        <v>1.9137393148798371E-10</v>
      </c>
      <c r="GQ299" s="28">
        <f t="shared" si="523"/>
        <v>0.49166239209813423</v>
      </c>
      <c r="GR299" s="33"/>
      <c r="GV299" s="31"/>
      <c r="HD299" s="35">
        <f t="shared" si="473"/>
        <v>0</v>
      </c>
      <c r="HE299" s="35">
        <f t="shared" si="491"/>
        <v>0</v>
      </c>
      <c r="HF299" s="15">
        <f t="shared" si="524"/>
        <v>5.4832213373645207E-10</v>
      </c>
      <c r="HG299" s="28">
        <f t="shared" si="525"/>
        <v>1.3881555742106185E-10</v>
      </c>
      <c r="HH299" s="28">
        <f t="shared" si="526"/>
        <v>0.25316424211279925</v>
      </c>
      <c r="HI299" s="33"/>
      <c r="HM299" s="31"/>
      <c r="HU299" s="35">
        <f t="shared" si="474"/>
        <v>0</v>
      </c>
      <c r="HV299" s="35">
        <f t="shared" si="492"/>
        <v>0</v>
      </c>
      <c r="HW299" s="15">
        <f t="shared" si="527"/>
        <v>1.2659033514072032E-18</v>
      </c>
      <c r="HX299" s="28">
        <f t="shared" si="528"/>
        <v>4.878491300430648E-23</v>
      </c>
      <c r="HY299" s="28">
        <f t="shared" si="529"/>
        <v>3.8537628445391355E-5</v>
      </c>
      <c r="HZ299" s="33"/>
      <c r="ID299" s="31"/>
      <c r="II299" s="12"/>
      <c r="IL299" s="35">
        <f t="shared" si="475"/>
        <v>0</v>
      </c>
      <c r="IM299" s="35">
        <f t="shared" si="476"/>
        <v>1.9099320879063564</v>
      </c>
      <c r="IN299" s="15">
        <f t="shared" si="530"/>
        <v>1.2475094600670158E-10</v>
      </c>
      <c r="IO299" s="28">
        <f t="shared" si="531"/>
        <v>3.6083558879556883E-12</v>
      </c>
      <c r="IP299" s="28">
        <f t="shared" si="532"/>
        <v>2.8924477155963597E-2</v>
      </c>
      <c r="IQ299" s="33"/>
      <c r="IU299" s="31"/>
      <c r="JC299" s="35">
        <f t="shared" si="458"/>
        <v>0</v>
      </c>
      <c r="JD299" s="35">
        <f t="shared" si="477"/>
        <v>2.2558392574033435</v>
      </c>
      <c r="JE299" s="15">
        <f t="shared" si="533"/>
        <v>1.5064686389506743E-10</v>
      </c>
      <c r="JF299" s="28">
        <f t="shared" si="534"/>
        <v>4.6055381740149825E-12</v>
      </c>
      <c r="JG299" s="28">
        <f t="shared" si="535"/>
        <v>3.0571749420704536E-2</v>
      </c>
      <c r="JH299" s="33"/>
      <c r="JL299" s="31"/>
      <c r="JR299" s="99"/>
      <c r="JS299" s="99"/>
      <c r="JT299" s="99"/>
      <c r="JU299" s="99"/>
      <c r="JV299" s="99"/>
      <c r="JW299" s="99"/>
      <c r="JX299" s="99"/>
      <c r="JY299" s="99"/>
      <c r="JZ299" s="99"/>
      <c r="KA299" s="99"/>
      <c r="KB299" s="99"/>
      <c r="KC299" s="99"/>
      <c r="KD299" s="99"/>
      <c r="KE299" s="99"/>
      <c r="KF299" s="99"/>
      <c r="KG299" s="99"/>
      <c r="KH299" s="99"/>
      <c r="KI299" s="99"/>
      <c r="KJ299" s="99"/>
      <c r="KK299" s="99"/>
      <c r="KL299" s="99"/>
      <c r="KM299" s="99"/>
      <c r="KN299" s="99"/>
      <c r="KO299" s="99"/>
      <c r="KP299" s="99"/>
      <c r="KQ299" s="99"/>
      <c r="KR299" s="99"/>
      <c r="KS299" s="99"/>
      <c r="KT299" s="99"/>
      <c r="KU299" s="99"/>
      <c r="KV299" s="99"/>
      <c r="KW299" s="99"/>
      <c r="KX299" s="99"/>
      <c r="KY299" s="99"/>
      <c r="KZ299" s="99"/>
      <c r="LA299" s="99"/>
      <c r="LB299" s="99"/>
      <c r="LC299" s="99"/>
      <c r="LD299" s="99"/>
      <c r="LE299" s="99"/>
      <c r="LF299" s="99"/>
      <c r="LG299" s="99"/>
      <c r="LH299" s="99"/>
      <c r="LI299" s="99"/>
      <c r="LJ299" s="99"/>
      <c r="LK299" s="99"/>
      <c r="LL299" s="99"/>
      <c r="LM299" s="99"/>
      <c r="LN299" s="99"/>
      <c r="LO299" s="99"/>
      <c r="LP299" s="99"/>
      <c r="LQ299" s="99"/>
      <c r="LR299" s="99"/>
      <c r="LS299" s="99"/>
      <c r="LT299" s="99"/>
      <c r="LU299" s="99"/>
      <c r="LV299" s="99"/>
      <c r="LW299" s="99"/>
      <c r="LX299" s="99"/>
      <c r="LY299" s="99"/>
      <c r="LZ299" s="99"/>
      <c r="MA299" s="99"/>
      <c r="MB299" s="99"/>
      <c r="MC299" s="99"/>
      <c r="MD299" s="99"/>
      <c r="ME299" s="99"/>
      <c r="MF299" s="99"/>
    </row>
    <row r="300" spans="1:344" ht="17.25" customHeight="1" x14ac:dyDescent="0.25">
      <c r="A300" s="156"/>
      <c r="B300" s="81" t="s">
        <v>3</v>
      </c>
      <c r="C300" s="82">
        <v>45434</v>
      </c>
      <c r="D300" s="49"/>
      <c r="G300" s="89">
        <f t="shared" si="459"/>
        <v>0</v>
      </c>
      <c r="H300" s="35">
        <f t="shared" si="460"/>
        <v>0</v>
      </c>
      <c r="I300" s="39"/>
      <c r="L300" s="89">
        <f t="shared" si="461"/>
        <v>0</v>
      </c>
      <c r="M300" s="35">
        <f t="shared" si="478"/>
        <v>0</v>
      </c>
      <c r="N300" s="35">
        <f t="shared" si="479"/>
        <v>0</v>
      </c>
      <c r="O300" s="97" t="e">
        <f>SUM($Z300,$BH300,$AQ300,$BY300,$CP300,$DG300,$DX300,$EO300,$FF300,$FW300,$GN300)/D300</f>
        <v>#DIV/0!</v>
      </c>
      <c r="P300" s="150"/>
      <c r="Q300" s="132">
        <f t="shared" si="543"/>
        <v>0</v>
      </c>
      <c r="R300" s="134">
        <f t="shared" si="539"/>
        <v>0</v>
      </c>
      <c r="S300" s="136">
        <f t="shared" si="540"/>
        <v>0</v>
      </c>
      <c r="T300" s="138">
        <f t="shared" si="541"/>
        <v>0</v>
      </c>
      <c r="U300" s="144">
        <f t="shared" si="542"/>
        <v>0</v>
      </c>
      <c r="W300" s="11">
        <v>0</v>
      </c>
      <c r="X300" s="1">
        <v>0</v>
      </c>
      <c r="Y300" s="35">
        <f t="shared" si="462"/>
        <v>0</v>
      </c>
      <c r="Z300" s="35">
        <f t="shared" si="480"/>
        <v>0</v>
      </c>
      <c r="AA300" s="15">
        <f t="shared" si="493"/>
        <v>8.955751699589859E-13</v>
      </c>
      <c r="AB300" s="43">
        <f t="shared" si="537"/>
        <v>5.0604813798974675E-14</v>
      </c>
      <c r="AC300" s="43">
        <f t="shared" si="538"/>
        <v>5.6505378327195238E-2</v>
      </c>
      <c r="AD300" s="33"/>
      <c r="AH300" s="31"/>
      <c r="AP300" s="35">
        <f t="shared" si="463"/>
        <v>0</v>
      </c>
      <c r="AQ300" s="35">
        <f t="shared" si="481"/>
        <v>0</v>
      </c>
      <c r="AR300" s="15">
        <f t="shared" si="494"/>
        <v>2.7045483747172523E-10</v>
      </c>
      <c r="AS300" s="28">
        <f t="shared" si="495"/>
        <v>1.055079396550446E-10</v>
      </c>
      <c r="AT300" s="28">
        <f t="shared" si="496"/>
        <v>0.39011296910551635</v>
      </c>
      <c r="AU300" s="33"/>
      <c r="AY300" s="31"/>
      <c r="BG300" s="35">
        <f t="shared" si="464"/>
        <v>0</v>
      </c>
      <c r="BH300" s="35">
        <f t="shared" si="482"/>
        <v>0</v>
      </c>
      <c r="BI300" s="15">
        <f t="shared" si="497"/>
        <v>3.7248151714745674E-10</v>
      </c>
      <c r="BJ300" s="28">
        <f t="shared" si="498"/>
        <v>1.6208164587545356E-10</v>
      </c>
      <c r="BK300" s="28">
        <f t="shared" si="499"/>
        <v>0.43514010337132841</v>
      </c>
      <c r="BL300" s="33"/>
      <c r="BP300" s="31"/>
      <c r="BX300" s="35">
        <f t="shared" si="465"/>
        <v>0</v>
      </c>
      <c r="BY300" s="35">
        <f t="shared" si="483"/>
        <v>0</v>
      </c>
      <c r="BZ300" s="15">
        <f t="shared" si="500"/>
        <v>2.8322265512323458E-10</v>
      </c>
      <c r="CA300" s="28">
        <f t="shared" si="501"/>
        <v>1.0072602060660383E-10</v>
      </c>
      <c r="CB300" s="28">
        <f t="shared" si="502"/>
        <v>0.35564252641716237</v>
      </c>
      <c r="CC300" s="33"/>
      <c r="CG300" s="31"/>
      <c r="CO300" s="35">
        <f t="shared" si="466"/>
        <v>0</v>
      </c>
      <c r="CP300" s="35">
        <f t="shared" si="484"/>
        <v>0</v>
      </c>
      <c r="CQ300" s="15">
        <f t="shared" si="503"/>
        <v>3.1030643164954818E-10</v>
      </c>
      <c r="CR300" s="28">
        <f t="shared" si="504"/>
        <v>1.303450938184004E-10</v>
      </c>
      <c r="CS300" s="28">
        <f t="shared" si="505"/>
        <v>0.42005282689599122</v>
      </c>
      <c r="CT300" s="33"/>
      <c r="CX300" s="31"/>
      <c r="DF300" s="35">
        <f t="shared" si="467"/>
        <v>0</v>
      </c>
      <c r="DG300" s="35">
        <f t="shared" si="485"/>
        <v>0</v>
      </c>
      <c r="DH300" s="15">
        <f t="shared" si="506"/>
        <v>3.0181704616647776E-10</v>
      </c>
      <c r="DI300" s="28">
        <f t="shared" si="507"/>
        <v>7.9200594101241326E-11</v>
      </c>
      <c r="DJ300" s="28">
        <f t="shared" si="508"/>
        <v>0.26241259434218789</v>
      </c>
      <c r="DK300" s="33"/>
      <c r="DO300" s="31"/>
      <c r="DW300" s="35">
        <f t="shared" si="468"/>
        <v>0</v>
      </c>
      <c r="DX300" s="35">
        <f t="shared" si="486"/>
        <v>0</v>
      </c>
      <c r="DY300" s="15">
        <f t="shared" si="509"/>
        <v>3.1248668815826041E-10</v>
      </c>
      <c r="DZ300" s="28">
        <f t="shared" si="510"/>
        <v>7.7323664861051506E-11</v>
      </c>
      <c r="EA300" s="28">
        <f t="shared" si="511"/>
        <v>0.247446268245163</v>
      </c>
      <c r="EB300" s="33"/>
      <c r="EF300" s="31"/>
      <c r="EN300" s="35">
        <f t="shared" si="469"/>
        <v>0</v>
      </c>
      <c r="EO300" s="35">
        <f t="shared" si="487"/>
        <v>0</v>
      </c>
      <c r="EP300" s="15">
        <f t="shared" si="512"/>
        <v>3.3363721670675784E-10</v>
      </c>
      <c r="EQ300" s="28">
        <f t="shared" si="513"/>
        <v>1.5193706199265212E-10</v>
      </c>
      <c r="ER300" s="28">
        <f t="shared" si="514"/>
        <v>0.45539602413777908</v>
      </c>
      <c r="ES300" s="33"/>
      <c r="EW300" s="31"/>
      <c r="FE300" s="35">
        <f t="shared" si="470"/>
        <v>0</v>
      </c>
      <c r="FF300" s="35">
        <f t="shared" si="488"/>
        <v>0</v>
      </c>
      <c r="FG300" s="15">
        <f t="shared" si="515"/>
        <v>3.2232864174884464E-10</v>
      </c>
      <c r="FH300" s="28">
        <f t="shared" si="516"/>
        <v>1.3908439389079876E-10</v>
      </c>
      <c r="FI300" s="28">
        <f t="shared" si="517"/>
        <v>0.43149871242026322</v>
      </c>
      <c r="FJ300" s="33"/>
      <c r="FN300" s="31"/>
      <c r="FV300" s="35">
        <f t="shared" si="471"/>
        <v>0</v>
      </c>
      <c r="FW300" s="35">
        <f t="shared" si="489"/>
        <v>0</v>
      </c>
      <c r="FX300" s="15">
        <f t="shared" si="518"/>
        <v>3.0343755288614884E-10</v>
      </c>
      <c r="FY300" s="28">
        <f t="shared" si="519"/>
        <v>1.3926763811280647E-10</v>
      </c>
      <c r="FZ300" s="28">
        <f t="shared" si="520"/>
        <v>0.45896638958547203</v>
      </c>
      <c r="GA300" s="33"/>
      <c r="GE300" s="31"/>
      <c r="GM300" s="35">
        <f t="shared" si="472"/>
        <v>0</v>
      </c>
      <c r="GN300" s="35">
        <f t="shared" si="490"/>
        <v>0</v>
      </c>
      <c r="GO300" s="15">
        <f t="shared" si="521"/>
        <v>3.135532352612466E-10</v>
      </c>
      <c r="GP300" s="28">
        <f t="shared" si="522"/>
        <v>1.4353044861598777E-10</v>
      </c>
      <c r="GQ300" s="28">
        <f t="shared" si="523"/>
        <v>0.45775464091895252</v>
      </c>
      <c r="GR300" s="33"/>
      <c r="GV300" s="31"/>
      <c r="HD300" s="35">
        <f t="shared" si="473"/>
        <v>0</v>
      </c>
      <c r="HE300" s="35">
        <f t="shared" si="491"/>
        <v>0</v>
      </c>
      <c r="HF300" s="15">
        <f t="shared" si="524"/>
        <v>4.4170394106547528E-10</v>
      </c>
      <c r="HG300" s="28">
        <f t="shared" si="525"/>
        <v>1.0411166806579639E-10</v>
      </c>
      <c r="HH300" s="28">
        <f t="shared" si="526"/>
        <v>0.23570463920846826</v>
      </c>
      <c r="HI300" s="33"/>
      <c r="HM300" s="31"/>
      <c r="HU300" s="35">
        <f t="shared" si="474"/>
        <v>0</v>
      </c>
      <c r="HV300" s="35">
        <f t="shared" si="492"/>
        <v>0</v>
      </c>
      <c r="HW300" s="15">
        <f t="shared" si="527"/>
        <v>1.0197554775224692E-18</v>
      </c>
      <c r="HX300" s="28">
        <f t="shared" si="528"/>
        <v>3.658868475322986E-23</v>
      </c>
      <c r="HY300" s="28">
        <f t="shared" si="529"/>
        <v>3.5879860966398849E-5</v>
      </c>
      <c r="HZ300" s="33"/>
      <c r="ID300" s="31"/>
      <c r="II300" s="12"/>
      <c r="IL300" s="35">
        <f t="shared" si="475"/>
        <v>0</v>
      </c>
      <c r="IM300" s="35">
        <f t="shared" si="476"/>
        <v>1.7782126333383839</v>
      </c>
      <c r="IN300" s="15">
        <f t="shared" si="530"/>
        <v>1.0049381761650961E-10</v>
      </c>
      <c r="IO300" s="28">
        <f t="shared" si="531"/>
        <v>2.7062669159667662E-12</v>
      </c>
      <c r="IP300" s="28">
        <f t="shared" si="532"/>
        <v>2.6929685627966108E-2</v>
      </c>
      <c r="IQ300" s="33"/>
      <c r="IU300" s="31"/>
      <c r="JC300" s="35">
        <f t="shared" si="458"/>
        <v>0</v>
      </c>
      <c r="JD300" s="35">
        <f t="shared" si="477"/>
        <v>2.1002641359322558</v>
      </c>
      <c r="JE300" s="15">
        <f t="shared" si="533"/>
        <v>1.2135441813769321E-10</v>
      </c>
      <c r="JF300" s="28">
        <f t="shared" si="534"/>
        <v>3.4541536305112369E-12</v>
      </c>
      <c r="JG300" s="28">
        <f t="shared" si="535"/>
        <v>2.8463352908931809E-2</v>
      </c>
      <c r="JH300" s="33"/>
      <c r="JL300" s="31"/>
      <c r="JR300" s="99"/>
      <c r="JS300" s="99"/>
      <c r="JT300" s="99"/>
      <c r="JU300" s="99"/>
      <c r="JV300" s="99"/>
      <c r="JW300" s="99"/>
      <c r="JX300" s="99"/>
      <c r="JY300" s="99"/>
      <c r="JZ300" s="99"/>
      <c r="KA300" s="99"/>
      <c r="KB300" s="99"/>
      <c r="KC300" s="99"/>
      <c r="KD300" s="99"/>
      <c r="KE300" s="99"/>
      <c r="KF300" s="99"/>
      <c r="KG300" s="99"/>
      <c r="KH300" s="99"/>
      <c r="KI300" s="99"/>
      <c r="KJ300" s="99"/>
      <c r="KK300" s="99"/>
      <c r="KL300" s="99"/>
      <c r="KM300" s="99"/>
      <c r="KN300" s="99"/>
      <c r="KO300" s="99"/>
      <c r="KP300" s="99"/>
      <c r="KQ300" s="99"/>
      <c r="KR300" s="99"/>
      <c r="KS300" s="99"/>
      <c r="KT300" s="99"/>
      <c r="KU300" s="99"/>
      <c r="KV300" s="99"/>
      <c r="KW300" s="99"/>
      <c r="KX300" s="99"/>
      <c r="KY300" s="99"/>
      <c r="KZ300" s="99"/>
      <c r="LA300" s="99"/>
      <c r="LB300" s="99"/>
      <c r="LC300" s="99"/>
      <c r="LD300" s="99"/>
      <c r="LE300" s="99"/>
      <c r="LF300" s="99"/>
      <c r="LG300" s="99"/>
      <c r="LH300" s="99"/>
      <c r="LI300" s="99"/>
      <c r="LJ300" s="99"/>
      <c r="LK300" s="99"/>
      <c r="LL300" s="99"/>
      <c r="LM300" s="99"/>
      <c r="LN300" s="99"/>
      <c r="LO300" s="99"/>
      <c r="LP300" s="99"/>
      <c r="LQ300" s="99"/>
      <c r="LR300" s="99"/>
      <c r="LS300" s="99"/>
      <c r="LT300" s="99"/>
      <c r="LU300" s="99"/>
      <c r="LV300" s="99"/>
      <c r="LW300" s="99"/>
      <c r="LX300" s="99"/>
      <c r="LY300" s="99"/>
      <c r="LZ300" s="99"/>
      <c r="MA300" s="99"/>
      <c r="MB300" s="99"/>
      <c r="MC300" s="99"/>
      <c r="MD300" s="99"/>
      <c r="ME300" s="99"/>
      <c r="MF300" s="99"/>
    </row>
    <row r="301" spans="1:344" ht="17.25" customHeight="1" x14ac:dyDescent="0.25">
      <c r="A301" s="156"/>
      <c r="B301" s="81" t="s">
        <v>4</v>
      </c>
      <c r="C301" s="82">
        <v>45435</v>
      </c>
      <c r="D301" s="49"/>
      <c r="G301" s="89">
        <f t="shared" si="459"/>
        <v>0</v>
      </c>
      <c r="H301" s="35">
        <f t="shared" si="460"/>
        <v>0</v>
      </c>
      <c r="I301" s="39"/>
      <c r="L301" s="89">
        <f t="shared" si="461"/>
        <v>0</v>
      </c>
      <c r="M301" s="35">
        <f t="shared" si="478"/>
        <v>0</v>
      </c>
      <c r="N301" s="35">
        <f t="shared" si="479"/>
        <v>0</v>
      </c>
      <c r="O301" s="97" t="e">
        <f>SUM($Z301,$BH301,$AQ301,$BY301,$CP301,$DG301,$DX301,$EO301,$FF301,$FW301,$GN301)/D301</f>
        <v>#DIV/0!</v>
      </c>
      <c r="P301" s="150"/>
      <c r="Q301" s="132">
        <f t="shared" si="543"/>
        <v>0</v>
      </c>
      <c r="R301" s="134">
        <f t="shared" si="539"/>
        <v>0</v>
      </c>
      <c r="S301" s="136">
        <f t="shared" si="540"/>
        <v>0</v>
      </c>
      <c r="T301" s="138">
        <f t="shared" si="541"/>
        <v>0</v>
      </c>
      <c r="U301" s="144">
        <f t="shared" si="542"/>
        <v>0</v>
      </c>
      <c r="W301" s="11">
        <v>0</v>
      </c>
      <c r="X301" s="1">
        <v>0</v>
      </c>
      <c r="Y301" s="35">
        <f t="shared" si="462"/>
        <v>0</v>
      </c>
      <c r="Z301" s="35">
        <f t="shared" si="480"/>
        <v>0</v>
      </c>
      <c r="AA301" s="15">
        <f t="shared" si="493"/>
        <v>7.2143555357807199E-13</v>
      </c>
      <c r="AB301" s="43">
        <f t="shared" si="537"/>
        <v>3.7953610349231006E-14</v>
      </c>
      <c r="AC301" s="43">
        <f t="shared" si="538"/>
        <v>5.2608455683940396E-2</v>
      </c>
      <c r="AD301" s="33"/>
      <c r="AH301" s="31"/>
      <c r="AP301" s="35">
        <f t="shared" si="463"/>
        <v>0</v>
      </c>
      <c r="AQ301" s="35">
        <f t="shared" si="481"/>
        <v>0</v>
      </c>
      <c r="AR301" s="15">
        <f t="shared" si="494"/>
        <v>2.178663968522231E-10</v>
      </c>
      <c r="AS301" s="28">
        <f t="shared" si="495"/>
        <v>7.9130954741283448E-11</v>
      </c>
      <c r="AT301" s="28">
        <f t="shared" si="496"/>
        <v>0.3632086264085842</v>
      </c>
      <c r="AU301" s="33"/>
      <c r="AY301" s="31"/>
      <c r="BG301" s="35">
        <f t="shared" si="464"/>
        <v>0</v>
      </c>
      <c r="BH301" s="35">
        <f t="shared" si="482"/>
        <v>0</v>
      </c>
      <c r="BI301" s="15">
        <f t="shared" si="497"/>
        <v>3.0005455547989575E-10</v>
      </c>
      <c r="BJ301" s="28">
        <f t="shared" si="498"/>
        <v>1.2156123440659018E-10</v>
      </c>
      <c r="BK301" s="28">
        <f t="shared" si="499"/>
        <v>0.40513044106985746</v>
      </c>
      <c r="BL301" s="33"/>
      <c r="BP301" s="31"/>
      <c r="BX301" s="35">
        <f t="shared" si="465"/>
        <v>0</v>
      </c>
      <c r="BY301" s="35">
        <f t="shared" si="483"/>
        <v>0</v>
      </c>
      <c r="BZ301" s="15">
        <f t="shared" si="500"/>
        <v>2.2815158329371676E-10</v>
      </c>
      <c r="CA301" s="28">
        <f t="shared" si="501"/>
        <v>7.5544515454952872E-11</v>
      </c>
      <c r="CB301" s="28">
        <f t="shared" si="502"/>
        <v>0.33111545562977185</v>
      </c>
      <c r="CC301" s="33"/>
      <c r="CG301" s="31"/>
      <c r="CO301" s="35">
        <f t="shared" si="466"/>
        <v>0</v>
      </c>
      <c r="CP301" s="35">
        <f t="shared" si="484"/>
        <v>0</v>
      </c>
      <c r="CQ301" s="15">
        <f t="shared" si="503"/>
        <v>2.4996906993991382E-10</v>
      </c>
      <c r="CR301" s="28">
        <f t="shared" si="504"/>
        <v>9.77588203638003E-11</v>
      </c>
      <c r="CS301" s="28">
        <f t="shared" si="505"/>
        <v>0.3910836664204056</v>
      </c>
      <c r="CT301" s="33"/>
      <c r="CX301" s="31"/>
      <c r="DF301" s="35">
        <f t="shared" si="467"/>
        <v>0</v>
      </c>
      <c r="DG301" s="35">
        <f t="shared" si="485"/>
        <v>0</v>
      </c>
      <c r="DH301" s="15">
        <f t="shared" si="506"/>
        <v>2.4313039830077373E-10</v>
      </c>
      <c r="DI301" s="28">
        <f t="shared" si="507"/>
        <v>5.9400445575930991E-11</v>
      </c>
      <c r="DJ301" s="28">
        <f t="shared" si="508"/>
        <v>0.24431517404272665</v>
      </c>
      <c r="DK301" s="33"/>
      <c r="DO301" s="31"/>
      <c r="DW301" s="35">
        <f t="shared" si="468"/>
        <v>0</v>
      </c>
      <c r="DX301" s="35">
        <f t="shared" si="486"/>
        <v>0</v>
      </c>
      <c r="DY301" s="15">
        <f t="shared" si="509"/>
        <v>2.5172538768304312E-10</v>
      </c>
      <c r="DZ301" s="28">
        <f t="shared" si="510"/>
        <v>5.799274864578863E-11</v>
      </c>
      <c r="EA301" s="28">
        <f t="shared" si="511"/>
        <v>0.23038100836618625</v>
      </c>
      <c r="EB301" s="33"/>
      <c r="EF301" s="31"/>
      <c r="EN301" s="35">
        <f t="shared" si="469"/>
        <v>0</v>
      </c>
      <c r="EO301" s="35">
        <f t="shared" si="487"/>
        <v>0</v>
      </c>
      <c r="EP301" s="15">
        <f t="shared" si="512"/>
        <v>2.6876331345822162E-10</v>
      </c>
      <c r="EQ301" s="28">
        <f t="shared" si="513"/>
        <v>1.1395279649448909E-10</v>
      </c>
      <c r="ER301" s="28">
        <f t="shared" si="514"/>
        <v>0.42398940178344946</v>
      </c>
      <c r="ES301" s="33"/>
      <c r="EW301" s="31"/>
      <c r="FE301" s="35">
        <f t="shared" si="470"/>
        <v>0</v>
      </c>
      <c r="FF301" s="35">
        <f t="shared" si="488"/>
        <v>0</v>
      </c>
      <c r="FG301" s="15">
        <f t="shared" si="515"/>
        <v>2.5965362807545818E-10</v>
      </c>
      <c r="FH301" s="28">
        <f t="shared" si="516"/>
        <v>1.0431329541809907E-10</v>
      </c>
      <c r="FI301" s="28">
        <f t="shared" si="517"/>
        <v>0.40174018052921057</v>
      </c>
      <c r="FJ301" s="33"/>
      <c r="FN301" s="31"/>
      <c r="FV301" s="35">
        <f t="shared" si="471"/>
        <v>0</v>
      </c>
      <c r="FW301" s="35">
        <f t="shared" si="489"/>
        <v>0</v>
      </c>
      <c r="FX301" s="15">
        <f t="shared" si="518"/>
        <v>2.4443580649161991E-10</v>
      </c>
      <c r="FY301" s="28">
        <f t="shared" si="519"/>
        <v>1.0445072858460485E-10</v>
      </c>
      <c r="FZ301" s="28">
        <f t="shared" si="520"/>
        <v>0.42731353513130155</v>
      </c>
      <c r="GA301" s="33"/>
      <c r="GE301" s="31"/>
      <c r="GM301" s="35">
        <f t="shared" si="472"/>
        <v>0</v>
      </c>
      <c r="GN301" s="35">
        <f t="shared" si="490"/>
        <v>0</v>
      </c>
      <c r="GO301" s="15">
        <f t="shared" si="521"/>
        <v>2.5258455062711532E-10</v>
      </c>
      <c r="GP301" s="28">
        <f t="shared" si="522"/>
        <v>1.0764783646199083E-10</v>
      </c>
      <c r="GQ301" s="28">
        <f t="shared" si="523"/>
        <v>0.42618535533833507</v>
      </c>
      <c r="GR301" s="33"/>
      <c r="GV301" s="31"/>
      <c r="HD301" s="35">
        <f t="shared" si="473"/>
        <v>0</v>
      </c>
      <c r="HE301" s="35">
        <f t="shared" si="491"/>
        <v>0</v>
      </c>
      <c r="HF301" s="15">
        <f t="shared" si="524"/>
        <v>3.5581706363607732E-10</v>
      </c>
      <c r="HG301" s="28">
        <f t="shared" si="525"/>
        <v>7.8083751049347286E-11</v>
      </c>
      <c r="HH301" s="28">
        <f t="shared" si="526"/>
        <v>0.21944914684926356</v>
      </c>
      <c r="HI301" s="33"/>
      <c r="HM301" s="31"/>
      <c r="HU301" s="35">
        <f t="shared" si="474"/>
        <v>0</v>
      </c>
      <c r="HV301" s="35">
        <f t="shared" si="492"/>
        <v>0</v>
      </c>
      <c r="HW301" s="15">
        <f t="shared" si="527"/>
        <v>8.2146969022643347E-19</v>
      </c>
      <c r="HX301" s="28">
        <f t="shared" si="528"/>
        <v>2.7441513564922393E-23</v>
      </c>
      <c r="HY301" s="28">
        <f t="shared" si="529"/>
        <v>3.3405387796302377E-5</v>
      </c>
      <c r="HZ301" s="33"/>
      <c r="ID301" s="31"/>
      <c r="II301" s="12"/>
      <c r="IL301" s="35">
        <f t="shared" si="475"/>
        <v>0</v>
      </c>
      <c r="IM301" s="35">
        <f t="shared" si="476"/>
        <v>1.6555772791354919</v>
      </c>
      <c r="IN301" s="15">
        <f t="shared" si="530"/>
        <v>8.0953353079966076E-11</v>
      </c>
      <c r="IO301" s="28">
        <f t="shared" si="531"/>
        <v>2.0297001869750746E-12</v>
      </c>
      <c r="IP301" s="28">
        <f t="shared" si="532"/>
        <v>2.5072465929485685E-2</v>
      </c>
      <c r="IQ301" s="33"/>
      <c r="IU301" s="31"/>
      <c r="JC301" s="35">
        <f t="shared" si="458"/>
        <v>0</v>
      </c>
      <c r="JD301" s="35">
        <f t="shared" si="477"/>
        <v>1.9554183332429704</v>
      </c>
      <c r="JE301" s="15">
        <f t="shared" si="533"/>
        <v>9.7757725722030633E-11</v>
      </c>
      <c r="JF301" s="28">
        <f t="shared" si="534"/>
        <v>2.5906152228834276E-12</v>
      </c>
      <c r="JG301" s="28">
        <f t="shared" si="535"/>
        <v>2.6500363053143409E-2</v>
      </c>
      <c r="JH301" s="33"/>
      <c r="JL301" s="31"/>
      <c r="JR301" s="99"/>
      <c r="JS301" s="99"/>
      <c r="JT301" s="99"/>
      <c r="JU301" s="99"/>
      <c r="JV301" s="99"/>
      <c r="JW301" s="99"/>
      <c r="JX301" s="99"/>
      <c r="JY301" s="99"/>
      <c r="JZ301" s="99"/>
      <c r="KA301" s="99"/>
      <c r="KB301" s="99"/>
      <c r="KC301" s="99"/>
      <c r="KD301" s="99"/>
      <c r="KE301" s="99"/>
      <c r="KF301" s="99"/>
      <c r="KG301" s="99"/>
      <c r="KH301" s="99"/>
      <c r="KI301" s="99"/>
      <c r="KJ301" s="99"/>
      <c r="KK301" s="99"/>
      <c r="KL301" s="99"/>
      <c r="KM301" s="99"/>
      <c r="KN301" s="99"/>
      <c r="KO301" s="99"/>
      <c r="KP301" s="99"/>
      <c r="KQ301" s="99"/>
      <c r="KR301" s="99"/>
      <c r="KS301" s="99"/>
      <c r="KT301" s="99"/>
      <c r="KU301" s="99"/>
      <c r="KV301" s="99"/>
      <c r="KW301" s="99"/>
      <c r="KX301" s="99"/>
      <c r="KY301" s="99"/>
      <c r="KZ301" s="99"/>
      <c r="LA301" s="99"/>
      <c r="LB301" s="99"/>
      <c r="LC301" s="99"/>
      <c r="LD301" s="99"/>
      <c r="LE301" s="99"/>
      <c r="LF301" s="99"/>
      <c r="LG301" s="99"/>
      <c r="LH301" s="99"/>
      <c r="LI301" s="99"/>
      <c r="LJ301" s="99"/>
      <c r="LK301" s="99"/>
      <c r="LL301" s="99"/>
      <c r="LM301" s="99"/>
      <c r="LN301" s="99"/>
      <c r="LO301" s="99"/>
      <c r="LP301" s="99"/>
      <c r="LQ301" s="99"/>
      <c r="LR301" s="99"/>
      <c r="LS301" s="99"/>
      <c r="LT301" s="99"/>
      <c r="LU301" s="99"/>
      <c r="LV301" s="99"/>
      <c r="LW301" s="99"/>
      <c r="LX301" s="99"/>
      <c r="LY301" s="99"/>
      <c r="LZ301" s="99"/>
      <c r="MA301" s="99"/>
      <c r="MB301" s="99"/>
      <c r="MC301" s="99"/>
      <c r="MD301" s="99"/>
      <c r="ME301" s="99"/>
      <c r="MF301" s="99"/>
    </row>
    <row r="302" spans="1:344" ht="17.25" customHeight="1" x14ac:dyDescent="0.25">
      <c r="A302" s="156"/>
      <c r="B302" s="81" t="s">
        <v>5</v>
      </c>
      <c r="C302" s="82">
        <v>45436</v>
      </c>
      <c r="D302" s="49"/>
      <c r="G302" s="89">
        <f t="shared" si="459"/>
        <v>0</v>
      </c>
      <c r="H302" s="35">
        <f t="shared" si="460"/>
        <v>0</v>
      </c>
      <c r="I302" s="39"/>
      <c r="L302" s="89">
        <f t="shared" si="461"/>
        <v>0</v>
      </c>
      <c r="M302" s="35">
        <f t="shared" si="478"/>
        <v>0</v>
      </c>
      <c r="N302" s="35">
        <f t="shared" si="479"/>
        <v>0</v>
      </c>
      <c r="O302" s="97" t="e">
        <f>SUM($Z302,$BH302,$AQ302,$BY302,$CP302,$DG302,$DX302,$EO302,$FF302,$FW302,$GN302)/D302</f>
        <v>#DIV/0!</v>
      </c>
      <c r="P302" s="150"/>
      <c r="Q302" s="132">
        <f t="shared" si="543"/>
        <v>0</v>
      </c>
      <c r="R302" s="134">
        <f t="shared" si="539"/>
        <v>0</v>
      </c>
      <c r="S302" s="136">
        <f t="shared" si="540"/>
        <v>0</v>
      </c>
      <c r="T302" s="138">
        <f t="shared" si="541"/>
        <v>0</v>
      </c>
      <c r="U302" s="144">
        <f t="shared" si="542"/>
        <v>0</v>
      </c>
      <c r="W302" s="11">
        <v>0</v>
      </c>
      <c r="X302" s="1">
        <v>0</v>
      </c>
      <c r="Y302" s="35">
        <f t="shared" si="462"/>
        <v>0</v>
      </c>
      <c r="Z302" s="35">
        <f t="shared" si="480"/>
        <v>0</v>
      </c>
      <c r="AA302" s="15">
        <f t="shared" si="493"/>
        <v>5.8115641816011347E-13</v>
      </c>
      <c r="AB302" s="43">
        <f t="shared" si="537"/>
        <v>2.8465207761923251E-14</v>
      </c>
      <c r="AC302" s="43">
        <f t="shared" si="538"/>
        <v>4.8980286326427265E-2</v>
      </c>
      <c r="AD302" s="33"/>
      <c r="AH302" s="31"/>
      <c r="AP302" s="35">
        <f t="shared" si="463"/>
        <v>0</v>
      </c>
      <c r="AQ302" s="35">
        <f t="shared" si="481"/>
        <v>0</v>
      </c>
      <c r="AR302" s="15">
        <f t="shared" si="494"/>
        <v>1.755034863531797E-10</v>
      </c>
      <c r="AS302" s="28">
        <f t="shared" si="495"/>
        <v>5.9348216055962579E-11</v>
      </c>
      <c r="AT302" s="28">
        <f t="shared" si="496"/>
        <v>0.3381597556217853</v>
      </c>
      <c r="AU302" s="33"/>
      <c r="AY302" s="31"/>
      <c r="BG302" s="35">
        <f t="shared" si="464"/>
        <v>0</v>
      </c>
      <c r="BH302" s="35">
        <f t="shared" si="482"/>
        <v>0</v>
      </c>
      <c r="BI302" s="15">
        <f t="shared" si="497"/>
        <v>2.4171061413658266E-10</v>
      </c>
      <c r="BJ302" s="28">
        <f t="shared" si="498"/>
        <v>9.1170925804942629E-11</v>
      </c>
      <c r="BK302" s="28">
        <f t="shared" si="499"/>
        <v>0.37719041065124659</v>
      </c>
      <c r="BL302" s="33"/>
      <c r="BP302" s="31"/>
      <c r="BX302" s="35">
        <f t="shared" si="465"/>
        <v>0</v>
      </c>
      <c r="BY302" s="35">
        <f t="shared" si="483"/>
        <v>0</v>
      </c>
      <c r="BZ302" s="15">
        <f t="shared" si="500"/>
        <v>1.837887754310496E-10</v>
      </c>
      <c r="CA302" s="28">
        <f t="shared" si="501"/>
        <v>5.6658386591214651E-11</v>
      </c>
      <c r="CB302" s="28">
        <f t="shared" si="502"/>
        <v>0.30827990696564966</v>
      </c>
      <c r="CC302" s="33"/>
      <c r="CG302" s="31"/>
      <c r="CO302" s="35">
        <f t="shared" si="466"/>
        <v>0</v>
      </c>
      <c r="CP302" s="35">
        <f t="shared" si="484"/>
        <v>0</v>
      </c>
      <c r="CQ302" s="15">
        <f t="shared" si="503"/>
        <v>2.0136397300715284E-10</v>
      </c>
      <c r="CR302" s="28">
        <f t="shared" si="504"/>
        <v>7.3319115272850228E-11</v>
      </c>
      <c r="CS302" s="28">
        <f t="shared" si="505"/>
        <v>0.36411237908106725</v>
      </c>
      <c r="CT302" s="33"/>
      <c r="CX302" s="31"/>
      <c r="DF302" s="35">
        <f t="shared" si="467"/>
        <v>0</v>
      </c>
      <c r="DG302" s="35">
        <f t="shared" si="485"/>
        <v>0</v>
      </c>
      <c r="DH302" s="15">
        <f t="shared" si="506"/>
        <v>1.9585504307562328E-10</v>
      </c>
      <c r="DI302" s="28">
        <f t="shared" si="507"/>
        <v>4.455033418194824E-11</v>
      </c>
      <c r="DJ302" s="28">
        <f t="shared" si="508"/>
        <v>0.2274658516949524</v>
      </c>
      <c r="DK302" s="33"/>
      <c r="DO302" s="31"/>
      <c r="DW302" s="35">
        <f t="shared" si="468"/>
        <v>0</v>
      </c>
      <c r="DX302" s="35">
        <f t="shared" si="486"/>
        <v>0</v>
      </c>
      <c r="DY302" s="15">
        <f t="shared" si="509"/>
        <v>2.027787845224514E-10</v>
      </c>
      <c r="DZ302" s="28">
        <f t="shared" si="510"/>
        <v>4.3494561484341474E-11</v>
      </c>
      <c r="EA302" s="28">
        <f t="shared" si="511"/>
        <v>0.21449266296162167</v>
      </c>
      <c r="EB302" s="33"/>
      <c r="EF302" s="31"/>
      <c r="EN302" s="35">
        <f t="shared" si="469"/>
        <v>0</v>
      </c>
      <c r="EO302" s="35">
        <f t="shared" si="487"/>
        <v>0</v>
      </c>
      <c r="EP302" s="15">
        <f t="shared" si="512"/>
        <v>2.1650378028578965E-10</v>
      </c>
      <c r="EQ302" s="28">
        <f t="shared" si="513"/>
        <v>8.5464597370866821E-11</v>
      </c>
      <c r="ER302" s="28">
        <f t="shared" si="514"/>
        <v>0.39474875338459087</v>
      </c>
      <c r="ES302" s="33"/>
      <c r="EW302" s="31"/>
      <c r="FE302" s="35">
        <f t="shared" si="470"/>
        <v>0</v>
      </c>
      <c r="FF302" s="35">
        <f t="shared" si="488"/>
        <v>0</v>
      </c>
      <c r="FG302" s="15">
        <f t="shared" si="515"/>
        <v>2.0916542261634132E-10</v>
      </c>
      <c r="FH302" s="28">
        <f t="shared" si="516"/>
        <v>7.8234971563574299E-11</v>
      </c>
      <c r="FI302" s="28">
        <f t="shared" si="517"/>
        <v>0.37403396118236842</v>
      </c>
      <c r="FJ302" s="33"/>
      <c r="FN302" s="31"/>
      <c r="FV302" s="35">
        <f t="shared" si="471"/>
        <v>0</v>
      </c>
      <c r="FW302" s="35">
        <f t="shared" si="489"/>
        <v>0</v>
      </c>
      <c r="FX302" s="15">
        <f t="shared" si="518"/>
        <v>1.9690662189602714E-10</v>
      </c>
      <c r="FY302" s="28">
        <f t="shared" si="519"/>
        <v>7.8338046438453631E-11</v>
      </c>
      <c r="FZ302" s="28">
        <f t="shared" si="520"/>
        <v>0.39784363615672902</v>
      </c>
      <c r="GA302" s="33"/>
      <c r="GE302" s="31"/>
      <c r="GM302" s="35">
        <f t="shared" si="472"/>
        <v>0</v>
      </c>
      <c r="GN302" s="35">
        <f t="shared" si="490"/>
        <v>0</v>
      </c>
      <c r="GO302" s="15">
        <f t="shared" si="521"/>
        <v>2.0347088800517626E-10</v>
      </c>
      <c r="GP302" s="28">
        <f t="shared" si="522"/>
        <v>8.0735877346493126E-11</v>
      </c>
      <c r="GQ302" s="28">
        <f t="shared" si="523"/>
        <v>0.39679326186672575</v>
      </c>
      <c r="GR302" s="33"/>
      <c r="GV302" s="31"/>
      <c r="HD302" s="35">
        <f t="shared" si="473"/>
        <v>0</v>
      </c>
      <c r="HE302" s="35">
        <f t="shared" si="491"/>
        <v>0</v>
      </c>
      <c r="HF302" s="15">
        <f t="shared" si="524"/>
        <v>2.8663041237350676E-10</v>
      </c>
      <c r="HG302" s="28">
        <f t="shared" si="525"/>
        <v>5.8562813287010467E-11</v>
      </c>
      <c r="HH302" s="28">
        <f t="shared" si="526"/>
        <v>0.20431472292862468</v>
      </c>
      <c r="HI302" s="33"/>
      <c r="HM302" s="31"/>
      <c r="HU302" s="35">
        <f t="shared" si="474"/>
        <v>0</v>
      </c>
      <c r="HV302" s="35">
        <f t="shared" si="492"/>
        <v>0</v>
      </c>
      <c r="HW302" s="15">
        <f t="shared" si="527"/>
        <v>6.6173947268240474E-19</v>
      </c>
      <c r="HX302" s="28">
        <f t="shared" si="528"/>
        <v>2.0581135173691795E-23</v>
      </c>
      <c r="HY302" s="28">
        <f t="shared" si="529"/>
        <v>3.1101567948281523E-5</v>
      </c>
      <c r="HZ302" s="33"/>
      <c r="ID302" s="31"/>
      <c r="II302" s="12"/>
      <c r="IL302" s="35">
        <f t="shared" si="475"/>
        <v>0</v>
      </c>
      <c r="IM302" s="35">
        <f t="shared" si="476"/>
        <v>1.5413995356062482</v>
      </c>
      <c r="IN302" s="15">
        <f t="shared" si="530"/>
        <v>6.5212423314417112E-11</v>
      </c>
      <c r="IO302" s="28">
        <f t="shared" si="531"/>
        <v>1.5222751402313058E-12</v>
      </c>
      <c r="IP302" s="28">
        <f t="shared" si="532"/>
        <v>2.3343330348141844E-2</v>
      </c>
      <c r="IQ302" s="33"/>
      <c r="IU302" s="31"/>
      <c r="JC302" s="35">
        <f t="shared" si="458"/>
        <v>0</v>
      </c>
      <c r="JD302" s="35">
        <f t="shared" si="477"/>
        <v>1.8205618963027046</v>
      </c>
      <c r="JE302" s="15">
        <f t="shared" si="533"/>
        <v>7.8749279053858017E-11</v>
      </c>
      <c r="JF302" s="28">
        <f t="shared" si="534"/>
        <v>1.9429614171625708E-12</v>
      </c>
      <c r="JG302" s="28">
        <f t="shared" si="535"/>
        <v>2.4672751808099035E-2</v>
      </c>
      <c r="JH302" s="33"/>
      <c r="JL302" s="31"/>
      <c r="JR302" s="99"/>
      <c r="JS302" s="99"/>
      <c r="JT302" s="99"/>
      <c r="JU302" s="99"/>
      <c r="JV302" s="99"/>
      <c r="JW302" s="99"/>
      <c r="JX302" s="99"/>
      <c r="JY302" s="99"/>
      <c r="JZ302" s="99"/>
      <c r="KA302" s="99"/>
      <c r="KB302" s="99"/>
      <c r="KC302" s="99"/>
      <c r="KD302" s="99"/>
      <c r="KE302" s="99"/>
      <c r="KF302" s="99"/>
      <c r="KG302" s="99"/>
      <c r="KH302" s="99"/>
      <c r="KI302" s="99"/>
      <c r="KJ302" s="99"/>
      <c r="KK302" s="99"/>
      <c r="KL302" s="99"/>
      <c r="KM302" s="99"/>
      <c r="KN302" s="99"/>
      <c r="KO302" s="99"/>
      <c r="KP302" s="99"/>
      <c r="KQ302" s="99"/>
      <c r="KR302" s="99"/>
      <c r="KS302" s="99"/>
      <c r="KT302" s="99"/>
      <c r="KU302" s="99"/>
      <c r="KV302" s="99"/>
      <c r="KW302" s="99"/>
      <c r="KX302" s="99"/>
      <c r="KY302" s="99"/>
      <c r="KZ302" s="99"/>
      <c r="LA302" s="99"/>
      <c r="LB302" s="99"/>
      <c r="LC302" s="99"/>
      <c r="LD302" s="99"/>
      <c r="LE302" s="99"/>
      <c r="LF302" s="99"/>
      <c r="LG302" s="99"/>
      <c r="LH302" s="99"/>
      <c r="LI302" s="99"/>
      <c r="LJ302" s="99"/>
      <c r="LK302" s="99"/>
      <c r="LL302" s="99"/>
      <c r="LM302" s="99"/>
      <c r="LN302" s="99"/>
      <c r="LO302" s="99"/>
      <c r="LP302" s="99"/>
      <c r="LQ302" s="99"/>
      <c r="LR302" s="99"/>
      <c r="LS302" s="99"/>
      <c r="LT302" s="99"/>
      <c r="LU302" s="99"/>
      <c r="LV302" s="99"/>
      <c r="LW302" s="99"/>
      <c r="LX302" s="99"/>
      <c r="LY302" s="99"/>
      <c r="LZ302" s="99"/>
      <c r="MA302" s="99"/>
      <c r="MB302" s="99"/>
      <c r="MC302" s="99"/>
      <c r="MD302" s="99"/>
      <c r="ME302" s="99"/>
      <c r="MF302" s="99"/>
    </row>
    <row r="303" spans="1:344" ht="17.25" customHeight="1" x14ac:dyDescent="0.25">
      <c r="A303" s="156"/>
      <c r="B303" s="81" t="s">
        <v>6</v>
      </c>
      <c r="C303" s="82">
        <v>45437</v>
      </c>
      <c r="D303" s="49"/>
      <c r="G303" s="89">
        <f t="shared" si="459"/>
        <v>0</v>
      </c>
      <c r="H303" s="35">
        <f t="shared" si="460"/>
        <v>0</v>
      </c>
      <c r="I303" s="39"/>
      <c r="L303" s="89">
        <f t="shared" si="461"/>
        <v>0</v>
      </c>
      <c r="M303" s="35">
        <f t="shared" si="478"/>
        <v>0</v>
      </c>
      <c r="N303" s="35">
        <f t="shared" si="479"/>
        <v>0</v>
      </c>
      <c r="O303" s="97" t="e">
        <f>SUM($Z303,$BH303,$AQ303,$BY303,$CP303,$DG303,$DX303,$EO303,$FF303,$FW303,$GN303)/D303</f>
        <v>#DIV/0!</v>
      </c>
      <c r="P303" s="150"/>
      <c r="Q303" s="132">
        <f t="shared" si="543"/>
        <v>0</v>
      </c>
      <c r="R303" s="134">
        <f t="shared" si="539"/>
        <v>0</v>
      </c>
      <c r="S303" s="136">
        <f t="shared" si="540"/>
        <v>0</v>
      </c>
      <c r="T303" s="138">
        <f t="shared" si="541"/>
        <v>0</v>
      </c>
      <c r="U303" s="144">
        <f t="shared" si="542"/>
        <v>0</v>
      </c>
      <c r="W303" s="11">
        <v>0</v>
      </c>
      <c r="X303" s="1">
        <v>0</v>
      </c>
      <c r="Y303" s="35">
        <f t="shared" si="462"/>
        <v>0</v>
      </c>
      <c r="Z303" s="35">
        <f t="shared" si="480"/>
        <v>0</v>
      </c>
      <c r="AA303" s="15">
        <f t="shared" si="493"/>
        <v>4.6815378129564694E-13</v>
      </c>
      <c r="AB303" s="43">
        <f t="shared" si="537"/>
        <v>2.1348905821442438E-14</v>
      </c>
      <c r="AC303" s="43">
        <f t="shared" si="538"/>
        <v>4.5602335545294352E-2</v>
      </c>
      <c r="AD303" s="33"/>
      <c r="AH303" s="31"/>
      <c r="AP303" s="35">
        <f t="shared" si="463"/>
        <v>0</v>
      </c>
      <c r="AQ303" s="35">
        <f t="shared" si="481"/>
        <v>0</v>
      </c>
      <c r="AR303" s="15">
        <f t="shared" si="494"/>
        <v>1.4137780845117254E-10</v>
      </c>
      <c r="AS303" s="28">
        <f t="shared" si="495"/>
        <v>4.4511162041971935E-11</v>
      </c>
      <c r="AT303" s="28">
        <f t="shared" si="496"/>
        <v>0.31483839316511042</v>
      </c>
      <c r="AU303" s="33"/>
      <c r="AY303" s="31"/>
      <c r="BG303" s="35">
        <f t="shared" si="464"/>
        <v>0</v>
      </c>
      <c r="BH303" s="35">
        <f t="shared" si="482"/>
        <v>0</v>
      </c>
      <c r="BI303" s="15">
        <f t="shared" si="497"/>
        <v>1.9471132805446939E-10</v>
      </c>
      <c r="BJ303" s="28">
        <f t="shared" si="498"/>
        <v>6.8378194353706972E-11</v>
      </c>
      <c r="BK303" s="28">
        <f t="shared" si="499"/>
        <v>0.35117727888219508</v>
      </c>
      <c r="BL303" s="33"/>
      <c r="BP303" s="31"/>
      <c r="BX303" s="35">
        <f t="shared" si="465"/>
        <v>0</v>
      </c>
      <c r="BY303" s="35">
        <f t="shared" si="483"/>
        <v>0</v>
      </c>
      <c r="BZ303" s="15">
        <f t="shared" si="500"/>
        <v>1.480520690972344E-10</v>
      </c>
      <c r="CA303" s="28">
        <f t="shared" si="501"/>
        <v>4.2493789943410988E-11</v>
      </c>
      <c r="CB303" s="28">
        <f t="shared" si="502"/>
        <v>0.28701922372663935</v>
      </c>
      <c r="CC303" s="33"/>
      <c r="CG303" s="31"/>
      <c r="CO303" s="35">
        <f t="shared" si="466"/>
        <v>0</v>
      </c>
      <c r="CP303" s="35">
        <f t="shared" si="484"/>
        <v>0</v>
      </c>
      <c r="CQ303" s="15">
        <f t="shared" si="503"/>
        <v>1.6220986714465089E-10</v>
      </c>
      <c r="CR303" s="28">
        <f t="shared" si="504"/>
        <v>5.4989336454637671E-11</v>
      </c>
      <c r="CS303" s="28">
        <f t="shared" si="505"/>
        <v>0.33900118052375228</v>
      </c>
      <c r="CT303" s="33"/>
      <c r="CX303" s="31"/>
      <c r="DF303" s="35">
        <f t="shared" si="467"/>
        <v>0</v>
      </c>
      <c r="DG303" s="35">
        <f t="shared" si="485"/>
        <v>0</v>
      </c>
      <c r="DH303" s="15">
        <f t="shared" si="506"/>
        <v>1.57772118033141E-10</v>
      </c>
      <c r="DI303" s="28">
        <f t="shared" si="507"/>
        <v>3.341275063646118E-11</v>
      </c>
      <c r="DJ303" s="28">
        <f t="shared" si="508"/>
        <v>0.21177855157805911</v>
      </c>
      <c r="DK303" s="33"/>
      <c r="DO303" s="31"/>
      <c r="DW303" s="35">
        <f t="shared" si="468"/>
        <v>0</v>
      </c>
      <c r="DX303" s="35">
        <f t="shared" si="486"/>
        <v>0</v>
      </c>
      <c r="DY303" s="15">
        <f t="shared" si="509"/>
        <v>1.6334957642086363E-10</v>
      </c>
      <c r="DZ303" s="28">
        <f t="shared" si="510"/>
        <v>3.2620921113256104E-11</v>
      </c>
      <c r="EA303" s="28">
        <f t="shared" si="511"/>
        <v>0.19970006551599259</v>
      </c>
      <c r="EB303" s="33"/>
      <c r="EF303" s="31"/>
      <c r="EN303" s="35">
        <f t="shared" si="469"/>
        <v>0</v>
      </c>
      <c r="EO303" s="35">
        <f t="shared" si="487"/>
        <v>0</v>
      </c>
      <c r="EP303" s="15">
        <f t="shared" si="512"/>
        <v>1.7440582300799723E-10</v>
      </c>
      <c r="EQ303" s="28">
        <f t="shared" si="513"/>
        <v>6.4098448028150119E-11</v>
      </c>
      <c r="ER303" s="28">
        <f t="shared" si="514"/>
        <v>0.36752470142703286</v>
      </c>
      <c r="ES303" s="33"/>
      <c r="EW303" s="31"/>
      <c r="FE303" s="35">
        <f t="shared" si="470"/>
        <v>0</v>
      </c>
      <c r="FF303" s="35">
        <f t="shared" si="488"/>
        <v>0</v>
      </c>
      <c r="FG303" s="15">
        <f t="shared" si="515"/>
        <v>1.6849436821871942E-10</v>
      </c>
      <c r="FH303" s="28">
        <f t="shared" si="516"/>
        <v>5.8676228672680727E-11</v>
      </c>
      <c r="FI303" s="28">
        <f t="shared" si="517"/>
        <v>0.34823851558358437</v>
      </c>
      <c r="FJ303" s="33"/>
      <c r="FN303" s="31"/>
      <c r="FV303" s="35">
        <f t="shared" si="471"/>
        <v>0</v>
      </c>
      <c r="FW303" s="35">
        <f t="shared" si="489"/>
        <v>0</v>
      </c>
      <c r="FX303" s="15">
        <f t="shared" si="518"/>
        <v>1.5861922319402184E-10</v>
      </c>
      <c r="FY303" s="28">
        <f t="shared" si="519"/>
        <v>5.8753534828840223E-11</v>
      </c>
      <c r="FZ303" s="28">
        <f t="shared" si="520"/>
        <v>0.3704061440079891</v>
      </c>
      <c r="GA303" s="33"/>
      <c r="GE303" s="31"/>
      <c r="GM303" s="35">
        <f t="shared" si="472"/>
        <v>0</v>
      </c>
      <c r="GN303" s="35">
        <f t="shared" si="490"/>
        <v>0</v>
      </c>
      <c r="GO303" s="15">
        <f t="shared" si="521"/>
        <v>1.6390710422639198E-10</v>
      </c>
      <c r="GP303" s="28">
        <f t="shared" si="522"/>
        <v>6.0551908009869845E-11</v>
      </c>
      <c r="GQ303" s="28">
        <f t="shared" si="523"/>
        <v>0.36942820932419296</v>
      </c>
      <c r="GR303" s="33"/>
      <c r="GV303" s="31"/>
      <c r="HD303" s="35">
        <f t="shared" si="473"/>
        <v>0</v>
      </c>
      <c r="HE303" s="35">
        <f t="shared" si="491"/>
        <v>0</v>
      </c>
      <c r="HF303" s="15">
        <f t="shared" si="524"/>
        <v>2.3089672107865822E-10</v>
      </c>
      <c r="HG303" s="28">
        <f t="shared" si="525"/>
        <v>4.3922109965257851E-11</v>
      </c>
      <c r="HH303" s="28">
        <f t="shared" si="526"/>
        <v>0.19022405238182297</v>
      </c>
      <c r="HI303" s="33"/>
      <c r="HM303" s="31"/>
      <c r="HU303" s="35">
        <f t="shared" si="474"/>
        <v>0</v>
      </c>
      <c r="HV303" s="35">
        <f t="shared" si="492"/>
        <v>0</v>
      </c>
      <c r="HW303" s="15">
        <f t="shared" si="527"/>
        <v>5.3306790854971491E-19</v>
      </c>
      <c r="HX303" s="28">
        <f t="shared" si="528"/>
        <v>1.5435851380268846E-23</v>
      </c>
      <c r="HY303" s="28">
        <f t="shared" si="529"/>
        <v>2.8956632227710382E-5</v>
      </c>
      <c r="HZ303" s="33"/>
      <c r="ID303" s="31"/>
      <c r="II303" s="12"/>
      <c r="IL303" s="35">
        <f t="shared" si="475"/>
        <v>0</v>
      </c>
      <c r="IM303" s="35">
        <f t="shared" si="476"/>
        <v>1.4350961192473282</v>
      </c>
      <c r="IN303" s="15">
        <f t="shared" si="530"/>
        <v>5.2532229892169349E-11</v>
      </c>
      <c r="IO303" s="28">
        <f t="shared" si="531"/>
        <v>1.1417063551734795E-12</v>
      </c>
      <c r="IP303" s="28">
        <f t="shared" si="532"/>
        <v>2.1733445496545854E-2</v>
      </c>
      <c r="IQ303" s="33"/>
      <c r="IU303" s="31"/>
      <c r="JC303" s="35">
        <f t="shared" si="458"/>
        <v>0</v>
      </c>
      <c r="JD303" s="35">
        <f t="shared" si="477"/>
        <v>1.6950059033253484</v>
      </c>
      <c r="JE303" s="15">
        <f t="shared" si="533"/>
        <v>6.3436919237830066E-11</v>
      </c>
      <c r="JF303" s="28">
        <f t="shared" si="534"/>
        <v>1.4572210628719281E-12</v>
      </c>
      <c r="JG303" s="28">
        <f t="shared" si="535"/>
        <v>2.2971182717885306E-2</v>
      </c>
      <c r="JH303" s="33"/>
      <c r="JL303" s="31"/>
      <c r="JR303" s="99"/>
      <c r="JS303" s="99"/>
      <c r="JT303" s="99"/>
      <c r="JU303" s="99"/>
      <c r="JV303" s="99"/>
      <c r="JW303" s="99"/>
      <c r="JX303" s="99"/>
      <c r="JY303" s="99"/>
      <c r="JZ303" s="99"/>
      <c r="KA303" s="99"/>
      <c r="KB303" s="99"/>
      <c r="KC303" s="99"/>
      <c r="KD303" s="99"/>
      <c r="KE303" s="99"/>
      <c r="KF303" s="99"/>
      <c r="KG303" s="99"/>
      <c r="KH303" s="99"/>
      <c r="KI303" s="99"/>
      <c r="KJ303" s="99"/>
      <c r="KK303" s="99"/>
      <c r="KL303" s="99"/>
      <c r="KM303" s="99"/>
      <c r="KN303" s="99"/>
      <c r="KO303" s="99"/>
      <c r="KP303" s="99"/>
      <c r="KQ303" s="99"/>
      <c r="KR303" s="99"/>
      <c r="KS303" s="99"/>
      <c r="KT303" s="99"/>
      <c r="KU303" s="99"/>
      <c r="KV303" s="99"/>
      <c r="KW303" s="99"/>
      <c r="KX303" s="99"/>
      <c r="KY303" s="99"/>
      <c r="KZ303" s="99"/>
      <c r="LA303" s="99"/>
      <c r="LB303" s="99"/>
      <c r="LC303" s="99"/>
      <c r="LD303" s="99"/>
      <c r="LE303" s="99"/>
      <c r="LF303" s="99"/>
      <c r="LG303" s="99"/>
      <c r="LH303" s="99"/>
      <c r="LI303" s="99"/>
      <c r="LJ303" s="99"/>
      <c r="LK303" s="99"/>
      <c r="LL303" s="99"/>
      <c r="LM303" s="99"/>
      <c r="LN303" s="99"/>
      <c r="LO303" s="99"/>
      <c r="LP303" s="99"/>
      <c r="LQ303" s="99"/>
      <c r="LR303" s="99"/>
      <c r="LS303" s="99"/>
      <c r="LT303" s="99"/>
      <c r="LU303" s="99"/>
      <c r="LV303" s="99"/>
      <c r="LW303" s="99"/>
      <c r="LX303" s="99"/>
      <c r="LY303" s="99"/>
      <c r="LZ303" s="99"/>
      <c r="MA303" s="99"/>
      <c r="MB303" s="99"/>
      <c r="MC303" s="99"/>
      <c r="MD303" s="99"/>
      <c r="ME303" s="99"/>
      <c r="MF303" s="99"/>
    </row>
    <row r="304" spans="1:344" ht="17.25" customHeight="1" x14ac:dyDescent="0.25">
      <c r="A304" s="157"/>
      <c r="B304" s="83" t="s">
        <v>7</v>
      </c>
      <c r="C304" s="84">
        <v>45438</v>
      </c>
      <c r="D304" s="51"/>
      <c r="E304" s="48"/>
      <c r="F304" s="104"/>
      <c r="G304" s="37">
        <f t="shared" si="459"/>
        <v>0</v>
      </c>
      <c r="H304" s="26">
        <f t="shared" si="460"/>
        <v>0</v>
      </c>
      <c r="I304" s="48"/>
      <c r="J304" s="48"/>
      <c r="K304" s="104"/>
      <c r="L304" s="37">
        <f t="shared" si="461"/>
        <v>0</v>
      </c>
      <c r="M304" s="26">
        <f t="shared" si="478"/>
        <v>0</v>
      </c>
      <c r="N304" s="26">
        <f t="shared" si="479"/>
        <v>0</v>
      </c>
      <c r="O304" s="98" t="e">
        <f>SUM($Z304,$BH304,$AQ304,$BY304,$CP304,$DG304,$DX304,$EO304,$FF304,$FW304,$GN304)/D304</f>
        <v>#DIV/0!</v>
      </c>
      <c r="P304" s="151"/>
      <c r="Q304" s="139">
        <f t="shared" si="543"/>
        <v>0</v>
      </c>
      <c r="R304" s="140">
        <f t="shared" si="539"/>
        <v>0</v>
      </c>
      <c r="S304" s="141">
        <f t="shared" si="540"/>
        <v>0</v>
      </c>
      <c r="T304" s="142">
        <f t="shared" si="541"/>
        <v>0</v>
      </c>
      <c r="U304" s="145">
        <f t="shared" si="542"/>
        <v>0</v>
      </c>
      <c r="V304" s="23"/>
      <c r="W304" s="13">
        <v>0</v>
      </c>
      <c r="X304" s="2">
        <v>0</v>
      </c>
      <c r="Y304" s="26">
        <f t="shared" si="462"/>
        <v>0</v>
      </c>
      <c r="Z304" s="26">
        <f t="shared" si="480"/>
        <v>0</v>
      </c>
      <c r="AA304" s="16">
        <f t="shared" si="493"/>
        <v>3.7712387937704886E-13</v>
      </c>
      <c r="AB304" s="44">
        <f t="shared" si="537"/>
        <v>1.6011679366081827E-14</v>
      </c>
      <c r="AC304" s="44">
        <f t="shared" si="538"/>
        <v>4.245734688699819E-2</v>
      </c>
      <c r="AD304" s="34"/>
      <c r="AE304" s="4"/>
      <c r="AF304" s="5"/>
      <c r="AG304" s="6"/>
      <c r="AH304" s="32"/>
      <c r="AI304" s="3"/>
      <c r="AJ304" s="4"/>
      <c r="AK304" s="5"/>
      <c r="AL304" s="6"/>
      <c r="AM304" s="14"/>
      <c r="AN304" s="13"/>
      <c r="AO304" s="2"/>
      <c r="AP304" s="26">
        <f t="shared" si="463"/>
        <v>0</v>
      </c>
      <c r="AQ304" s="26">
        <f t="shared" si="481"/>
        <v>0</v>
      </c>
      <c r="AR304" s="16">
        <f t="shared" si="494"/>
        <v>1.1388767903011123E-10</v>
      </c>
      <c r="AS304" s="29">
        <f t="shared" si="495"/>
        <v>3.3383371531478949E-11</v>
      </c>
      <c r="AT304" s="29">
        <f t="shared" si="496"/>
        <v>0.29312540053303382</v>
      </c>
      <c r="AU304" s="34"/>
      <c r="AV304" s="4"/>
      <c r="AW304" s="5"/>
      <c r="AX304" s="6"/>
      <c r="AY304" s="32"/>
      <c r="AZ304" s="3"/>
      <c r="BA304" s="4"/>
      <c r="BB304" s="5"/>
      <c r="BC304" s="6"/>
      <c r="BD304" s="14"/>
      <c r="BE304" s="13"/>
      <c r="BF304" s="2"/>
      <c r="BG304" s="26">
        <f t="shared" si="464"/>
        <v>0</v>
      </c>
      <c r="BH304" s="26">
        <f t="shared" si="482"/>
        <v>0</v>
      </c>
      <c r="BI304" s="16">
        <f t="shared" si="497"/>
        <v>1.568507920438781E-10</v>
      </c>
      <c r="BJ304" s="29">
        <f t="shared" si="498"/>
        <v>5.1283645765280225E-11</v>
      </c>
      <c r="BK304" s="29">
        <f t="shared" si="499"/>
        <v>0.32695815620066437</v>
      </c>
      <c r="BL304" s="34"/>
      <c r="BM304" s="4"/>
      <c r="BN304" s="5"/>
      <c r="BO304" s="6"/>
      <c r="BP304" s="32"/>
      <c r="BQ304" s="3"/>
      <c r="BR304" s="4"/>
      <c r="BS304" s="5"/>
      <c r="BT304" s="6"/>
      <c r="BU304" s="14"/>
      <c r="BV304" s="13"/>
      <c r="BW304" s="2"/>
      <c r="BX304" s="26">
        <f t="shared" si="465"/>
        <v>0</v>
      </c>
      <c r="BY304" s="26">
        <f t="shared" si="483"/>
        <v>0</v>
      </c>
      <c r="BZ304" s="16">
        <f t="shared" si="500"/>
        <v>1.1926416677277216E-10</v>
      </c>
      <c r="CA304" s="29">
        <f t="shared" si="501"/>
        <v>3.1870342457558244E-11</v>
      </c>
      <c r="CB304" s="29">
        <f t="shared" si="502"/>
        <v>0.26722479450411252</v>
      </c>
      <c r="CC304" s="34"/>
      <c r="CD304" s="4"/>
      <c r="CE304" s="5"/>
      <c r="CF304" s="6"/>
      <c r="CG304" s="32"/>
      <c r="CH304" s="3"/>
      <c r="CI304" s="4"/>
      <c r="CJ304" s="5"/>
      <c r="CK304" s="6"/>
      <c r="CL304" s="14"/>
      <c r="CM304" s="13"/>
      <c r="CN304" s="2"/>
      <c r="CO304" s="26">
        <f t="shared" si="466"/>
        <v>0</v>
      </c>
      <c r="CP304" s="26">
        <f t="shared" si="484"/>
        <v>0</v>
      </c>
      <c r="CQ304" s="16">
        <f t="shared" si="503"/>
        <v>1.3066905964430213E-10</v>
      </c>
      <c r="CR304" s="29">
        <f t="shared" si="504"/>
        <v>4.1242002340978256E-11</v>
      </c>
      <c r="CS304" s="29">
        <f t="shared" si="505"/>
        <v>0.3156217887634935</v>
      </c>
      <c r="CT304" s="34"/>
      <c r="CU304" s="4"/>
      <c r="CV304" s="5"/>
      <c r="CW304" s="6"/>
      <c r="CX304" s="32"/>
      <c r="CY304" s="3"/>
      <c r="CZ304" s="4"/>
      <c r="DA304" s="5"/>
      <c r="DB304" s="6"/>
      <c r="DC304" s="14"/>
      <c r="DD304" s="13"/>
      <c r="DE304" s="2"/>
      <c r="DF304" s="26">
        <f t="shared" si="467"/>
        <v>0</v>
      </c>
      <c r="DG304" s="26">
        <f t="shared" si="485"/>
        <v>0</v>
      </c>
      <c r="DH304" s="16">
        <f t="shared" si="506"/>
        <v>1.2709420619336358E-10</v>
      </c>
      <c r="DI304" s="29">
        <f t="shared" si="507"/>
        <v>2.5059562977345883E-11</v>
      </c>
      <c r="DJ304" s="29">
        <f t="shared" si="508"/>
        <v>0.19717313422784813</v>
      </c>
      <c r="DK304" s="34"/>
      <c r="DL304" s="4"/>
      <c r="DM304" s="5"/>
      <c r="DN304" s="6"/>
      <c r="DO304" s="32"/>
      <c r="DP304" s="3"/>
      <c r="DQ304" s="4"/>
      <c r="DR304" s="5"/>
      <c r="DS304" s="6"/>
      <c r="DT304" s="14"/>
      <c r="DU304" s="13"/>
      <c r="DV304" s="2"/>
      <c r="DW304" s="26">
        <f t="shared" si="468"/>
        <v>0</v>
      </c>
      <c r="DX304" s="26">
        <f t="shared" si="486"/>
        <v>0</v>
      </c>
      <c r="DY304" s="16">
        <f t="shared" si="509"/>
        <v>1.3158715878347348E-10</v>
      </c>
      <c r="DZ304" s="29">
        <f t="shared" si="510"/>
        <v>2.4465690834942078E-11</v>
      </c>
      <c r="EA304" s="29">
        <f t="shared" si="511"/>
        <v>0.18592764720454483</v>
      </c>
      <c r="EB304" s="34"/>
      <c r="EC304" s="4"/>
      <c r="ED304" s="5"/>
      <c r="EE304" s="6"/>
      <c r="EF304" s="32"/>
      <c r="EG304" s="3"/>
      <c r="EH304" s="4"/>
      <c r="EI304" s="5"/>
      <c r="EJ304" s="6"/>
      <c r="EK304" s="14"/>
      <c r="EL304" s="13"/>
      <c r="EM304" s="2"/>
      <c r="EN304" s="26">
        <f t="shared" si="469"/>
        <v>0</v>
      </c>
      <c r="EO304" s="26">
        <f t="shared" si="487"/>
        <v>0</v>
      </c>
      <c r="EP304" s="16">
        <f t="shared" si="512"/>
        <v>1.4049357964533108E-10</v>
      </c>
      <c r="EQ304" s="29">
        <f t="shared" si="513"/>
        <v>4.8073836021112589E-11</v>
      </c>
      <c r="ER304" s="29">
        <f t="shared" si="514"/>
        <v>0.34217817029413405</v>
      </c>
      <c r="ES304" s="34"/>
      <c r="ET304" s="4"/>
      <c r="EU304" s="5"/>
      <c r="EV304" s="6"/>
      <c r="EW304" s="32"/>
      <c r="EX304" s="3"/>
      <c r="EY304" s="4"/>
      <c r="EZ304" s="5"/>
      <c r="FA304" s="6"/>
      <c r="FB304" s="14"/>
      <c r="FC304" s="13"/>
      <c r="FD304" s="2"/>
      <c r="FE304" s="26">
        <f t="shared" si="470"/>
        <v>0</v>
      </c>
      <c r="FF304" s="26">
        <f t="shared" si="488"/>
        <v>0</v>
      </c>
      <c r="FG304" s="16">
        <f t="shared" si="515"/>
        <v>1.3573157439841288E-10</v>
      </c>
      <c r="FH304" s="29">
        <f t="shared" si="516"/>
        <v>4.4007171504510549E-11</v>
      </c>
      <c r="FI304" s="29">
        <f t="shared" si="517"/>
        <v>0.32422206623299232</v>
      </c>
      <c r="FJ304" s="34"/>
      <c r="FK304" s="4"/>
      <c r="FL304" s="5"/>
      <c r="FM304" s="6"/>
      <c r="FN304" s="32"/>
      <c r="FO304" s="3"/>
      <c r="FP304" s="4"/>
      <c r="FQ304" s="5"/>
      <c r="FR304" s="6"/>
      <c r="FS304" s="14"/>
      <c r="FT304" s="13"/>
      <c r="FU304" s="2"/>
      <c r="FV304" s="26">
        <f t="shared" si="471"/>
        <v>0</v>
      </c>
      <c r="FW304" s="26">
        <f t="shared" si="489"/>
        <v>0</v>
      </c>
      <c r="FX304" s="16">
        <f t="shared" si="518"/>
        <v>1.2777659646185094E-10</v>
      </c>
      <c r="FY304" s="29">
        <f t="shared" si="519"/>
        <v>4.4065151121630171E-11</v>
      </c>
      <c r="FZ304" s="29">
        <f t="shared" si="520"/>
        <v>0.3448608926970933</v>
      </c>
      <c r="GA304" s="34"/>
      <c r="GB304" s="4"/>
      <c r="GC304" s="5"/>
      <c r="GD304" s="6"/>
      <c r="GE304" s="32"/>
      <c r="GF304" s="3"/>
      <c r="GG304" s="4"/>
      <c r="GH304" s="5"/>
      <c r="GI304" s="6"/>
      <c r="GJ304" s="14"/>
      <c r="GK304" s="13"/>
      <c r="GL304" s="2"/>
      <c r="GM304" s="26">
        <f t="shared" si="472"/>
        <v>0</v>
      </c>
      <c r="GN304" s="26">
        <f t="shared" si="490"/>
        <v>0</v>
      </c>
      <c r="GO304" s="16">
        <f t="shared" si="521"/>
        <v>1.3203627840459355E-10</v>
      </c>
      <c r="GP304" s="29">
        <f t="shared" si="522"/>
        <v>4.5413931007402383E-11</v>
      </c>
      <c r="GQ304" s="29">
        <f t="shared" si="523"/>
        <v>0.34395040178459341</v>
      </c>
      <c r="GR304" s="34"/>
      <c r="GS304" s="4"/>
      <c r="GT304" s="5"/>
      <c r="GU304" s="6"/>
      <c r="GV304" s="32"/>
      <c r="GW304" s="3"/>
      <c r="GX304" s="4"/>
      <c r="GY304" s="5"/>
      <c r="GZ304" s="6"/>
      <c r="HA304" s="14"/>
      <c r="HB304" s="13"/>
      <c r="HC304" s="2"/>
      <c r="HD304" s="26">
        <f t="shared" si="473"/>
        <v>0</v>
      </c>
      <c r="HE304" s="26">
        <f t="shared" si="491"/>
        <v>0</v>
      </c>
      <c r="HF304" s="16">
        <f t="shared" si="524"/>
        <v>1.8600013642447469E-10</v>
      </c>
      <c r="HG304" s="29">
        <f t="shared" si="525"/>
        <v>3.2941582473943388E-11</v>
      </c>
      <c r="HH304" s="29">
        <f t="shared" si="526"/>
        <v>0.17710515221755932</v>
      </c>
      <c r="HI304" s="34"/>
      <c r="HJ304" s="4"/>
      <c r="HK304" s="5"/>
      <c r="HL304" s="6"/>
      <c r="HM304" s="32"/>
      <c r="HN304" s="3"/>
      <c r="HO304" s="4"/>
      <c r="HP304" s="5"/>
      <c r="HQ304" s="6"/>
      <c r="HR304" s="14"/>
      <c r="HS304" s="13"/>
      <c r="HT304" s="2"/>
      <c r="HU304" s="26">
        <f t="shared" si="474"/>
        <v>0</v>
      </c>
      <c r="HV304" s="26">
        <f t="shared" si="492"/>
        <v>0</v>
      </c>
      <c r="HW304" s="16">
        <f t="shared" si="527"/>
        <v>4.2941581522060373E-19</v>
      </c>
      <c r="HX304" s="29">
        <f t="shared" si="528"/>
        <v>1.1576888535201635E-23</v>
      </c>
      <c r="HY304" s="29">
        <f t="shared" si="529"/>
        <v>2.6959623108557939E-5</v>
      </c>
      <c r="HZ304" s="34"/>
      <c r="IA304" s="4"/>
      <c r="IB304" s="5"/>
      <c r="IC304" s="6"/>
      <c r="ID304" s="32"/>
      <c r="IE304" s="3"/>
      <c r="IF304" s="4"/>
      <c r="IG304" s="5"/>
      <c r="IH304" s="6"/>
      <c r="II304" s="14"/>
      <c r="IJ304" s="13"/>
      <c r="IK304" s="2"/>
      <c r="IL304" s="26">
        <f t="shared" si="475"/>
        <v>0</v>
      </c>
      <c r="IM304" s="26">
        <f t="shared" si="476"/>
        <v>1.3361239730058363</v>
      </c>
      <c r="IN304" s="16">
        <f t="shared" si="530"/>
        <v>4.2317629635358647E-11</v>
      </c>
      <c r="IO304" s="29">
        <f t="shared" si="531"/>
        <v>8.562797663801096E-13</v>
      </c>
      <c r="IP304" s="29">
        <f t="shared" si="532"/>
        <v>2.0234587186439241E-2</v>
      </c>
      <c r="IQ304" s="34"/>
      <c r="IR304" s="4"/>
      <c r="IS304" s="5"/>
      <c r="IT304" s="6"/>
      <c r="IU304" s="32"/>
      <c r="IV304" s="3"/>
      <c r="IW304" s="4"/>
      <c r="IX304" s="5"/>
      <c r="IY304" s="6"/>
      <c r="IZ304" s="14"/>
      <c r="JA304" s="13"/>
      <c r="JB304" s="2"/>
      <c r="JC304" s="26">
        <f t="shared" si="458"/>
        <v>0</v>
      </c>
      <c r="JD304" s="26">
        <f t="shared" si="477"/>
        <v>1.5781089443744427</v>
      </c>
      <c r="JE304" s="16">
        <f t="shared" si="533"/>
        <v>5.1101962719363118E-11</v>
      </c>
      <c r="JF304" s="29">
        <f t="shared" si="534"/>
        <v>1.0929157971539461E-12</v>
      </c>
      <c r="JG304" s="29">
        <f t="shared" si="535"/>
        <v>2.1386963220100114E-2</v>
      </c>
      <c r="JH304" s="34"/>
      <c r="JI304" s="4"/>
      <c r="JJ304" s="5"/>
      <c r="JK304" s="6"/>
      <c r="JL304" s="32"/>
      <c r="JM304" s="3"/>
      <c r="JN304" s="4"/>
      <c r="JO304" s="5"/>
      <c r="JP304" s="6"/>
      <c r="JQ304" s="14"/>
      <c r="JR304" s="99"/>
      <c r="JS304" s="99"/>
      <c r="JT304" s="99"/>
      <c r="JU304" s="99"/>
      <c r="JV304" s="99"/>
      <c r="JW304" s="99"/>
      <c r="JX304" s="99"/>
      <c r="JY304" s="99"/>
      <c r="JZ304" s="99"/>
      <c r="KA304" s="99"/>
      <c r="KB304" s="99"/>
      <c r="KC304" s="99"/>
      <c r="KD304" s="99"/>
      <c r="KE304" s="99"/>
      <c r="KF304" s="99"/>
      <c r="KG304" s="99"/>
      <c r="KH304" s="99"/>
      <c r="KI304" s="99"/>
      <c r="KJ304" s="99"/>
      <c r="KK304" s="99"/>
      <c r="KL304" s="99"/>
      <c r="KM304" s="99"/>
      <c r="KN304" s="99"/>
      <c r="KO304" s="99"/>
      <c r="KP304" s="99"/>
      <c r="KQ304" s="99"/>
      <c r="KR304" s="99"/>
      <c r="KS304" s="99"/>
      <c r="KT304" s="99"/>
      <c r="KU304" s="99"/>
      <c r="KV304" s="99"/>
      <c r="KW304" s="99"/>
      <c r="KX304" s="99"/>
      <c r="KY304" s="99"/>
      <c r="KZ304" s="99"/>
      <c r="LA304" s="99"/>
      <c r="LB304" s="99"/>
      <c r="LC304" s="99"/>
      <c r="LD304" s="99"/>
      <c r="LE304" s="99"/>
      <c r="LF304" s="99"/>
      <c r="LG304" s="99"/>
      <c r="LH304" s="99"/>
      <c r="LI304" s="99"/>
      <c r="LJ304" s="99"/>
      <c r="LK304" s="99"/>
      <c r="LL304" s="99"/>
      <c r="LM304" s="99"/>
      <c r="LN304" s="99"/>
      <c r="LO304" s="99"/>
      <c r="LP304" s="99"/>
      <c r="LQ304" s="99"/>
      <c r="LR304" s="99"/>
      <c r="LS304" s="99"/>
      <c r="LT304" s="99"/>
      <c r="LU304" s="99"/>
      <c r="LV304" s="99"/>
      <c r="LW304" s="99"/>
      <c r="LX304" s="99"/>
      <c r="LY304" s="99"/>
      <c r="LZ304" s="99"/>
      <c r="MA304" s="99"/>
      <c r="MB304" s="99"/>
      <c r="MC304" s="99"/>
      <c r="MD304" s="99"/>
      <c r="ME304" s="99"/>
      <c r="MF304" s="99"/>
    </row>
    <row r="305" spans="1:344" ht="17.25" customHeight="1" x14ac:dyDescent="0.25">
      <c r="A305" s="155" t="s">
        <v>49</v>
      </c>
      <c r="B305" s="79" t="s">
        <v>1</v>
      </c>
      <c r="C305" s="80">
        <v>45439</v>
      </c>
      <c r="D305" s="50"/>
      <c r="G305" s="36">
        <f t="shared" si="459"/>
        <v>0</v>
      </c>
      <c r="H305" s="27">
        <f t="shared" si="460"/>
        <v>0</v>
      </c>
      <c r="I305" s="47"/>
      <c r="K305" s="105"/>
      <c r="L305" s="89">
        <f t="shared" si="461"/>
        <v>0</v>
      </c>
      <c r="M305" s="27">
        <f t="shared" si="478"/>
        <v>0</v>
      </c>
      <c r="N305" s="35">
        <f t="shared" si="479"/>
        <v>0</v>
      </c>
      <c r="O305" s="97" t="e">
        <f>SUM($Z305,$BH305,$AQ305,$BY305,$CP305,$DG305,$DX305,$EO305,$FF305,$FW305,$GN305)/I305</f>
        <v>#DIV/0!</v>
      </c>
      <c r="P305" s="149">
        <f t="shared" si="536"/>
        <v>0</v>
      </c>
      <c r="Q305" s="131">
        <f t="shared" si="543"/>
        <v>0</v>
      </c>
      <c r="R305" s="133">
        <f t="shared" si="539"/>
        <v>0</v>
      </c>
      <c r="S305" s="135">
        <f t="shared" si="540"/>
        <v>0</v>
      </c>
      <c r="T305" s="137">
        <f t="shared" si="541"/>
        <v>0</v>
      </c>
      <c r="U305" s="143">
        <f t="shared" si="542"/>
        <v>0</v>
      </c>
      <c r="W305" s="11">
        <v>0</v>
      </c>
      <c r="X305" s="1">
        <v>0</v>
      </c>
      <c r="Y305" s="27">
        <f t="shared" si="462"/>
        <v>0</v>
      </c>
      <c r="Z305" s="27">
        <f t="shared" si="480"/>
        <v>0</v>
      </c>
      <c r="AA305" s="15">
        <f t="shared" si="493"/>
        <v>3.0379423616484495E-13</v>
      </c>
      <c r="AB305" s="43">
        <f t="shared" si="537"/>
        <v>1.200875952456137E-14</v>
      </c>
      <c r="AC305" s="43">
        <f t="shared" si="538"/>
        <v>3.9529253998239693E-2</v>
      </c>
      <c r="AD305" s="33"/>
      <c r="AH305" s="31"/>
      <c r="AP305" s="27">
        <f t="shared" si="463"/>
        <v>0</v>
      </c>
      <c r="AQ305" s="27">
        <f t="shared" si="481"/>
        <v>0</v>
      </c>
      <c r="AR305" s="15">
        <f t="shared" si="494"/>
        <v>9.1742852552034042E-11</v>
      </c>
      <c r="AS305" s="28">
        <f t="shared" si="495"/>
        <v>2.503752864860921E-11</v>
      </c>
      <c r="AT305" s="28">
        <f t="shared" si="496"/>
        <v>0.27290985566868664</v>
      </c>
      <c r="AU305" s="33"/>
      <c r="AY305" s="31"/>
      <c r="BG305" s="27">
        <f t="shared" si="464"/>
        <v>0</v>
      </c>
      <c r="BH305" s="27">
        <f t="shared" si="482"/>
        <v>0</v>
      </c>
      <c r="BI305" s="15">
        <f t="shared" si="497"/>
        <v>1.2635202692423516E-10</v>
      </c>
      <c r="BJ305" s="28">
        <f t="shared" si="498"/>
        <v>3.8462734323960172E-11</v>
      </c>
      <c r="BK305" s="28">
        <f t="shared" si="499"/>
        <v>0.30440931784199787</v>
      </c>
      <c r="BL305" s="33"/>
      <c r="BP305" s="31"/>
      <c r="BX305" s="27">
        <f t="shared" si="465"/>
        <v>0</v>
      </c>
      <c r="BY305" s="27">
        <f t="shared" si="483"/>
        <v>0</v>
      </c>
      <c r="BZ305" s="15">
        <f t="shared" si="500"/>
        <v>9.607391212251091E-11</v>
      </c>
      <c r="CA305" s="28">
        <f t="shared" si="501"/>
        <v>2.3902756843168683E-11</v>
      </c>
      <c r="CB305" s="28">
        <f t="shared" si="502"/>
        <v>0.24879549833141509</v>
      </c>
      <c r="CC305" s="33"/>
      <c r="CG305" s="31"/>
      <c r="CO305" s="27">
        <f t="shared" si="466"/>
        <v>0</v>
      </c>
      <c r="CP305" s="27">
        <f t="shared" si="484"/>
        <v>0</v>
      </c>
      <c r="CQ305" s="15">
        <f t="shared" si="503"/>
        <v>1.0526118693568782E-10</v>
      </c>
      <c r="CR305" s="28">
        <f t="shared" si="504"/>
        <v>3.0931501755733692E-11</v>
      </c>
      <c r="CS305" s="28">
        <f t="shared" si="505"/>
        <v>0.29385476884876982</v>
      </c>
      <c r="CT305" s="33"/>
      <c r="CX305" s="31"/>
      <c r="DF305" s="27">
        <f t="shared" si="467"/>
        <v>0</v>
      </c>
      <c r="DG305" s="27">
        <f t="shared" si="485"/>
        <v>0</v>
      </c>
      <c r="DH305" s="15">
        <f t="shared" si="506"/>
        <v>1.0238144387798734E-10</v>
      </c>
      <c r="DI305" s="28">
        <f t="shared" si="507"/>
        <v>1.8794672233009414E-11</v>
      </c>
      <c r="DJ305" s="28">
        <f t="shared" si="508"/>
        <v>0.18357498703972067</v>
      </c>
      <c r="DK305" s="33"/>
      <c r="DO305" s="31"/>
      <c r="DW305" s="27">
        <f t="shared" si="468"/>
        <v>0</v>
      </c>
      <c r="DX305" s="27">
        <f t="shared" si="486"/>
        <v>0</v>
      </c>
      <c r="DY305" s="15">
        <f t="shared" si="509"/>
        <v>1.0600076679779808E-10</v>
      </c>
      <c r="DZ305" s="28">
        <f t="shared" si="510"/>
        <v>1.8349268126206559E-11</v>
      </c>
      <c r="EA305" s="28">
        <f t="shared" si="511"/>
        <v>0.1731050508456107</v>
      </c>
      <c r="EB305" s="33"/>
      <c r="EF305" s="31"/>
      <c r="EN305" s="27">
        <f t="shared" si="469"/>
        <v>0</v>
      </c>
      <c r="EO305" s="27">
        <f t="shared" si="487"/>
        <v>0</v>
      </c>
      <c r="EP305" s="15">
        <f t="shared" si="512"/>
        <v>1.1317538360318339E-10</v>
      </c>
      <c r="EQ305" s="28">
        <f t="shared" si="513"/>
        <v>3.6055377015834443E-11</v>
      </c>
      <c r="ER305" s="28">
        <f t="shared" si="514"/>
        <v>0.31857967579109031</v>
      </c>
      <c r="ES305" s="33"/>
      <c r="EW305" s="31"/>
      <c r="FE305" s="27">
        <f t="shared" si="470"/>
        <v>0</v>
      </c>
      <c r="FF305" s="27">
        <f t="shared" si="488"/>
        <v>0</v>
      </c>
      <c r="FG305" s="15">
        <f t="shared" si="515"/>
        <v>1.0933932382094372E-10</v>
      </c>
      <c r="FH305" s="28">
        <f t="shared" si="516"/>
        <v>3.3005378628382912E-11</v>
      </c>
      <c r="FI305" s="28">
        <f t="shared" si="517"/>
        <v>0.30186192373416526</v>
      </c>
      <c r="FJ305" s="33"/>
      <c r="FN305" s="31"/>
      <c r="FV305" s="27">
        <f t="shared" si="471"/>
        <v>0</v>
      </c>
      <c r="FW305" s="27">
        <f t="shared" si="489"/>
        <v>0</v>
      </c>
      <c r="FX305" s="15">
        <f t="shared" si="518"/>
        <v>1.0293114714982439E-10</v>
      </c>
      <c r="FY305" s="28">
        <f t="shared" si="519"/>
        <v>3.3048863341222628E-11</v>
      </c>
      <c r="FZ305" s="28">
        <f t="shared" si="520"/>
        <v>0.32107738285591442</v>
      </c>
      <c r="GA305" s="33"/>
      <c r="GE305" s="31"/>
      <c r="GM305" s="27">
        <f t="shared" si="472"/>
        <v>0</v>
      </c>
      <c r="GN305" s="27">
        <f t="shared" si="490"/>
        <v>0</v>
      </c>
      <c r="GO305" s="15">
        <f t="shared" si="521"/>
        <v>1.0636255760370036E-10</v>
      </c>
      <c r="GP305" s="28">
        <f t="shared" si="522"/>
        <v>3.4060448255551786E-11</v>
      </c>
      <c r="GQ305" s="28">
        <f t="shared" si="523"/>
        <v>0.32022968442013866</v>
      </c>
      <c r="GR305" s="33"/>
      <c r="GV305" s="31"/>
      <c r="HD305" s="27">
        <f t="shared" si="473"/>
        <v>0</v>
      </c>
      <c r="HE305" s="27">
        <f t="shared" si="491"/>
        <v>0</v>
      </c>
      <c r="HF305" s="15">
        <f t="shared" si="524"/>
        <v>1.4983344323082684E-10</v>
      </c>
      <c r="HG305" s="28">
        <f t="shared" si="525"/>
        <v>2.4706186855457543E-11</v>
      </c>
      <c r="HH305" s="28">
        <f t="shared" si="526"/>
        <v>0.16489100378876212</v>
      </c>
      <c r="HI305" s="33"/>
      <c r="HM305" s="31"/>
      <c r="HU305" s="27">
        <f t="shared" si="474"/>
        <v>0</v>
      </c>
      <c r="HV305" s="27">
        <f t="shared" si="492"/>
        <v>0</v>
      </c>
      <c r="HW305" s="15">
        <f t="shared" si="527"/>
        <v>3.459182955943753E-19</v>
      </c>
      <c r="HX305" s="28">
        <f t="shared" si="528"/>
        <v>8.6826664014012264E-24</v>
      </c>
      <c r="HY305" s="28">
        <f t="shared" si="529"/>
        <v>2.5100338756243597E-5</v>
      </c>
      <c r="HZ305" s="33"/>
      <c r="ID305" s="31"/>
      <c r="II305" s="12"/>
      <c r="IL305" s="27">
        <f t="shared" si="475"/>
        <v>0</v>
      </c>
      <c r="IM305" s="27">
        <f t="shared" si="476"/>
        <v>1.2439774920409081</v>
      </c>
      <c r="IN305" s="15">
        <f t="shared" si="530"/>
        <v>3.4089201650705583E-11</v>
      </c>
      <c r="IO305" s="28">
        <f t="shared" si="531"/>
        <v>6.4220982478508223E-13</v>
      </c>
      <c r="IP305" s="28">
        <f t="shared" si="532"/>
        <v>1.8839098414960672E-2</v>
      </c>
      <c r="IQ305" s="33"/>
      <c r="IU305" s="31"/>
      <c r="JC305" s="27">
        <f t="shared" si="458"/>
        <v>0</v>
      </c>
      <c r="JD305" s="27">
        <f t="shared" si="477"/>
        <v>1.4692738446833586</v>
      </c>
      <c r="JE305" s="15">
        <f t="shared" si="533"/>
        <v>4.1165469968375839E-11</v>
      </c>
      <c r="JF305" s="28">
        <f t="shared" si="534"/>
        <v>8.1968684786545953E-13</v>
      </c>
      <c r="JG305" s="28">
        <f t="shared" si="535"/>
        <v>1.9912000239403555E-2</v>
      </c>
      <c r="JH305" s="33"/>
      <c r="JL305" s="31"/>
      <c r="JR305" s="99"/>
      <c r="JS305" s="99"/>
      <c r="JT305" s="99"/>
      <c r="JU305" s="99"/>
      <c r="JV305" s="99"/>
      <c r="JW305" s="99"/>
      <c r="JX305" s="99"/>
      <c r="JY305" s="99"/>
      <c r="JZ305" s="99"/>
      <c r="KA305" s="99"/>
      <c r="KB305" s="99"/>
      <c r="KC305" s="99"/>
      <c r="KD305" s="99"/>
      <c r="KE305" s="99"/>
      <c r="KF305" s="99"/>
      <c r="KG305" s="99"/>
      <c r="KH305" s="99"/>
      <c r="KI305" s="99"/>
      <c r="KJ305" s="99"/>
      <c r="KK305" s="99"/>
      <c r="KL305" s="99"/>
      <c r="KM305" s="99"/>
      <c r="KN305" s="99"/>
      <c r="KO305" s="99"/>
      <c r="KP305" s="99"/>
      <c r="KQ305" s="99"/>
      <c r="KR305" s="99"/>
      <c r="KS305" s="99"/>
      <c r="KT305" s="99"/>
      <c r="KU305" s="99"/>
      <c r="KV305" s="99"/>
      <c r="KW305" s="99"/>
      <c r="KX305" s="99"/>
      <c r="KY305" s="99"/>
      <c r="KZ305" s="99"/>
      <c r="LA305" s="99"/>
      <c r="LB305" s="99"/>
      <c r="LC305" s="99"/>
      <c r="LD305" s="99"/>
      <c r="LE305" s="99"/>
      <c r="LF305" s="99"/>
      <c r="LG305" s="99"/>
      <c r="LH305" s="99"/>
      <c r="LI305" s="99"/>
      <c r="LJ305" s="99"/>
      <c r="LK305" s="99"/>
      <c r="LL305" s="99"/>
      <c r="LM305" s="99"/>
      <c r="LN305" s="99"/>
      <c r="LO305" s="99"/>
      <c r="LP305" s="99"/>
      <c r="LQ305" s="99"/>
      <c r="LR305" s="99"/>
      <c r="LS305" s="99"/>
      <c r="LT305" s="99"/>
      <c r="LU305" s="99"/>
      <c r="LV305" s="99"/>
      <c r="LW305" s="99"/>
      <c r="LX305" s="99"/>
      <c r="LY305" s="99"/>
      <c r="LZ305" s="99"/>
      <c r="MA305" s="99"/>
      <c r="MB305" s="99"/>
      <c r="MC305" s="99"/>
      <c r="MD305" s="99"/>
      <c r="ME305" s="99"/>
      <c r="MF305" s="99"/>
    </row>
    <row r="306" spans="1:344" ht="17.25" customHeight="1" x14ac:dyDescent="0.25">
      <c r="A306" s="156"/>
      <c r="B306" s="81" t="s">
        <v>2</v>
      </c>
      <c r="C306" s="82">
        <v>45440</v>
      </c>
      <c r="D306" s="49"/>
      <c r="G306" s="89">
        <f t="shared" si="459"/>
        <v>0</v>
      </c>
      <c r="H306" s="35">
        <f t="shared" si="460"/>
        <v>0</v>
      </c>
      <c r="I306" s="39"/>
      <c r="L306" s="89">
        <f t="shared" si="461"/>
        <v>0</v>
      </c>
      <c r="M306" s="35">
        <f t="shared" si="478"/>
        <v>0</v>
      </c>
      <c r="N306" s="35">
        <f t="shared" si="479"/>
        <v>0</v>
      </c>
      <c r="O306" s="97" t="e">
        <f>SUM($Z306,$BH306,$AQ306,$BY306,$CP306,$DG306,$DX306,$EO306,$FF306,$FW306,$GN306)/I306</f>
        <v>#DIV/0!</v>
      </c>
      <c r="P306" s="150"/>
      <c r="Q306" s="132">
        <f t="shared" si="543"/>
        <v>0</v>
      </c>
      <c r="R306" s="134">
        <f t="shared" si="539"/>
        <v>0</v>
      </c>
      <c r="S306" s="136">
        <f t="shared" si="540"/>
        <v>0</v>
      </c>
      <c r="T306" s="138">
        <f t="shared" si="541"/>
        <v>0</v>
      </c>
      <c r="U306" s="144">
        <f t="shared" si="542"/>
        <v>0</v>
      </c>
      <c r="W306" s="11">
        <v>0</v>
      </c>
      <c r="X306" s="1">
        <v>0</v>
      </c>
      <c r="Y306" s="35">
        <f t="shared" si="462"/>
        <v>0</v>
      </c>
      <c r="Z306" s="35">
        <f t="shared" si="480"/>
        <v>0</v>
      </c>
      <c r="AA306" s="15">
        <f t="shared" si="493"/>
        <v>2.4472313468834735E-13</v>
      </c>
      <c r="AB306" s="43">
        <f t="shared" si="537"/>
        <v>9.0065696434210278E-15</v>
      </c>
      <c r="AC306" s="43">
        <f t="shared" si="538"/>
        <v>3.6803098550085227E-2</v>
      </c>
      <c r="AD306" s="33"/>
      <c r="AH306" s="31"/>
      <c r="AP306" s="35">
        <f t="shared" si="463"/>
        <v>0</v>
      </c>
      <c r="AQ306" s="35">
        <f t="shared" si="481"/>
        <v>0</v>
      </c>
      <c r="AR306" s="15">
        <f t="shared" si="494"/>
        <v>7.3903964555805206E-11</v>
      </c>
      <c r="AS306" s="28">
        <f t="shared" si="495"/>
        <v>1.8778146486456906E-11</v>
      </c>
      <c r="AT306" s="28">
        <f t="shared" si="496"/>
        <v>0.25408848631222547</v>
      </c>
      <c r="AU306" s="33"/>
      <c r="AY306" s="31"/>
      <c r="BG306" s="35">
        <f t="shared" si="464"/>
        <v>0</v>
      </c>
      <c r="BH306" s="35">
        <f t="shared" si="482"/>
        <v>0</v>
      </c>
      <c r="BI306" s="15">
        <f t="shared" si="497"/>
        <v>1.0178357724452276E-10</v>
      </c>
      <c r="BJ306" s="28">
        <f t="shared" si="498"/>
        <v>2.8847050742970129E-11</v>
      </c>
      <c r="BK306" s="28">
        <f t="shared" si="499"/>
        <v>0.28341557178392907</v>
      </c>
      <c r="BL306" s="33"/>
      <c r="BP306" s="31"/>
      <c r="BX306" s="35">
        <f t="shared" si="465"/>
        <v>0</v>
      </c>
      <c r="BY306" s="35">
        <f t="shared" si="483"/>
        <v>0</v>
      </c>
      <c r="BZ306" s="15">
        <f t="shared" si="500"/>
        <v>7.7392873654244897E-11</v>
      </c>
      <c r="CA306" s="28">
        <f t="shared" si="501"/>
        <v>1.7927067632376512E-11</v>
      </c>
      <c r="CB306" s="28">
        <f t="shared" si="502"/>
        <v>0.23163718810166231</v>
      </c>
      <c r="CC306" s="33"/>
      <c r="CG306" s="31"/>
      <c r="CO306" s="35">
        <f t="shared" si="466"/>
        <v>0</v>
      </c>
      <c r="CP306" s="35">
        <f t="shared" si="484"/>
        <v>0</v>
      </c>
      <c r="CQ306" s="15">
        <f t="shared" si="503"/>
        <v>8.4793733920415191E-11</v>
      </c>
      <c r="CR306" s="28">
        <f t="shared" si="504"/>
        <v>2.3198626316800271E-11</v>
      </c>
      <c r="CS306" s="28">
        <f t="shared" si="505"/>
        <v>0.27358892272126845</v>
      </c>
      <c r="CT306" s="33"/>
      <c r="CX306" s="31"/>
      <c r="DF306" s="35">
        <f t="shared" si="467"/>
        <v>0</v>
      </c>
      <c r="DG306" s="35">
        <f t="shared" si="485"/>
        <v>0</v>
      </c>
      <c r="DH306" s="15">
        <f t="shared" si="506"/>
        <v>8.2473940901712029E-11</v>
      </c>
      <c r="DI306" s="28">
        <f t="shared" si="507"/>
        <v>1.4096004174757061E-11</v>
      </c>
      <c r="DJ306" s="28">
        <f t="shared" si="508"/>
        <v>0.17091464310594681</v>
      </c>
      <c r="DK306" s="33"/>
      <c r="DO306" s="31"/>
      <c r="DW306" s="35">
        <f t="shared" si="468"/>
        <v>0</v>
      </c>
      <c r="DX306" s="35">
        <f t="shared" si="486"/>
        <v>0</v>
      </c>
      <c r="DY306" s="15">
        <f t="shared" si="509"/>
        <v>8.5389506587115119E-11</v>
      </c>
      <c r="DZ306" s="28">
        <f t="shared" si="510"/>
        <v>1.3761951094654919E-11</v>
      </c>
      <c r="EA306" s="28">
        <f t="shared" si="511"/>
        <v>0.16116677147694788</v>
      </c>
      <c r="EB306" s="33"/>
      <c r="EF306" s="31"/>
      <c r="EN306" s="35">
        <f t="shared" si="469"/>
        <v>0</v>
      </c>
      <c r="EO306" s="35">
        <f t="shared" si="487"/>
        <v>0</v>
      </c>
      <c r="EP306" s="15">
        <f t="shared" si="512"/>
        <v>9.1169059013675506E-11</v>
      </c>
      <c r="EQ306" s="28">
        <f t="shared" si="513"/>
        <v>2.7041532761875831E-11</v>
      </c>
      <c r="ER306" s="28">
        <f t="shared" si="514"/>
        <v>0.29660866366756683</v>
      </c>
      <c r="ES306" s="33"/>
      <c r="EW306" s="31"/>
      <c r="FE306" s="35">
        <f t="shared" si="470"/>
        <v>0</v>
      </c>
      <c r="FF306" s="35">
        <f t="shared" si="488"/>
        <v>0</v>
      </c>
      <c r="FG306" s="15">
        <f t="shared" si="515"/>
        <v>8.8078899744649118E-11</v>
      </c>
      <c r="FH306" s="28">
        <f t="shared" si="516"/>
        <v>2.4754033971287185E-11</v>
      </c>
      <c r="FI306" s="28">
        <f t="shared" si="517"/>
        <v>0.28104386002836074</v>
      </c>
      <c r="FJ306" s="33"/>
      <c r="FN306" s="31"/>
      <c r="FV306" s="35">
        <f t="shared" si="471"/>
        <v>0</v>
      </c>
      <c r="FW306" s="35">
        <f t="shared" si="489"/>
        <v>0</v>
      </c>
      <c r="FX306" s="15">
        <f t="shared" si="518"/>
        <v>8.2916757426247415E-11</v>
      </c>
      <c r="FY306" s="28">
        <f t="shared" si="519"/>
        <v>2.4786647505916971E-11</v>
      </c>
      <c r="FZ306" s="28">
        <f t="shared" si="520"/>
        <v>0.29893411507274792</v>
      </c>
      <c r="GA306" s="33"/>
      <c r="GE306" s="31"/>
      <c r="GM306" s="35">
        <f t="shared" si="472"/>
        <v>0</v>
      </c>
      <c r="GN306" s="35">
        <f t="shared" si="490"/>
        <v>0</v>
      </c>
      <c r="GO306" s="15">
        <f t="shared" si="521"/>
        <v>8.5680949180758629E-11</v>
      </c>
      <c r="GP306" s="28">
        <f t="shared" si="522"/>
        <v>2.5545336191663839E-11</v>
      </c>
      <c r="GQ306" s="28">
        <f t="shared" si="523"/>
        <v>0.2981448785980601</v>
      </c>
      <c r="GR306" s="33"/>
      <c r="GV306" s="31"/>
      <c r="HD306" s="35">
        <f t="shared" si="473"/>
        <v>0</v>
      </c>
      <c r="HE306" s="35">
        <f t="shared" si="491"/>
        <v>0</v>
      </c>
      <c r="HF306" s="15">
        <f t="shared" si="524"/>
        <v>1.2069916260261051E-10</v>
      </c>
      <c r="HG306" s="28">
        <f t="shared" si="525"/>
        <v>1.8529640141593157E-11</v>
      </c>
      <c r="HH306" s="28">
        <f t="shared" si="526"/>
        <v>0.15351921042401989</v>
      </c>
      <c r="HI306" s="33"/>
      <c r="HM306" s="31"/>
      <c r="HU306" s="35">
        <f t="shared" si="474"/>
        <v>0</v>
      </c>
      <c r="HV306" s="35">
        <f t="shared" si="492"/>
        <v>0</v>
      </c>
      <c r="HW306" s="15">
        <f t="shared" si="527"/>
        <v>2.7865640478435788E-19</v>
      </c>
      <c r="HX306" s="28">
        <f t="shared" si="528"/>
        <v>6.5119998010509202E-24</v>
      </c>
      <c r="HY306" s="28">
        <f t="shared" si="529"/>
        <v>2.3369280910985417E-5</v>
      </c>
      <c r="HZ306" s="33"/>
      <c r="ID306" s="31"/>
      <c r="II306" s="12"/>
      <c r="IL306" s="35">
        <f t="shared" si="475"/>
        <v>0</v>
      </c>
      <c r="IM306" s="35">
        <f t="shared" si="476"/>
        <v>1.1581859408121984</v>
      </c>
      <c r="IN306" s="15">
        <f t="shared" si="530"/>
        <v>2.7460745774179498E-11</v>
      </c>
      <c r="IO306" s="28">
        <f t="shared" si="531"/>
        <v>4.8165736858881164E-13</v>
      </c>
      <c r="IP306" s="28">
        <f t="shared" si="532"/>
        <v>1.7539850248411658E-2</v>
      </c>
      <c r="IQ306" s="33"/>
      <c r="IU306" s="31"/>
      <c r="JC306" s="35">
        <f t="shared" si="458"/>
        <v>0</v>
      </c>
      <c r="JD306" s="35">
        <f t="shared" si="477"/>
        <v>1.3679446139535179</v>
      </c>
      <c r="JE306" s="15">
        <f t="shared" si="533"/>
        <v>3.3161073030080537E-11</v>
      </c>
      <c r="JF306" s="28">
        <f t="shared" si="534"/>
        <v>6.1476513589909465E-13</v>
      </c>
      <c r="JG306" s="28">
        <f t="shared" si="535"/>
        <v>1.8538758843582619E-2</v>
      </c>
      <c r="JH306" s="33"/>
      <c r="JL306" s="31"/>
      <c r="JR306" s="99"/>
      <c r="JS306" s="99"/>
      <c r="JT306" s="99"/>
      <c r="JU306" s="99"/>
      <c r="JV306" s="99"/>
      <c r="JW306" s="99"/>
      <c r="JX306" s="99"/>
      <c r="JY306" s="99"/>
      <c r="JZ306" s="99"/>
      <c r="KA306" s="99"/>
      <c r="KB306" s="99"/>
      <c r="KC306" s="99"/>
      <c r="KD306" s="99"/>
      <c r="KE306" s="99"/>
      <c r="KF306" s="99"/>
      <c r="KG306" s="99"/>
      <c r="KH306" s="99"/>
      <c r="KI306" s="99"/>
      <c r="KJ306" s="99"/>
      <c r="KK306" s="99"/>
      <c r="KL306" s="99"/>
      <c r="KM306" s="99"/>
      <c r="KN306" s="99"/>
      <c r="KO306" s="99"/>
      <c r="KP306" s="99"/>
      <c r="KQ306" s="99"/>
      <c r="KR306" s="99"/>
      <c r="KS306" s="99"/>
      <c r="KT306" s="99"/>
      <c r="KU306" s="99"/>
      <c r="KV306" s="99"/>
      <c r="KW306" s="99"/>
      <c r="KX306" s="99"/>
      <c r="KY306" s="99"/>
      <c r="KZ306" s="99"/>
      <c r="LA306" s="99"/>
      <c r="LB306" s="99"/>
      <c r="LC306" s="99"/>
      <c r="LD306" s="99"/>
      <c r="LE306" s="99"/>
      <c r="LF306" s="99"/>
      <c r="LG306" s="99"/>
      <c r="LH306" s="99"/>
      <c r="LI306" s="99"/>
      <c r="LJ306" s="99"/>
      <c r="LK306" s="99"/>
      <c r="LL306" s="99"/>
      <c r="LM306" s="99"/>
      <c r="LN306" s="99"/>
      <c r="LO306" s="99"/>
      <c r="LP306" s="99"/>
      <c r="LQ306" s="99"/>
      <c r="LR306" s="99"/>
      <c r="LS306" s="99"/>
      <c r="LT306" s="99"/>
      <c r="LU306" s="99"/>
      <c r="LV306" s="99"/>
      <c r="LW306" s="99"/>
      <c r="LX306" s="99"/>
      <c r="LY306" s="99"/>
      <c r="LZ306" s="99"/>
      <c r="MA306" s="99"/>
      <c r="MB306" s="99"/>
      <c r="MC306" s="99"/>
      <c r="MD306" s="99"/>
      <c r="ME306" s="99"/>
      <c r="MF306" s="99"/>
    </row>
    <row r="307" spans="1:344" ht="17.25" customHeight="1" x14ac:dyDescent="0.25">
      <c r="A307" s="156"/>
      <c r="B307" s="81" t="s">
        <v>3</v>
      </c>
      <c r="C307" s="82">
        <v>45441</v>
      </c>
      <c r="D307" s="49"/>
      <c r="G307" s="89">
        <f t="shared" si="459"/>
        <v>0</v>
      </c>
      <c r="H307" s="35">
        <f t="shared" si="460"/>
        <v>0</v>
      </c>
      <c r="I307" s="39"/>
      <c r="L307" s="89">
        <f t="shared" si="461"/>
        <v>0</v>
      </c>
      <c r="M307" s="35">
        <f t="shared" si="478"/>
        <v>0</v>
      </c>
      <c r="N307" s="35">
        <f t="shared" si="479"/>
        <v>0</v>
      </c>
      <c r="O307" s="97" t="e">
        <f>SUM($Z307,$BH307,$AQ307,$BY307,$CP307,$DG307,$DX307,$EO307,$FF307,$FW307,$GN307)/D307</f>
        <v>#DIV/0!</v>
      </c>
      <c r="P307" s="150"/>
      <c r="Q307" s="132">
        <f t="shared" si="543"/>
        <v>0</v>
      </c>
      <c r="R307" s="134">
        <f t="shared" si="539"/>
        <v>0</v>
      </c>
      <c r="S307" s="136">
        <f t="shared" si="540"/>
        <v>0</v>
      </c>
      <c r="T307" s="138">
        <f t="shared" si="541"/>
        <v>0</v>
      </c>
      <c r="U307" s="144">
        <f t="shared" si="542"/>
        <v>0</v>
      </c>
      <c r="W307" s="11">
        <v>0</v>
      </c>
      <c r="X307" s="1">
        <v>0</v>
      </c>
      <c r="Y307" s="35">
        <f t="shared" si="462"/>
        <v>0</v>
      </c>
      <c r="Z307" s="35">
        <f t="shared" si="480"/>
        <v>0</v>
      </c>
      <c r="AA307" s="15">
        <f t="shared" si="493"/>
        <v>1.9713808072116869E-13</v>
      </c>
      <c r="AB307" s="43">
        <f t="shared" si="537"/>
        <v>6.7549272325657709E-15</v>
      </c>
      <c r="AC307" s="43">
        <f t="shared" si="538"/>
        <v>3.4264953822493144E-2</v>
      </c>
      <c r="AD307" s="33"/>
      <c r="AH307" s="31"/>
      <c r="AP307" s="35">
        <f t="shared" si="463"/>
        <v>0</v>
      </c>
      <c r="AQ307" s="35">
        <f t="shared" si="481"/>
        <v>0</v>
      </c>
      <c r="AR307" s="15">
        <f t="shared" si="494"/>
        <v>5.9533749225509752E-11</v>
      </c>
      <c r="AS307" s="28">
        <f t="shared" si="495"/>
        <v>1.408360986484268E-11</v>
      </c>
      <c r="AT307" s="28">
        <f t="shared" si="496"/>
        <v>0.2365651424286237</v>
      </c>
      <c r="AU307" s="33"/>
      <c r="AY307" s="31"/>
      <c r="BG307" s="35">
        <f t="shared" si="464"/>
        <v>0</v>
      </c>
      <c r="BH307" s="35">
        <f t="shared" si="482"/>
        <v>0</v>
      </c>
      <c r="BI307" s="15">
        <f t="shared" si="497"/>
        <v>8.1992326113643324E-11</v>
      </c>
      <c r="BJ307" s="28">
        <f t="shared" si="498"/>
        <v>2.1635288057227595E-11</v>
      </c>
      <c r="BK307" s="28">
        <f t="shared" si="499"/>
        <v>0.26386967028158914</v>
      </c>
      <c r="BL307" s="33"/>
      <c r="BP307" s="31"/>
      <c r="BX307" s="35">
        <f t="shared" si="465"/>
        <v>0</v>
      </c>
      <c r="BY307" s="35">
        <f t="shared" si="483"/>
        <v>0</v>
      </c>
      <c r="BZ307" s="15">
        <f t="shared" si="500"/>
        <v>6.2344259332586174E-11</v>
      </c>
      <c r="CA307" s="28">
        <f t="shared" si="501"/>
        <v>1.3445300724282384E-11</v>
      </c>
      <c r="CB307" s="28">
        <f t="shared" si="502"/>
        <v>0.2156622096118925</v>
      </c>
      <c r="CC307" s="33"/>
      <c r="CG307" s="31"/>
      <c r="CO307" s="35">
        <f t="shared" si="466"/>
        <v>0</v>
      </c>
      <c r="CP307" s="35">
        <f t="shared" si="484"/>
        <v>0</v>
      </c>
      <c r="CQ307" s="15">
        <f t="shared" si="503"/>
        <v>6.8306063435890013E-11</v>
      </c>
      <c r="CR307" s="28">
        <f t="shared" si="504"/>
        <v>1.7398969737600202E-11</v>
      </c>
      <c r="CS307" s="28">
        <f t="shared" si="505"/>
        <v>0.2547207211542844</v>
      </c>
      <c r="CT307" s="33"/>
      <c r="CX307" s="31"/>
      <c r="DF307" s="35">
        <f t="shared" si="467"/>
        <v>0</v>
      </c>
      <c r="DG307" s="35">
        <f t="shared" si="485"/>
        <v>0</v>
      </c>
      <c r="DH307" s="15">
        <f t="shared" si="506"/>
        <v>6.6437341281934691E-11</v>
      </c>
      <c r="DI307" s="28">
        <f t="shared" si="507"/>
        <v>1.0572003131067795E-11</v>
      </c>
      <c r="DJ307" s="28">
        <f t="shared" si="508"/>
        <v>0.15912742634001945</v>
      </c>
      <c r="DK307" s="33"/>
      <c r="DO307" s="31"/>
      <c r="DW307" s="35">
        <f t="shared" si="468"/>
        <v>0</v>
      </c>
      <c r="DX307" s="35">
        <f t="shared" si="486"/>
        <v>0</v>
      </c>
      <c r="DY307" s="15">
        <f t="shared" si="509"/>
        <v>6.8785991417398292E-11</v>
      </c>
      <c r="DZ307" s="28">
        <f t="shared" si="510"/>
        <v>1.0321463320991189E-11</v>
      </c>
      <c r="EA307" s="28">
        <f t="shared" si="511"/>
        <v>0.15005182171991699</v>
      </c>
      <c r="EB307" s="33"/>
      <c r="EF307" s="31"/>
      <c r="EN307" s="35">
        <f t="shared" si="469"/>
        <v>0</v>
      </c>
      <c r="EO307" s="35">
        <f t="shared" si="487"/>
        <v>0</v>
      </c>
      <c r="EP307" s="15">
        <f t="shared" si="512"/>
        <v>7.3441741983238598E-11</v>
      </c>
      <c r="EQ307" s="28">
        <f t="shared" si="513"/>
        <v>2.0281149571406872E-11</v>
      </c>
      <c r="ER307" s="28">
        <f t="shared" si="514"/>
        <v>0.27615289375945878</v>
      </c>
      <c r="ES307" s="33"/>
      <c r="EW307" s="31"/>
      <c r="FE307" s="35">
        <f t="shared" si="470"/>
        <v>0</v>
      </c>
      <c r="FF307" s="35">
        <f t="shared" si="488"/>
        <v>0</v>
      </c>
      <c r="FG307" s="15">
        <f t="shared" si="515"/>
        <v>7.0952447016522902E-11</v>
      </c>
      <c r="FH307" s="28">
        <f t="shared" si="516"/>
        <v>1.8565525478465389E-11</v>
      </c>
      <c r="FI307" s="28">
        <f t="shared" si="517"/>
        <v>0.26166152485399102</v>
      </c>
      <c r="FJ307" s="33"/>
      <c r="FN307" s="31"/>
      <c r="FV307" s="35">
        <f t="shared" si="471"/>
        <v>0</v>
      </c>
      <c r="FW307" s="35">
        <f t="shared" si="489"/>
        <v>0</v>
      </c>
      <c r="FX307" s="15">
        <f t="shared" si="518"/>
        <v>6.6794054593365964E-11</v>
      </c>
      <c r="FY307" s="28">
        <f t="shared" si="519"/>
        <v>1.8589985629437728E-11</v>
      </c>
      <c r="FZ307" s="28">
        <f t="shared" si="520"/>
        <v>0.27831796920566187</v>
      </c>
      <c r="GA307" s="33"/>
      <c r="GE307" s="31"/>
      <c r="GM307" s="35">
        <f t="shared" si="472"/>
        <v>0</v>
      </c>
      <c r="GN307" s="35">
        <f t="shared" si="490"/>
        <v>0</v>
      </c>
      <c r="GO307" s="15">
        <f t="shared" si="521"/>
        <v>6.9020764617833348E-11</v>
      </c>
      <c r="GP307" s="28">
        <f t="shared" si="522"/>
        <v>1.915900214374788E-11</v>
      </c>
      <c r="GQ307" s="28">
        <f t="shared" si="523"/>
        <v>0.27758316283267664</v>
      </c>
      <c r="GR307" s="33"/>
      <c r="GV307" s="31"/>
      <c r="HD307" s="35">
        <f t="shared" si="473"/>
        <v>0</v>
      </c>
      <c r="HE307" s="35">
        <f t="shared" si="491"/>
        <v>0</v>
      </c>
      <c r="HF307" s="15">
        <f t="shared" si="524"/>
        <v>9.7229880985436244E-11</v>
      </c>
      <c r="HG307" s="28">
        <f t="shared" si="525"/>
        <v>1.3897230106194868E-11</v>
      </c>
      <c r="HH307" s="28">
        <f t="shared" si="526"/>
        <v>0.14293167867063922</v>
      </c>
      <c r="HI307" s="33"/>
      <c r="HM307" s="31"/>
      <c r="HU307" s="35">
        <f t="shared" si="474"/>
        <v>0</v>
      </c>
      <c r="HV307" s="35">
        <f t="shared" si="492"/>
        <v>0</v>
      </c>
      <c r="HW307" s="15">
        <f t="shared" si="527"/>
        <v>2.2447321496517717E-19</v>
      </c>
      <c r="HX307" s="28">
        <f t="shared" si="528"/>
        <v>4.8839998507881898E-24</v>
      </c>
      <c r="HY307" s="28">
        <f t="shared" si="529"/>
        <v>2.1757606365400215E-5</v>
      </c>
      <c r="HZ307" s="33"/>
      <c r="ID307" s="31"/>
      <c r="II307" s="12"/>
      <c r="IL307" s="35">
        <f t="shared" si="475"/>
        <v>0</v>
      </c>
      <c r="IM307" s="35">
        <f t="shared" si="476"/>
        <v>1.0783110483002765</v>
      </c>
      <c r="IN307" s="15">
        <f t="shared" si="530"/>
        <v>2.2121156318089037E-11</v>
      </c>
      <c r="IO307" s="28">
        <f t="shared" si="531"/>
        <v>3.6124302644160871E-13</v>
      </c>
      <c r="IP307" s="28">
        <f t="shared" si="532"/>
        <v>1.6330205403693614E-2</v>
      </c>
      <c r="IQ307" s="33"/>
      <c r="IU307" s="31"/>
      <c r="JC307" s="35">
        <f t="shared" si="458"/>
        <v>0</v>
      </c>
      <c r="JD307" s="35">
        <f t="shared" si="477"/>
        <v>1.2736036060459359</v>
      </c>
      <c r="JE307" s="15">
        <f t="shared" si="533"/>
        <v>2.6713086607564876E-11</v>
      </c>
      <c r="JF307" s="28">
        <f t="shared" si="534"/>
        <v>4.6107385192432096E-13</v>
      </c>
      <c r="JG307" s="28">
        <f t="shared" si="535"/>
        <v>1.726022375092175E-2</v>
      </c>
      <c r="JH307" s="33"/>
      <c r="JL307" s="31"/>
      <c r="JR307" s="99"/>
      <c r="JS307" s="99"/>
      <c r="JT307" s="99"/>
      <c r="JU307" s="99"/>
      <c r="JV307" s="99"/>
      <c r="JW307" s="99"/>
      <c r="JX307" s="99"/>
      <c r="JY307" s="99"/>
      <c r="JZ307" s="99"/>
      <c r="KA307" s="99"/>
      <c r="KB307" s="99"/>
      <c r="KC307" s="99"/>
      <c r="KD307" s="99"/>
      <c r="KE307" s="99"/>
      <c r="KF307" s="99"/>
      <c r="KG307" s="99"/>
      <c r="KH307" s="99"/>
      <c r="KI307" s="99"/>
      <c r="KJ307" s="99"/>
      <c r="KK307" s="99"/>
      <c r="KL307" s="99"/>
      <c r="KM307" s="99"/>
      <c r="KN307" s="99"/>
      <c r="KO307" s="99"/>
      <c r="KP307" s="99"/>
      <c r="KQ307" s="99"/>
      <c r="KR307" s="99"/>
      <c r="KS307" s="99"/>
      <c r="KT307" s="99"/>
      <c r="KU307" s="99"/>
      <c r="KV307" s="99"/>
      <c r="KW307" s="99"/>
      <c r="KX307" s="99"/>
      <c r="KY307" s="99"/>
      <c r="KZ307" s="99"/>
      <c r="LA307" s="99"/>
      <c r="LB307" s="99"/>
      <c r="LC307" s="99"/>
      <c r="LD307" s="99"/>
      <c r="LE307" s="99"/>
      <c r="LF307" s="99"/>
      <c r="LG307" s="99"/>
      <c r="LH307" s="99"/>
      <c r="LI307" s="99"/>
      <c r="LJ307" s="99"/>
      <c r="LK307" s="99"/>
      <c r="LL307" s="99"/>
      <c r="LM307" s="99"/>
      <c r="LN307" s="99"/>
      <c r="LO307" s="99"/>
      <c r="LP307" s="99"/>
      <c r="LQ307" s="99"/>
      <c r="LR307" s="99"/>
      <c r="LS307" s="99"/>
      <c r="LT307" s="99"/>
      <c r="LU307" s="99"/>
      <c r="LV307" s="99"/>
      <c r="LW307" s="99"/>
      <c r="LX307" s="99"/>
      <c r="LY307" s="99"/>
      <c r="LZ307" s="99"/>
      <c r="MA307" s="99"/>
      <c r="MB307" s="99"/>
      <c r="MC307" s="99"/>
      <c r="MD307" s="99"/>
      <c r="ME307" s="99"/>
      <c r="MF307" s="99"/>
    </row>
    <row r="308" spans="1:344" ht="17.25" customHeight="1" x14ac:dyDescent="0.25">
      <c r="A308" s="156"/>
      <c r="B308" s="81" t="s">
        <v>4</v>
      </c>
      <c r="C308" s="82">
        <v>45442</v>
      </c>
      <c r="D308" s="49"/>
      <c r="G308" s="89">
        <f t="shared" si="459"/>
        <v>0</v>
      </c>
      <c r="H308" s="35">
        <f t="shared" si="460"/>
        <v>0</v>
      </c>
      <c r="I308" s="39"/>
      <c r="L308" s="89">
        <f t="shared" si="461"/>
        <v>0</v>
      </c>
      <c r="M308" s="35">
        <f t="shared" si="478"/>
        <v>0</v>
      </c>
      <c r="N308" s="35">
        <f t="shared" si="479"/>
        <v>0</v>
      </c>
      <c r="O308" s="97" t="e">
        <f>SUM($Z308,$BH308,$AQ308,$BY308,$CP308,$DG308,$DX308,$EO308,$FF308,$FW308,$GN308)/D308</f>
        <v>#DIV/0!</v>
      </c>
      <c r="P308" s="150"/>
      <c r="Q308" s="132">
        <f t="shared" si="543"/>
        <v>0</v>
      </c>
      <c r="R308" s="134">
        <f t="shared" si="539"/>
        <v>0</v>
      </c>
      <c r="S308" s="136">
        <f t="shared" si="540"/>
        <v>0</v>
      </c>
      <c r="T308" s="138">
        <f t="shared" si="541"/>
        <v>0</v>
      </c>
      <c r="U308" s="144">
        <f t="shared" si="542"/>
        <v>0</v>
      </c>
      <c r="W308" s="11">
        <v>0</v>
      </c>
      <c r="X308" s="1">
        <v>0</v>
      </c>
      <c r="Y308" s="35">
        <f t="shared" si="462"/>
        <v>0</v>
      </c>
      <c r="Z308" s="35">
        <f t="shared" si="480"/>
        <v>0</v>
      </c>
      <c r="AA308" s="15">
        <f t="shared" si="493"/>
        <v>1.58805676136497E-13</v>
      </c>
      <c r="AB308" s="43">
        <f t="shared" si="537"/>
        <v>5.0661954244243282E-15</v>
      </c>
      <c r="AC308" s="43">
        <f t="shared" si="538"/>
        <v>3.1901853558872928E-2</v>
      </c>
      <c r="AD308" s="33"/>
      <c r="AH308" s="31"/>
      <c r="AP308" s="35">
        <f t="shared" si="463"/>
        <v>0</v>
      </c>
      <c r="AQ308" s="35">
        <f t="shared" si="481"/>
        <v>0</v>
      </c>
      <c r="AR308" s="15">
        <f t="shared" si="494"/>
        <v>4.7957742431660633E-11</v>
      </c>
      <c r="AS308" s="28">
        <f t="shared" si="495"/>
        <v>1.0562707398632011E-11</v>
      </c>
      <c r="AT308" s="28">
        <f t="shared" si="496"/>
        <v>0.2202503050197531</v>
      </c>
      <c r="AU308" s="33"/>
      <c r="AY308" s="31"/>
      <c r="BG308" s="35">
        <f t="shared" si="464"/>
        <v>0</v>
      </c>
      <c r="BH308" s="35">
        <f t="shared" si="482"/>
        <v>0</v>
      </c>
      <c r="BI308" s="15">
        <f t="shared" si="497"/>
        <v>6.6049373813768229E-11</v>
      </c>
      <c r="BJ308" s="28">
        <f t="shared" si="498"/>
        <v>1.6226466042920696E-11</v>
      </c>
      <c r="BK308" s="28">
        <f t="shared" si="499"/>
        <v>0.24567176198630714</v>
      </c>
      <c r="BL308" s="33"/>
      <c r="BP308" s="31"/>
      <c r="BX308" s="35">
        <f t="shared" si="465"/>
        <v>0</v>
      </c>
      <c r="BY308" s="35">
        <f t="shared" si="483"/>
        <v>0</v>
      </c>
      <c r="BZ308" s="15">
        <f t="shared" si="500"/>
        <v>5.0221764462361081E-11</v>
      </c>
      <c r="CA308" s="28">
        <f t="shared" si="501"/>
        <v>1.0083975543211787E-11</v>
      </c>
      <c r="CB308" s="28">
        <f t="shared" si="502"/>
        <v>0.20078895377658956</v>
      </c>
      <c r="CC308" s="33"/>
      <c r="CG308" s="31"/>
      <c r="CO308" s="35">
        <f t="shared" si="466"/>
        <v>0</v>
      </c>
      <c r="CP308" s="35">
        <f t="shared" si="484"/>
        <v>0</v>
      </c>
      <c r="CQ308" s="15">
        <f t="shared" si="503"/>
        <v>5.5024328878911401E-11</v>
      </c>
      <c r="CR308" s="28">
        <f t="shared" si="504"/>
        <v>1.3049227303200151E-11</v>
      </c>
      <c r="CS308" s="28">
        <f t="shared" si="505"/>
        <v>0.23715377486778202</v>
      </c>
      <c r="CT308" s="33"/>
      <c r="CX308" s="31"/>
      <c r="DF308" s="35">
        <f t="shared" si="467"/>
        <v>0</v>
      </c>
      <c r="DG308" s="35">
        <f t="shared" si="485"/>
        <v>0</v>
      </c>
      <c r="DH308" s="15">
        <f t="shared" si="506"/>
        <v>5.3518969366002941E-11</v>
      </c>
      <c r="DI308" s="28">
        <f t="shared" si="507"/>
        <v>7.9290023483008462E-12</v>
      </c>
      <c r="DJ308" s="28">
        <f t="shared" si="508"/>
        <v>0.14815312107519052</v>
      </c>
      <c r="DK308" s="33"/>
      <c r="DO308" s="31"/>
      <c r="DW308" s="35">
        <f t="shared" si="468"/>
        <v>0</v>
      </c>
      <c r="DX308" s="35">
        <f t="shared" si="486"/>
        <v>0</v>
      </c>
      <c r="DY308" s="15">
        <f t="shared" si="509"/>
        <v>5.5410937530681959E-11</v>
      </c>
      <c r="DZ308" s="28">
        <f t="shared" si="510"/>
        <v>7.7410974907433909E-12</v>
      </c>
      <c r="EA308" s="28">
        <f t="shared" si="511"/>
        <v>0.13970342022199167</v>
      </c>
      <c r="EB308" s="33"/>
      <c r="EF308" s="31"/>
      <c r="EN308" s="35">
        <f t="shared" si="469"/>
        <v>0</v>
      </c>
      <c r="EO308" s="35">
        <f t="shared" si="487"/>
        <v>0</v>
      </c>
      <c r="EP308" s="15">
        <f t="shared" si="512"/>
        <v>5.9161403264275528E-11</v>
      </c>
      <c r="EQ308" s="28">
        <f t="shared" si="513"/>
        <v>1.5210862178555154E-11</v>
      </c>
      <c r="ER308" s="28">
        <f t="shared" si="514"/>
        <v>0.25710786660363405</v>
      </c>
      <c r="ES308" s="33"/>
      <c r="EW308" s="31"/>
      <c r="FE308" s="35">
        <f t="shared" si="470"/>
        <v>0</v>
      </c>
      <c r="FF308" s="35">
        <f t="shared" si="488"/>
        <v>0</v>
      </c>
      <c r="FG308" s="15">
        <f t="shared" si="515"/>
        <v>5.7156137874421232E-11</v>
      </c>
      <c r="FH308" s="28">
        <f t="shared" si="516"/>
        <v>1.3924144108849043E-11</v>
      </c>
      <c r="FI308" s="28">
        <f t="shared" si="517"/>
        <v>0.24361590245026749</v>
      </c>
      <c r="FJ308" s="33"/>
      <c r="FN308" s="31"/>
      <c r="FV308" s="35">
        <f t="shared" si="471"/>
        <v>0</v>
      </c>
      <c r="FW308" s="35">
        <f t="shared" si="489"/>
        <v>0</v>
      </c>
      <c r="FX308" s="15">
        <f t="shared" si="518"/>
        <v>5.380632175576703E-11</v>
      </c>
      <c r="FY308" s="28">
        <f t="shared" si="519"/>
        <v>1.3942489222078295E-11</v>
      </c>
      <c r="FZ308" s="28">
        <f t="shared" si="520"/>
        <v>0.25912362650182313</v>
      </c>
      <c r="GA308" s="33"/>
      <c r="GE308" s="31"/>
      <c r="GM308" s="35">
        <f t="shared" si="472"/>
        <v>0</v>
      </c>
      <c r="GN308" s="35">
        <f t="shared" si="490"/>
        <v>0</v>
      </c>
      <c r="GO308" s="15">
        <f t="shared" si="521"/>
        <v>5.5600060386587974E-11</v>
      </c>
      <c r="GP308" s="28">
        <f t="shared" si="522"/>
        <v>1.436925160781091E-11</v>
      </c>
      <c r="GQ308" s="28">
        <f t="shared" si="523"/>
        <v>0.25843949643042308</v>
      </c>
      <c r="GR308" s="33"/>
      <c r="GV308" s="31"/>
      <c r="HD308" s="35">
        <f t="shared" si="473"/>
        <v>0</v>
      </c>
      <c r="HE308" s="35">
        <f t="shared" si="491"/>
        <v>0</v>
      </c>
      <c r="HF308" s="15">
        <f t="shared" si="524"/>
        <v>7.8324070793823641E-11</v>
      </c>
      <c r="HG308" s="28">
        <f t="shared" si="525"/>
        <v>1.042292257964615E-11</v>
      </c>
      <c r="HH308" s="28">
        <f t="shared" si="526"/>
        <v>0.13307432152093995</v>
      </c>
      <c r="HI308" s="33"/>
      <c r="HM308" s="31"/>
      <c r="HU308" s="35">
        <f t="shared" si="474"/>
        <v>0</v>
      </c>
      <c r="HV308" s="35">
        <f t="shared" si="492"/>
        <v>0</v>
      </c>
      <c r="HW308" s="15">
        <f t="shared" si="527"/>
        <v>1.8082564538861495E-19</v>
      </c>
      <c r="HX308" s="28">
        <f t="shared" si="528"/>
        <v>3.662999888091142E-24</v>
      </c>
      <c r="HY308" s="28">
        <f t="shared" si="529"/>
        <v>2.025708178847606E-5</v>
      </c>
      <c r="HZ308" s="33"/>
      <c r="ID308" s="31"/>
      <c r="II308" s="12"/>
      <c r="IL308" s="35">
        <f t="shared" si="475"/>
        <v>0</v>
      </c>
      <c r="IM308" s="35">
        <f t="shared" si="476"/>
        <v>1.0039447690739489</v>
      </c>
      <c r="IN308" s="15">
        <f t="shared" si="530"/>
        <v>1.7819820367349504E-11</v>
      </c>
      <c r="IO308" s="28">
        <f t="shared" si="531"/>
        <v>2.7093226983120653E-13</v>
      </c>
      <c r="IP308" s="28">
        <f t="shared" si="532"/>
        <v>1.5203984341369915E-2</v>
      </c>
      <c r="IQ308" s="33"/>
      <c r="IU308" s="31"/>
      <c r="JC308" s="35">
        <f t="shared" si="458"/>
        <v>0</v>
      </c>
      <c r="JD308" s="35">
        <f t="shared" si="477"/>
        <v>1.1857688745561801</v>
      </c>
      <c r="JE308" s="15">
        <f t="shared" si="533"/>
        <v>2.1518875322760596E-11</v>
      </c>
      <c r="JF308" s="28">
        <f t="shared" si="534"/>
        <v>3.4580538894324072E-13</v>
      </c>
      <c r="JG308" s="28">
        <f t="shared" si="535"/>
        <v>1.6069863492237491E-2</v>
      </c>
      <c r="JH308" s="33"/>
      <c r="JL308" s="31"/>
      <c r="JR308" s="99"/>
      <c r="JS308" s="99"/>
      <c r="JT308" s="99"/>
      <c r="JU308" s="99"/>
      <c r="JV308" s="99"/>
      <c r="JW308" s="99"/>
      <c r="JX308" s="99"/>
      <c r="JY308" s="99"/>
      <c r="JZ308" s="99"/>
      <c r="KA308" s="99"/>
      <c r="KB308" s="99"/>
      <c r="KC308" s="99"/>
      <c r="KD308" s="99"/>
      <c r="KE308" s="99"/>
      <c r="KF308" s="99"/>
      <c r="KG308" s="99"/>
      <c r="KH308" s="99"/>
      <c r="KI308" s="99"/>
      <c r="KJ308" s="99"/>
      <c r="KK308" s="99"/>
      <c r="KL308" s="99"/>
      <c r="KM308" s="99"/>
      <c r="KN308" s="99"/>
      <c r="KO308" s="99"/>
      <c r="KP308" s="99"/>
      <c r="KQ308" s="99"/>
      <c r="KR308" s="99"/>
      <c r="KS308" s="99"/>
      <c r="KT308" s="99"/>
      <c r="KU308" s="99"/>
      <c r="KV308" s="99"/>
      <c r="KW308" s="99"/>
      <c r="KX308" s="99"/>
      <c r="KY308" s="99"/>
      <c r="KZ308" s="99"/>
      <c r="LA308" s="99"/>
      <c r="LB308" s="99"/>
      <c r="LC308" s="99"/>
      <c r="LD308" s="99"/>
      <c r="LE308" s="99"/>
      <c r="LF308" s="99"/>
      <c r="LG308" s="99"/>
      <c r="LH308" s="99"/>
      <c r="LI308" s="99"/>
      <c r="LJ308" s="99"/>
      <c r="LK308" s="99"/>
      <c r="LL308" s="99"/>
      <c r="LM308" s="99"/>
      <c r="LN308" s="99"/>
      <c r="LO308" s="99"/>
      <c r="LP308" s="99"/>
      <c r="LQ308" s="99"/>
      <c r="LR308" s="99"/>
      <c r="LS308" s="99"/>
      <c r="LT308" s="99"/>
      <c r="LU308" s="99"/>
      <c r="LV308" s="99"/>
      <c r="LW308" s="99"/>
      <c r="LX308" s="99"/>
      <c r="LY308" s="99"/>
      <c r="LZ308" s="99"/>
      <c r="MA308" s="99"/>
      <c r="MB308" s="99"/>
      <c r="MC308" s="99"/>
      <c r="MD308" s="99"/>
      <c r="ME308" s="99"/>
      <c r="MF308" s="99"/>
    </row>
    <row r="309" spans="1:344" ht="17.25" customHeight="1" x14ac:dyDescent="0.25">
      <c r="A309" s="156"/>
      <c r="B309" s="81" t="s">
        <v>5</v>
      </c>
      <c r="C309" s="82">
        <v>45443</v>
      </c>
      <c r="D309" s="49"/>
      <c r="G309" s="89">
        <f t="shared" si="459"/>
        <v>0</v>
      </c>
      <c r="H309" s="35">
        <f t="shared" si="460"/>
        <v>0</v>
      </c>
      <c r="I309" s="39"/>
      <c r="L309" s="89">
        <f t="shared" si="461"/>
        <v>0</v>
      </c>
      <c r="M309" s="35">
        <f t="shared" si="478"/>
        <v>0</v>
      </c>
      <c r="N309" s="35">
        <f t="shared" si="479"/>
        <v>0</v>
      </c>
      <c r="O309" s="97" t="e">
        <f>SUM($Z309,$BH309,$AQ309,$BY309,$CP309,$DG309,$DX309,$EO309,$FF309,$FW309,$GN309)/D309</f>
        <v>#DIV/0!</v>
      </c>
      <c r="P309" s="150"/>
      <c r="Q309" s="132">
        <f t="shared" si="543"/>
        <v>0</v>
      </c>
      <c r="R309" s="134">
        <f t="shared" si="539"/>
        <v>0</v>
      </c>
      <c r="S309" s="136">
        <f t="shared" si="540"/>
        <v>0</v>
      </c>
      <c r="T309" s="138">
        <f t="shared" si="541"/>
        <v>0</v>
      </c>
      <c r="U309" s="144">
        <f t="shared" si="542"/>
        <v>0</v>
      </c>
      <c r="W309" s="11">
        <v>0</v>
      </c>
      <c r="X309" s="1">
        <v>0</v>
      </c>
      <c r="Y309" s="35">
        <f t="shared" si="462"/>
        <v>0</v>
      </c>
      <c r="Z309" s="35">
        <f t="shared" si="480"/>
        <v>0</v>
      </c>
      <c r="AA309" s="15">
        <f t="shared" si="493"/>
        <v>1.2792679466551148E-13</v>
      </c>
      <c r="AB309" s="43">
        <f t="shared" si="537"/>
        <v>3.7996465683182463E-15</v>
      </c>
      <c r="AC309" s="43">
        <f t="shared" si="538"/>
        <v>2.9701725727226517E-2</v>
      </c>
      <c r="AD309" s="33"/>
      <c r="AH309" s="31"/>
      <c r="AP309" s="35">
        <f t="shared" si="463"/>
        <v>0</v>
      </c>
      <c r="AQ309" s="35">
        <f t="shared" si="481"/>
        <v>0</v>
      </c>
      <c r="AR309" s="15">
        <f t="shared" si="494"/>
        <v>3.8632625847726625E-11</v>
      </c>
      <c r="AS309" s="28">
        <f t="shared" si="495"/>
        <v>7.9220305489740079E-12</v>
      </c>
      <c r="AT309" s="28">
        <f t="shared" si="496"/>
        <v>0.20506062881149426</v>
      </c>
      <c r="AU309" s="33"/>
      <c r="AY309" s="31"/>
      <c r="BG309" s="35">
        <f t="shared" si="464"/>
        <v>0</v>
      </c>
      <c r="BH309" s="35">
        <f t="shared" si="482"/>
        <v>0</v>
      </c>
      <c r="BI309" s="15">
        <f t="shared" si="497"/>
        <v>5.3206440016646631E-11</v>
      </c>
      <c r="BJ309" s="28">
        <f t="shared" si="498"/>
        <v>1.2169849532190522E-11</v>
      </c>
      <c r="BK309" s="28">
        <f t="shared" si="499"/>
        <v>0.22872888184932044</v>
      </c>
      <c r="BL309" s="33"/>
      <c r="BP309" s="31"/>
      <c r="BX309" s="35">
        <f t="shared" si="465"/>
        <v>0</v>
      </c>
      <c r="BY309" s="35">
        <f t="shared" si="483"/>
        <v>0</v>
      </c>
      <c r="BZ309" s="15">
        <f t="shared" si="500"/>
        <v>4.0456421372457539E-11</v>
      </c>
      <c r="CA309" s="28">
        <f t="shared" si="501"/>
        <v>7.5629816574088402E-12</v>
      </c>
      <c r="CB309" s="28">
        <f t="shared" si="502"/>
        <v>0.18694143972303165</v>
      </c>
      <c r="CC309" s="33"/>
      <c r="CG309" s="31"/>
      <c r="CO309" s="35">
        <f t="shared" si="466"/>
        <v>0</v>
      </c>
      <c r="CP309" s="35">
        <f t="shared" si="484"/>
        <v>0</v>
      </c>
      <c r="CQ309" s="15">
        <f t="shared" si="503"/>
        <v>4.4325153819123069E-11</v>
      </c>
      <c r="CR309" s="28">
        <f t="shared" si="504"/>
        <v>9.7869204774001125E-12</v>
      </c>
      <c r="CS309" s="28">
        <f t="shared" si="505"/>
        <v>0.22079834211827981</v>
      </c>
      <c r="CT309" s="33"/>
      <c r="CX309" s="31"/>
      <c r="DF309" s="35">
        <f t="shared" si="467"/>
        <v>0</v>
      </c>
      <c r="DG309" s="35">
        <f t="shared" si="485"/>
        <v>0</v>
      </c>
      <c r="DH309" s="15">
        <f t="shared" si="506"/>
        <v>4.3112503100391251E-11</v>
      </c>
      <c r="DI309" s="28">
        <f t="shared" si="507"/>
        <v>5.9467517612256342E-12</v>
      </c>
      <c r="DJ309" s="28">
        <f t="shared" si="508"/>
        <v>0.13793566444931532</v>
      </c>
      <c r="DK309" s="33"/>
      <c r="DO309" s="31"/>
      <c r="DW309" s="35">
        <f t="shared" si="468"/>
        <v>0</v>
      </c>
      <c r="DX309" s="35">
        <f t="shared" si="486"/>
        <v>0</v>
      </c>
      <c r="DY309" s="15">
        <f t="shared" si="509"/>
        <v>4.4636588566382691E-11</v>
      </c>
      <c r="DZ309" s="28">
        <f t="shared" si="510"/>
        <v>5.8058231180575432E-12</v>
      </c>
      <c r="EA309" s="28">
        <f t="shared" si="511"/>
        <v>0.13006870158599224</v>
      </c>
      <c r="EB309" s="33"/>
      <c r="EF309" s="31"/>
      <c r="EN309" s="35">
        <f t="shared" si="469"/>
        <v>0</v>
      </c>
      <c r="EO309" s="35">
        <f t="shared" si="487"/>
        <v>0</v>
      </c>
      <c r="EP309" s="15">
        <f t="shared" si="512"/>
        <v>4.7657797073999734E-11</v>
      </c>
      <c r="EQ309" s="28">
        <f t="shared" si="513"/>
        <v>1.1408146633916365E-11</v>
      </c>
      <c r="ER309" s="28">
        <f t="shared" si="514"/>
        <v>0.23937628959648688</v>
      </c>
      <c r="ES309" s="33"/>
      <c r="EW309" s="31"/>
      <c r="FE309" s="35">
        <f t="shared" si="470"/>
        <v>0</v>
      </c>
      <c r="FF309" s="35">
        <f t="shared" si="488"/>
        <v>0</v>
      </c>
      <c r="FG309" s="15">
        <f t="shared" si="515"/>
        <v>4.6042444398839329E-11</v>
      </c>
      <c r="FH309" s="28">
        <f t="shared" si="516"/>
        <v>1.0443108081636782E-11</v>
      </c>
      <c r="FI309" s="28">
        <f t="shared" si="517"/>
        <v>0.22681480572955937</v>
      </c>
      <c r="FJ309" s="33"/>
      <c r="FN309" s="31"/>
      <c r="FV309" s="35">
        <f t="shared" si="471"/>
        <v>0</v>
      </c>
      <c r="FW309" s="35">
        <f t="shared" si="489"/>
        <v>0</v>
      </c>
      <c r="FX309" s="15">
        <f t="shared" si="518"/>
        <v>4.3343981414367882E-11</v>
      </c>
      <c r="FY309" s="28">
        <f t="shared" si="519"/>
        <v>1.0456866916558721E-11</v>
      </c>
      <c r="FZ309" s="28">
        <f t="shared" si="520"/>
        <v>0.24125303157066291</v>
      </c>
      <c r="GA309" s="33"/>
      <c r="GE309" s="31"/>
      <c r="GM309" s="35">
        <f t="shared" si="472"/>
        <v>0</v>
      </c>
      <c r="GN309" s="35">
        <f t="shared" si="490"/>
        <v>0</v>
      </c>
      <c r="GO309" s="15">
        <f t="shared" si="521"/>
        <v>4.4788937533640316E-11</v>
      </c>
      <c r="GP309" s="28">
        <f t="shared" si="522"/>
        <v>1.0776938705858183E-11</v>
      </c>
      <c r="GQ309" s="28">
        <f t="shared" si="523"/>
        <v>0.24061608288349734</v>
      </c>
      <c r="GR309" s="33"/>
      <c r="GV309" s="31"/>
      <c r="HD309" s="35">
        <f t="shared" si="473"/>
        <v>0</v>
      </c>
      <c r="HE309" s="35">
        <f t="shared" si="491"/>
        <v>0</v>
      </c>
      <c r="HF309" s="15">
        <f t="shared" si="524"/>
        <v>6.3094390361691275E-11</v>
      </c>
      <c r="HG309" s="28">
        <f t="shared" si="525"/>
        <v>7.8171919347346125E-12</v>
      </c>
      <c r="HH309" s="28">
        <f t="shared" si="526"/>
        <v>0.12389678210570271</v>
      </c>
      <c r="HI309" s="33"/>
      <c r="HM309" s="31"/>
      <c r="HU309" s="35">
        <f t="shared" si="474"/>
        <v>0</v>
      </c>
      <c r="HV309" s="35">
        <f t="shared" si="492"/>
        <v>0</v>
      </c>
      <c r="HW309" s="15">
        <f t="shared" si="527"/>
        <v>1.4566510322971759E-19</v>
      </c>
      <c r="HX309" s="28">
        <f t="shared" si="528"/>
        <v>2.7472499160683565E-24</v>
      </c>
      <c r="HY309" s="28">
        <f t="shared" si="529"/>
        <v>1.8860041665132884E-5</v>
      </c>
      <c r="HZ309" s="33"/>
      <c r="ID309" s="31"/>
      <c r="II309" s="12"/>
      <c r="IL309" s="35">
        <f t="shared" si="475"/>
        <v>0</v>
      </c>
      <c r="IM309" s="35">
        <f t="shared" si="476"/>
        <v>0.93470719876677943</v>
      </c>
      <c r="IN309" s="15">
        <f t="shared" si="530"/>
        <v>1.4354855295920433E-11</v>
      </c>
      <c r="IO309" s="28">
        <f t="shared" si="531"/>
        <v>2.0319920237340491E-13</v>
      </c>
      <c r="IP309" s="28">
        <f t="shared" si="532"/>
        <v>1.4155433697137508E-2</v>
      </c>
      <c r="IQ309" s="33"/>
      <c r="IU309" s="31"/>
      <c r="JC309" s="35">
        <f t="shared" si="458"/>
        <v>0</v>
      </c>
      <c r="JD309" s="35">
        <f t="shared" si="477"/>
        <v>1.1039917107635222</v>
      </c>
      <c r="JE309" s="15">
        <f t="shared" si="533"/>
        <v>1.7334649565557148E-11</v>
      </c>
      <c r="JF309" s="28">
        <f t="shared" si="534"/>
        <v>2.5935404170743057E-13</v>
      </c>
      <c r="JG309" s="28">
        <f t="shared" si="535"/>
        <v>1.4961597044496974E-2</v>
      </c>
      <c r="JH309" s="33"/>
      <c r="JL309" s="31"/>
      <c r="JR309" s="99"/>
      <c r="JS309" s="99"/>
      <c r="JT309" s="99"/>
      <c r="JU309" s="99"/>
      <c r="JV309" s="99"/>
      <c r="JW309" s="99"/>
      <c r="JX309" s="99"/>
      <c r="JY309" s="99"/>
      <c r="JZ309" s="99"/>
      <c r="KA309" s="99"/>
      <c r="KB309" s="99"/>
      <c r="KC309" s="99"/>
      <c r="KD309" s="99"/>
      <c r="KE309" s="99"/>
      <c r="KF309" s="99"/>
      <c r="KG309" s="99"/>
      <c r="KH309" s="99"/>
      <c r="KI309" s="99"/>
      <c r="KJ309" s="99"/>
      <c r="KK309" s="99"/>
      <c r="KL309" s="99"/>
      <c r="KM309" s="99"/>
      <c r="KN309" s="99"/>
      <c r="KO309" s="99"/>
      <c r="KP309" s="99"/>
      <c r="KQ309" s="99"/>
      <c r="KR309" s="99"/>
      <c r="KS309" s="99"/>
      <c r="KT309" s="99"/>
      <c r="KU309" s="99"/>
      <c r="KV309" s="99"/>
      <c r="KW309" s="99"/>
      <c r="KX309" s="99"/>
      <c r="KY309" s="99"/>
      <c r="KZ309" s="99"/>
      <c r="LA309" s="99"/>
      <c r="LB309" s="99"/>
      <c r="LC309" s="99"/>
      <c r="LD309" s="99"/>
      <c r="LE309" s="99"/>
      <c r="LF309" s="99"/>
      <c r="LG309" s="99"/>
      <c r="LH309" s="99"/>
      <c r="LI309" s="99"/>
      <c r="LJ309" s="99"/>
      <c r="LK309" s="99"/>
      <c r="LL309" s="99"/>
      <c r="LM309" s="99"/>
      <c r="LN309" s="99"/>
      <c r="LO309" s="99"/>
      <c r="LP309" s="99"/>
      <c r="LQ309" s="99"/>
      <c r="LR309" s="99"/>
      <c r="LS309" s="99"/>
      <c r="LT309" s="99"/>
      <c r="LU309" s="99"/>
      <c r="LV309" s="99"/>
      <c r="LW309" s="99"/>
      <c r="LX309" s="99"/>
      <c r="LY309" s="99"/>
      <c r="LZ309" s="99"/>
      <c r="MA309" s="99"/>
      <c r="MB309" s="99"/>
      <c r="MC309" s="99"/>
      <c r="MD309" s="99"/>
      <c r="ME309" s="99"/>
      <c r="MF309" s="99"/>
    </row>
    <row r="310" spans="1:344" ht="17.25" customHeight="1" x14ac:dyDescent="0.25">
      <c r="A310" s="156"/>
      <c r="B310" s="81" t="s">
        <v>6</v>
      </c>
      <c r="C310" s="82">
        <v>45444</v>
      </c>
      <c r="D310" s="49"/>
      <c r="G310" s="89">
        <f t="shared" si="459"/>
        <v>0</v>
      </c>
      <c r="H310" s="35">
        <f t="shared" si="460"/>
        <v>0</v>
      </c>
      <c r="I310" s="39"/>
      <c r="L310" s="89">
        <f t="shared" si="461"/>
        <v>0</v>
      </c>
      <c r="M310" s="35">
        <f t="shared" si="478"/>
        <v>0</v>
      </c>
      <c r="N310" s="35">
        <f t="shared" si="479"/>
        <v>0</v>
      </c>
      <c r="O310" s="97" t="e">
        <f>SUM($Z310,$BH310,$AQ310,$BY310,$CP310,$DG310,$DX310,$EO310,$FF310,$FW310,$GN310)/D310</f>
        <v>#DIV/0!</v>
      </c>
      <c r="P310" s="150"/>
      <c r="Q310" s="132">
        <f t="shared" si="543"/>
        <v>0</v>
      </c>
      <c r="R310" s="134">
        <f t="shared" si="539"/>
        <v>0</v>
      </c>
      <c r="S310" s="136">
        <f t="shared" si="540"/>
        <v>0</v>
      </c>
      <c r="T310" s="138">
        <f t="shared" si="541"/>
        <v>0</v>
      </c>
      <c r="U310" s="144">
        <f t="shared" si="542"/>
        <v>0</v>
      </c>
      <c r="W310" s="11">
        <v>0</v>
      </c>
      <c r="X310" s="1">
        <v>0</v>
      </c>
      <c r="Y310" s="35">
        <f t="shared" si="462"/>
        <v>0</v>
      </c>
      <c r="Z310" s="35">
        <f t="shared" si="480"/>
        <v>0</v>
      </c>
      <c r="AA310" s="15">
        <f t="shared" si="493"/>
        <v>1.0305214014721759E-13</v>
      </c>
      <c r="AB310" s="43">
        <f t="shared" si="537"/>
        <v>2.8497349262386849E-15</v>
      </c>
      <c r="AC310" s="43">
        <f t="shared" si="538"/>
        <v>2.7653330849486756E-2</v>
      </c>
      <c r="AD310" s="33"/>
      <c r="AH310" s="31"/>
      <c r="AP310" s="35">
        <f t="shared" si="463"/>
        <v>0</v>
      </c>
      <c r="AQ310" s="35">
        <f t="shared" si="481"/>
        <v>0</v>
      </c>
      <c r="AR310" s="15">
        <f t="shared" si="494"/>
        <v>3.1120726377335339E-11</v>
      </c>
      <c r="AS310" s="28">
        <f t="shared" si="495"/>
        <v>5.9415229117305063E-12</v>
      </c>
      <c r="AT310" s="28">
        <f t="shared" si="496"/>
        <v>0.19091851647966707</v>
      </c>
      <c r="AU310" s="33"/>
      <c r="AY310" s="31"/>
      <c r="BG310" s="35">
        <f t="shared" si="464"/>
        <v>0</v>
      </c>
      <c r="BH310" s="35">
        <f t="shared" si="482"/>
        <v>0</v>
      </c>
      <c r="BI310" s="15">
        <f t="shared" si="497"/>
        <v>4.2860743346743117E-11</v>
      </c>
      <c r="BJ310" s="28">
        <f t="shared" si="498"/>
        <v>9.1273871491428914E-12</v>
      </c>
      <c r="BK310" s="28">
        <f t="shared" si="499"/>
        <v>0.21295447620453972</v>
      </c>
      <c r="BL310" s="33"/>
      <c r="BP310" s="31"/>
      <c r="BX310" s="35">
        <f t="shared" si="465"/>
        <v>0</v>
      </c>
      <c r="BY310" s="35">
        <f t="shared" si="483"/>
        <v>0</v>
      </c>
      <c r="BZ310" s="15">
        <f t="shared" si="500"/>
        <v>3.2589894994479686E-11</v>
      </c>
      <c r="CA310" s="28">
        <f t="shared" si="501"/>
        <v>5.6722362430566297E-12</v>
      </c>
      <c r="CB310" s="28">
        <f t="shared" si="502"/>
        <v>0.17404892663868463</v>
      </c>
      <c r="CC310" s="33"/>
      <c r="CG310" s="31"/>
      <c r="CO310" s="35">
        <f t="shared" si="466"/>
        <v>0</v>
      </c>
      <c r="CP310" s="35">
        <f t="shared" si="484"/>
        <v>0</v>
      </c>
      <c r="CQ310" s="15">
        <f t="shared" si="503"/>
        <v>3.5706373909849145E-11</v>
      </c>
      <c r="CR310" s="28">
        <f t="shared" si="504"/>
        <v>7.3401903580500852E-12</v>
      </c>
      <c r="CS310" s="28">
        <f t="shared" si="505"/>
        <v>0.20557087024805362</v>
      </c>
      <c r="CT310" s="33"/>
      <c r="CX310" s="31"/>
      <c r="DF310" s="35">
        <f t="shared" si="467"/>
        <v>0</v>
      </c>
      <c r="DG310" s="35">
        <f t="shared" si="485"/>
        <v>0</v>
      </c>
      <c r="DH310" s="15">
        <f t="shared" si="506"/>
        <v>3.4729516386426287E-11</v>
      </c>
      <c r="DI310" s="28">
        <f t="shared" si="507"/>
        <v>4.4600638209192261E-12</v>
      </c>
      <c r="DJ310" s="28">
        <f t="shared" si="508"/>
        <v>0.12842286000453496</v>
      </c>
      <c r="DK310" s="33"/>
      <c r="DO310" s="31"/>
      <c r="DW310" s="35">
        <f t="shared" si="468"/>
        <v>0</v>
      </c>
      <c r="DX310" s="35">
        <f t="shared" si="486"/>
        <v>0</v>
      </c>
      <c r="DY310" s="15">
        <f t="shared" si="509"/>
        <v>3.5957251900697169E-11</v>
      </c>
      <c r="DZ310" s="28">
        <f t="shared" si="510"/>
        <v>4.3543673385431574E-12</v>
      </c>
      <c r="EA310" s="28">
        <f t="shared" si="511"/>
        <v>0.12109844630419966</v>
      </c>
      <c r="EB310" s="33"/>
      <c r="EF310" s="31"/>
      <c r="EN310" s="35">
        <f t="shared" si="469"/>
        <v>0</v>
      </c>
      <c r="EO310" s="35">
        <f t="shared" si="487"/>
        <v>0</v>
      </c>
      <c r="EP310" s="15">
        <f t="shared" si="512"/>
        <v>3.8391003198499785E-11</v>
      </c>
      <c r="EQ310" s="28">
        <f t="shared" si="513"/>
        <v>8.5561099754372732E-12</v>
      </c>
      <c r="ER310" s="28">
        <f t="shared" si="514"/>
        <v>0.22286757996914294</v>
      </c>
      <c r="ES310" s="33"/>
      <c r="EW310" s="31"/>
      <c r="FE310" s="35">
        <f t="shared" si="470"/>
        <v>0</v>
      </c>
      <c r="FF310" s="35">
        <f t="shared" si="488"/>
        <v>0</v>
      </c>
      <c r="FG310" s="15">
        <f t="shared" si="515"/>
        <v>3.7089746876842792E-11</v>
      </c>
      <c r="FH310" s="28">
        <f t="shared" si="516"/>
        <v>7.832331061227586E-12</v>
      </c>
      <c r="FI310" s="28">
        <f t="shared" si="517"/>
        <v>0.21117240533441733</v>
      </c>
      <c r="FJ310" s="33"/>
      <c r="FN310" s="31"/>
      <c r="FV310" s="35">
        <f t="shared" si="471"/>
        <v>0</v>
      </c>
      <c r="FW310" s="35">
        <f t="shared" si="489"/>
        <v>0</v>
      </c>
      <c r="FX310" s="15">
        <f t="shared" si="518"/>
        <v>3.4915985028240796E-11</v>
      </c>
      <c r="FY310" s="28">
        <f t="shared" si="519"/>
        <v>7.8426501874190405E-12</v>
      </c>
      <c r="FZ310" s="28">
        <f t="shared" si="520"/>
        <v>0.22461489146234132</v>
      </c>
      <c r="GA310" s="33"/>
      <c r="GE310" s="31"/>
      <c r="GM310" s="35">
        <f t="shared" si="472"/>
        <v>0</v>
      </c>
      <c r="GN310" s="35">
        <f t="shared" si="490"/>
        <v>0</v>
      </c>
      <c r="GO310" s="15">
        <f t="shared" si="521"/>
        <v>3.6079977457654702E-11</v>
      </c>
      <c r="GP310" s="28">
        <f t="shared" si="522"/>
        <v>8.0827040293936367E-12</v>
      </c>
      <c r="GQ310" s="28">
        <f t="shared" si="523"/>
        <v>0.22402187027084233</v>
      </c>
      <c r="GR310" s="33"/>
      <c r="GV310" s="31"/>
      <c r="HD310" s="35">
        <f t="shared" si="473"/>
        <v>0</v>
      </c>
      <c r="HE310" s="35">
        <f t="shared" si="491"/>
        <v>0</v>
      </c>
      <c r="HF310" s="15">
        <f t="shared" si="524"/>
        <v>5.0826036680251306E-11</v>
      </c>
      <c r="HG310" s="28">
        <f t="shared" si="525"/>
        <v>5.8628939510509594E-12</v>
      </c>
      <c r="HH310" s="28">
        <f t="shared" si="526"/>
        <v>0.11535217644324045</v>
      </c>
      <c r="HI310" s="33"/>
      <c r="HM310" s="31"/>
      <c r="HU310" s="35">
        <f t="shared" si="474"/>
        <v>0</v>
      </c>
      <c r="HV310" s="35">
        <f t="shared" si="492"/>
        <v>0</v>
      </c>
      <c r="HW310" s="15">
        <f t="shared" si="527"/>
        <v>1.173413331572725E-19</v>
      </c>
      <c r="HX310" s="28">
        <f t="shared" si="528"/>
        <v>2.0604374370512673E-24</v>
      </c>
      <c r="HY310" s="28">
        <f t="shared" si="529"/>
        <v>1.7559349136503029E-5</v>
      </c>
      <c r="HZ310" s="33"/>
      <c r="ID310" s="31"/>
      <c r="II310" s="12"/>
      <c r="IL310" s="35">
        <f t="shared" si="475"/>
        <v>0</v>
      </c>
      <c r="IM310" s="35">
        <f t="shared" si="476"/>
        <v>0.8702446333138818</v>
      </c>
      <c r="IN310" s="15">
        <f t="shared" si="530"/>
        <v>1.1563633432824794E-11</v>
      </c>
      <c r="IO310" s="28">
        <f t="shared" si="531"/>
        <v>1.523994017800537E-13</v>
      </c>
      <c r="IP310" s="28">
        <f t="shared" si="532"/>
        <v>1.317919689043837E-2</v>
      </c>
      <c r="IQ310" s="33"/>
      <c r="IU310" s="31"/>
      <c r="JC310" s="35">
        <f t="shared" si="458"/>
        <v>0</v>
      </c>
      <c r="JD310" s="35">
        <f t="shared" si="477"/>
        <v>1.027854351376748</v>
      </c>
      <c r="JE310" s="15">
        <f t="shared" si="533"/>
        <v>1.3964023261143259E-11</v>
      </c>
      <c r="JF310" s="28">
        <f t="shared" si="534"/>
        <v>1.9451553128057292E-13</v>
      </c>
      <c r="JG310" s="28">
        <f t="shared" si="535"/>
        <v>1.3929762765566147E-2</v>
      </c>
      <c r="JH310" s="33"/>
      <c r="JL310" s="31"/>
      <c r="JR310" s="99"/>
      <c r="JS310" s="99"/>
      <c r="JT310" s="99"/>
      <c r="JU310" s="99"/>
      <c r="JV310" s="99"/>
      <c r="JW310" s="99"/>
      <c r="JX310" s="99"/>
      <c r="JY310" s="99"/>
      <c r="JZ310" s="99"/>
      <c r="KA310" s="99"/>
      <c r="KB310" s="99"/>
      <c r="KC310" s="99"/>
      <c r="KD310" s="99"/>
      <c r="KE310" s="99"/>
      <c r="KF310" s="99"/>
      <c r="KG310" s="99"/>
      <c r="KH310" s="99"/>
      <c r="KI310" s="99"/>
      <c r="KJ310" s="99"/>
      <c r="KK310" s="99"/>
      <c r="KL310" s="99"/>
      <c r="KM310" s="99"/>
      <c r="KN310" s="99"/>
      <c r="KO310" s="99"/>
      <c r="KP310" s="99"/>
      <c r="KQ310" s="99"/>
      <c r="KR310" s="99"/>
      <c r="KS310" s="99"/>
      <c r="KT310" s="99"/>
      <c r="KU310" s="99"/>
      <c r="KV310" s="99"/>
      <c r="KW310" s="99"/>
      <c r="KX310" s="99"/>
      <c r="KY310" s="99"/>
      <c r="KZ310" s="99"/>
      <c r="LA310" s="99"/>
      <c r="LB310" s="99"/>
      <c r="LC310" s="99"/>
      <c r="LD310" s="99"/>
      <c r="LE310" s="99"/>
      <c r="LF310" s="99"/>
      <c r="LG310" s="99"/>
      <c r="LH310" s="99"/>
      <c r="LI310" s="99"/>
      <c r="LJ310" s="99"/>
      <c r="LK310" s="99"/>
      <c r="LL310" s="99"/>
      <c r="LM310" s="99"/>
      <c r="LN310" s="99"/>
      <c r="LO310" s="99"/>
      <c r="LP310" s="99"/>
      <c r="LQ310" s="99"/>
      <c r="LR310" s="99"/>
      <c r="LS310" s="99"/>
      <c r="LT310" s="99"/>
      <c r="LU310" s="99"/>
      <c r="LV310" s="99"/>
      <c r="LW310" s="99"/>
      <c r="LX310" s="99"/>
      <c r="LY310" s="99"/>
      <c r="LZ310" s="99"/>
      <c r="MA310" s="99"/>
      <c r="MB310" s="99"/>
      <c r="MC310" s="99"/>
      <c r="MD310" s="99"/>
      <c r="ME310" s="99"/>
      <c r="MF310" s="99"/>
    </row>
    <row r="311" spans="1:344" ht="17.25" customHeight="1" x14ac:dyDescent="0.25">
      <c r="A311" s="157"/>
      <c r="B311" s="83" t="s">
        <v>7</v>
      </c>
      <c r="C311" s="84">
        <v>45445</v>
      </c>
      <c r="D311" s="51"/>
      <c r="E311" s="48"/>
      <c r="F311" s="104"/>
      <c r="G311" s="37">
        <f t="shared" si="459"/>
        <v>0</v>
      </c>
      <c r="H311" s="26">
        <f t="shared" si="460"/>
        <v>0</v>
      </c>
      <c r="I311" s="48"/>
      <c r="J311" s="48"/>
      <c r="K311" s="104"/>
      <c r="L311" s="37">
        <f t="shared" si="461"/>
        <v>0</v>
      </c>
      <c r="M311" s="26">
        <f t="shared" si="478"/>
        <v>0</v>
      </c>
      <c r="N311" s="26">
        <f t="shared" si="479"/>
        <v>0</v>
      </c>
      <c r="O311" s="98" t="e">
        <f>SUM($Z311,$BH311,$AQ311,$BY311,$CP311,$DG311,$DX311,$EO311,$FF311,$FW311,$GN311)/D311</f>
        <v>#DIV/0!</v>
      </c>
      <c r="P311" s="151"/>
      <c r="Q311" s="139">
        <f t="shared" si="543"/>
        <v>0</v>
      </c>
      <c r="R311" s="140">
        <f t="shared" si="539"/>
        <v>0</v>
      </c>
      <c r="S311" s="141">
        <f t="shared" si="540"/>
        <v>0</v>
      </c>
      <c r="T311" s="142">
        <f t="shared" si="541"/>
        <v>0</v>
      </c>
      <c r="U311" s="145">
        <f t="shared" si="542"/>
        <v>0</v>
      </c>
      <c r="V311" s="23"/>
      <c r="W311" s="13">
        <v>0</v>
      </c>
      <c r="X311" s="2">
        <v>0</v>
      </c>
      <c r="Y311" s="26">
        <f t="shared" si="462"/>
        <v>0</v>
      </c>
      <c r="Z311" s="26">
        <f t="shared" si="480"/>
        <v>0</v>
      </c>
      <c r="AA311" s="16">
        <f t="shared" si="493"/>
        <v>8.3014224007480851E-14</v>
      </c>
      <c r="AB311" s="44">
        <f t="shared" si="537"/>
        <v>2.1373011946790137E-15</v>
      </c>
      <c r="AC311" s="44">
        <f t="shared" si="538"/>
        <v>2.5746204584004909E-2</v>
      </c>
      <c r="AD311" s="34"/>
      <c r="AE311" s="4"/>
      <c r="AF311" s="5"/>
      <c r="AG311" s="6"/>
      <c r="AH311" s="32"/>
      <c r="AI311" s="3"/>
      <c r="AJ311" s="4"/>
      <c r="AK311" s="5"/>
      <c r="AL311" s="6"/>
      <c r="AM311" s="14"/>
      <c r="AN311" s="13"/>
      <c r="AO311" s="2"/>
      <c r="AP311" s="26">
        <f t="shared" si="463"/>
        <v>0</v>
      </c>
      <c r="AQ311" s="26">
        <f t="shared" si="481"/>
        <v>0</v>
      </c>
      <c r="AR311" s="16">
        <f t="shared" si="494"/>
        <v>2.5069474026186804E-11</v>
      </c>
      <c r="AS311" s="29">
        <f t="shared" si="495"/>
        <v>4.4561421837978801E-12</v>
      </c>
      <c r="AT311" s="29">
        <f t="shared" si="496"/>
        <v>0.17775172223969002</v>
      </c>
      <c r="AU311" s="34"/>
      <c r="AV311" s="4"/>
      <c r="AW311" s="5"/>
      <c r="AX311" s="6"/>
      <c r="AY311" s="32"/>
      <c r="AZ311" s="3"/>
      <c r="BA311" s="4"/>
      <c r="BB311" s="5"/>
      <c r="BC311" s="6"/>
      <c r="BD311" s="14"/>
      <c r="BE311" s="13"/>
      <c r="BF311" s="2"/>
      <c r="BG311" s="26">
        <f t="shared" si="464"/>
        <v>0</v>
      </c>
      <c r="BH311" s="26">
        <f t="shared" si="482"/>
        <v>0</v>
      </c>
      <c r="BI311" s="16">
        <f t="shared" si="497"/>
        <v>3.4526709918209735E-11</v>
      </c>
      <c r="BJ311" s="29">
        <f t="shared" si="498"/>
        <v>6.8455403618571689E-12</v>
      </c>
      <c r="BK311" s="29">
        <f t="shared" si="499"/>
        <v>0.19826796060422663</v>
      </c>
      <c r="BL311" s="34"/>
      <c r="BM311" s="4"/>
      <c r="BN311" s="5"/>
      <c r="BO311" s="6"/>
      <c r="BP311" s="32"/>
      <c r="BQ311" s="3"/>
      <c r="BR311" s="4"/>
      <c r="BS311" s="5"/>
      <c r="BT311" s="6"/>
      <c r="BU311" s="14"/>
      <c r="BV311" s="13"/>
      <c r="BW311" s="2"/>
      <c r="BX311" s="26">
        <f t="shared" si="465"/>
        <v>0</v>
      </c>
      <c r="BY311" s="26">
        <f t="shared" si="483"/>
        <v>0</v>
      </c>
      <c r="BZ311" s="16">
        <f t="shared" si="500"/>
        <v>2.6252970967775304E-11</v>
      </c>
      <c r="CA311" s="29">
        <f t="shared" si="501"/>
        <v>4.2541771822924727E-12</v>
      </c>
      <c r="CB311" s="29">
        <f t="shared" si="502"/>
        <v>0.16204555238774085</v>
      </c>
      <c r="CC311" s="34"/>
      <c r="CD311" s="4"/>
      <c r="CE311" s="5"/>
      <c r="CF311" s="6"/>
      <c r="CG311" s="32"/>
      <c r="CH311" s="3"/>
      <c r="CI311" s="4"/>
      <c r="CJ311" s="5"/>
      <c r="CK311" s="6"/>
      <c r="CL311" s="14"/>
      <c r="CM311" s="13"/>
      <c r="CN311" s="2"/>
      <c r="CO311" s="26">
        <f t="shared" si="466"/>
        <v>0</v>
      </c>
      <c r="CP311" s="26">
        <f t="shared" si="484"/>
        <v>0</v>
      </c>
      <c r="CQ311" s="16">
        <f t="shared" si="503"/>
        <v>2.8763467871822921E-11</v>
      </c>
      <c r="CR311" s="29">
        <f t="shared" si="504"/>
        <v>5.5051427685375639E-12</v>
      </c>
      <c r="CS311" s="29">
        <f t="shared" si="505"/>
        <v>0.19139356885163614</v>
      </c>
      <c r="CT311" s="34"/>
      <c r="CU311" s="4"/>
      <c r="CV311" s="5"/>
      <c r="CW311" s="6"/>
      <c r="CX311" s="32"/>
      <c r="CY311" s="3"/>
      <c r="CZ311" s="4"/>
      <c r="DA311" s="5"/>
      <c r="DB311" s="6"/>
      <c r="DC311" s="14"/>
      <c r="DD311" s="13"/>
      <c r="DE311" s="2"/>
      <c r="DF311" s="26">
        <f t="shared" si="467"/>
        <v>0</v>
      </c>
      <c r="DG311" s="26">
        <f t="shared" si="485"/>
        <v>0</v>
      </c>
      <c r="DH311" s="16">
        <f t="shared" si="506"/>
        <v>2.7976554866843401E-11</v>
      </c>
      <c r="DI311" s="29">
        <f t="shared" si="507"/>
        <v>3.3450478656894196E-12</v>
      </c>
      <c r="DJ311" s="29">
        <f t="shared" si="508"/>
        <v>0.11956611103870496</v>
      </c>
      <c r="DK311" s="34"/>
      <c r="DL311" s="4"/>
      <c r="DM311" s="5"/>
      <c r="DN311" s="6"/>
      <c r="DO311" s="32"/>
      <c r="DP311" s="3"/>
      <c r="DQ311" s="4"/>
      <c r="DR311" s="5"/>
      <c r="DS311" s="6"/>
      <c r="DT311" s="14"/>
      <c r="DU311" s="13"/>
      <c r="DV311" s="2"/>
      <c r="DW311" s="26">
        <f t="shared" si="468"/>
        <v>0</v>
      </c>
      <c r="DX311" s="26">
        <f t="shared" si="486"/>
        <v>0</v>
      </c>
      <c r="DY311" s="16">
        <f t="shared" si="509"/>
        <v>2.8965564031117164E-11</v>
      </c>
      <c r="DZ311" s="29">
        <f t="shared" si="510"/>
        <v>3.2657755039073682E-12</v>
      </c>
      <c r="EA311" s="29">
        <f t="shared" si="511"/>
        <v>0.11274682931770313</v>
      </c>
      <c r="EB311" s="34"/>
      <c r="EC311" s="4"/>
      <c r="ED311" s="5"/>
      <c r="EE311" s="6"/>
      <c r="EF311" s="32"/>
      <c r="EG311" s="3"/>
      <c r="EH311" s="4"/>
      <c r="EI311" s="5"/>
      <c r="EJ311" s="6"/>
      <c r="EK311" s="14"/>
      <c r="EL311" s="13"/>
      <c r="EM311" s="2"/>
      <c r="EN311" s="26">
        <f t="shared" si="469"/>
        <v>0</v>
      </c>
      <c r="EO311" s="26">
        <f t="shared" si="487"/>
        <v>0</v>
      </c>
      <c r="EP311" s="16">
        <f t="shared" si="512"/>
        <v>3.0926085909902602E-11</v>
      </c>
      <c r="EQ311" s="29">
        <f t="shared" si="513"/>
        <v>6.4170824815779549E-12</v>
      </c>
      <c r="ER311" s="29">
        <f t="shared" si="514"/>
        <v>0.20749740204023653</v>
      </c>
      <c r="ES311" s="34"/>
      <c r="ET311" s="4"/>
      <c r="EU311" s="5"/>
      <c r="EV311" s="6"/>
      <c r="EW311" s="32"/>
      <c r="EX311" s="3"/>
      <c r="EY311" s="4"/>
      <c r="EZ311" s="5"/>
      <c r="FA311" s="6"/>
      <c r="FB311" s="14"/>
      <c r="FC311" s="13"/>
      <c r="FD311" s="2"/>
      <c r="FE311" s="26">
        <f t="shared" si="470"/>
        <v>0</v>
      </c>
      <c r="FF311" s="26">
        <f t="shared" si="488"/>
        <v>0</v>
      </c>
      <c r="FG311" s="16">
        <f t="shared" si="515"/>
        <v>2.9877851650790025E-11</v>
      </c>
      <c r="FH311" s="29">
        <f t="shared" si="516"/>
        <v>5.8742482959206891E-12</v>
      </c>
      <c r="FI311" s="29">
        <f t="shared" si="517"/>
        <v>0.19660879117342303</v>
      </c>
      <c r="FJ311" s="34"/>
      <c r="FK311" s="4"/>
      <c r="FL311" s="5"/>
      <c r="FM311" s="6"/>
      <c r="FN311" s="32"/>
      <c r="FO311" s="3"/>
      <c r="FP311" s="4"/>
      <c r="FQ311" s="5"/>
      <c r="FR311" s="6"/>
      <c r="FS311" s="14"/>
      <c r="FT311" s="13"/>
      <c r="FU311" s="2"/>
      <c r="FV311" s="26">
        <f t="shared" si="471"/>
        <v>0</v>
      </c>
      <c r="FW311" s="26">
        <f t="shared" si="489"/>
        <v>0</v>
      </c>
      <c r="FX311" s="16">
        <f t="shared" si="518"/>
        <v>2.8126765717193971E-11</v>
      </c>
      <c r="FY311" s="29">
        <f t="shared" si="519"/>
        <v>5.88198764056428E-12</v>
      </c>
      <c r="FZ311" s="29">
        <f t="shared" si="520"/>
        <v>0.20912420929252468</v>
      </c>
      <c r="GA311" s="34"/>
      <c r="GB311" s="4"/>
      <c r="GC311" s="5"/>
      <c r="GD311" s="6"/>
      <c r="GE311" s="32"/>
      <c r="GF311" s="3"/>
      <c r="GG311" s="4"/>
      <c r="GH311" s="5"/>
      <c r="GI311" s="6"/>
      <c r="GJ311" s="14"/>
      <c r="GK311" s="13"/>
      <c r="GL311" s="2"/>
      <c r="GM311" s="26">
        <f t="shared" si="472"/>
        <v>0</v>
      </c>
      <c r="GN311" s="26">
        <f t="shared" si="490"/>
        <v>0</v>
      </c>
      <c r="GO311" s="16">
        <f t="shared" si="521"/>
        <v>2.9064426285332954E-11</v>
      </c>
      <c r="GP311" s="29">
        <f t="shared" si="522"/>
        <v>6.0620280220452275E-12</v>
      </c>
      <c r="GQ311" s="29">
        <f t="shared" si="523"/>
        <v>0.2085720861142325</v>
      </c>
      <c r="GR311" s="34"/>
      <c r="GS311" s="4"/>
      <c r="GT311" s="5"/>
      <c r="GU311" s="6"/>
      <c r="GV311" s="32"/>
      <c r="GW311" s="3"/>
      <c r="GX311" s="4"/>
      <c r="GY311" s="5"/>
      <c r="GZ311" s="6"/>
      <c r="HA311" s="14"/>
      <c r="HB311" s="13"/>
      <c r="HC311" s="2"/>
      <c r="HD311" s="26">
        <f t="shared" si="473"/>
        <v>0</v>
      </c>
      <c r="HE311" s="26">
        <f t="shared" si="491"/>
        <v>0</v>
      </c>
      <c r="HF311" s="16">
        <f t="shared" si="524"/>
        <v>4.094319621464688E-11</v>
      </c>
      <c r="HG311" s="29">
        <f t="shared" si="525"/>
        <v>4.3971704632882193E-12</v>
      </c>
      <c r="HH311" s="29">
        <f t="shared" si="526"/>
        <v>0.10739685392991352</v>
      </c>
      <c r="HI311" s="34"/>
      <c r="HJ311" s="4"/>
      <c r="HK311" s="5"/>
      <c r="HL311" s="6"/>
      <c r="HM311" s="32"/>
      <c r="HN311" s="3"/>
      <c r="HO311" s="4"/>
      <c r="HP311" s="5"/>
      <c r="HQ311" s="6"/>
      <c r="HR311" s="14"/>
      <c r="HS311" s="13"/>
      <c r="HT311" s="2"/>
      <c r="HU311" s="26">
        <f t="shared" si="474"/>
        <v>0</v>
      </c>
      <c r="HV311" s="26">
        <f t="shared" si="492"/>
        <v>0</v>
      </c>
      <c r="HW311" s="16">
        <f t="shared" si="527"/>
        <v>9.4524962821136189E-20</v>
      </c>
      <c r="HX311" s="29">
        <f t="shared" si="528"/>
        <v>1.5453280777884504E-24</v>
      </c>
      <c r="HY311" s="29">
        <f t="shared" si="529"/>
        <v>1.634835954088213E-5</v>
      </c>
      <c r="HZ311" s="34"/>
      <c r="IA311" s="4"/>
      <c r="IB311" s="5"/>
      <c r="IC311" s="6"/>
      <c r="ID311" s="32"/>
      <c r="IE311" s="3"/>
      <c r="IF311" s="4"/>
      <c r="IG311" s="5"/>
      <c r="IH311" s="6"/>
      <c r="II311" s="14"/>
      <c r="IJ311" s="13"/>
      <c r="IK311" s="2"/>
      <c r="IL311" s="26">
        <f t="shared" si="475"/>
        <v>0</v>
      </c>
      <c r="IM311" s="26">
        <f t="shared" si="476"/>
        <v>0.81022776203447988</v>
      </c>
      <c r="IN311" s="16">
        <f t="shared" si="530"/>
        <v>9.3151491542199728E-12</v>
      </c>
      <c r="IO311" s="29">
        <f t="shared" si="531"/>
        <v>1.1429955133504027E-13</v>
      </c>
      <c r="IP311" s="29">
        <f t="shared" si="532"/>
        <v>1.2270286760063309E-2</v>
      </c>
      <c r="IQ311" s="34"/>
      <c r="IR311" s="4"/>
      <c r="IS311" s="5"/>
      <c r="IT311" s="6"/>
      <c r="IU311" s="32"/>
      <c r="IV311" s="3"/>
      <c r="IW311" s="4"/>
      <c r="IX311" s="5"/>
      <c r="IY311" s="6"/>
      <c r="IZ311" s="14"/>
      <c r="JA311" s="13"/>
      <c r="JB311" s="2"/>
      <c r="JC311" s="26">
        <f t="shared" si="458"/>
        <v>0</v>
      </c>
      <c r="JD311" s="26">
        <f t="shared" si="477"/>
        <v>0.95696784436649174</v>
      </c>
      <c r="JE311" s="16">
        <f t="shared" si="533"/>
        <v>1.124879651592096E-11</v>
      </c>
      <c r="JF311" s="29">
        <f t="shared" si="534"/>
        <v>1.4588664846042971E-13</v>
      </c>
      <c r="JG311" s="29">
        <f t="shared" si="535"/>
        <v>1.296908947138917E-2</v>
      </c>
      <c r="JH311" s="34"/>
      <c r="JI311" s="4"/>
      <c r="JJ311" s="5"/>
      <c r="JK311" s="6"/>
      <c r="JL311" s="32"/>
      <c r="JM311" s="3"/>
      <c r="JN311" s="4"/>
      <c r="JO311" s="5"/>
      <c r="JP311" s="6"/>
      <c r="JQ311" s="14"/>
      <c r="JR311" s="99"/>
      <c r="JS311" s="99"/>
      <c r="JT311" s="99"/>
      <c r="JU311" s="99"/>
      <c r="JV311" s="99"/>
      <c r="JW311" s="99"/>
      <c r="JX311" s="99"/>
      <c r="JY311" s="99"/>
      <c r="JZ311" s="99"/>
      <c r="KA311" s="99"/>
      <c r="KB311" s="99"/>
      <c r="KC311" s="99"/>
      <c r="KD311" s="99"/>
      <c r="KE311" s="99"/>
      <c r="KF311" s="99"/>
      <c r="KG311" s="99"/>
      <c r="KH311" s="99"/>
      <c r="KI311" s="99"/>
      <c r="KJ311" s="99"/>
      <c r="KK311" s="99"/>
      <c r="KL311" s="99"/>
      <c r="KM311" s="99"/>
      <c r="KN311" s="99"/>
      <c r="KO311" s="99"/>
      <c r="KP311" s="99"/>
      <c r="KQ311" s="99"/>
      <c r="KR311" s="99"/>
      <c r="KS311" s="99"/>
      <c r="KT311" s="99"/>
      <c r="KU311" s="99"/>
      <c r="KV311" s="99"/>
      <c r="KW311" s="99"/>
      <c r="KX311" s="99"/>
      <c r="KY311" s="99"/>
      <c r="KZ311" s="99"/>
      <c r="LA311" s="99"/>
      <c r="LB311" s="99"/>
      <c r="LC311" s="99"/>
      <c r="LD311" s="99"/>
      <c r="LE311" s="99"/>
      <c r="LF311" s="99"/>
      <c r="LG311" s="99"/>
      <c r="LH311" s="99"/>
      <c r="LI311" s="99"/>
      <c r="LJ311" s="99"/>
      <c r="LK311" s="99"/>
      <c r="LL311" s="99"/>
      <c r="LM311" s="99"/>
      <c r="LN311" s="99"/>
      <c r="LO311" s="99"/>
      <c r="LP311" s="99"/>
      <c r="LQ311" s="99"/>
      <c r="LR311" s="99"/>
      <c r="LS311" s="99"/>
      <c r="LT311" s="99"/>
      <c r="LU311" s="99"/>
      <c r="LV311" s="99"/>
      <c r="LW311" s="99"/>
      <c r="LX311" s="99"/>
      <c r="LY311" s="99"/>
      <c r="LZ311" s="99"/>
      <c r="MA311" s="99"/>
      <c r="MB311" s="99"/>
      <c r="MC311" s="99"/>
      <c r="MD311" s="99"/>
      <c r="ME311" s="99"/>
      <c r="MF311" s="99"/>
    </row>
    <row r="312" spans="1:344" ht="17.25" customHeight="1" x14ac:dyDescent="0.25">
      <c r="A312" s="155" t="s">
        <v>87</v>
      </c>
      <c r="B312" s="79" t="s">
        <v>1</v>
      </c>
      <c r="C312" s="80">
        <v>45446</v>
      </c>
      <c r="D312" s="50"/>
      <c r="G312" s="36">
        <f t="shared" ref="G312:G318" si="544">AVERAGE(W312,AN312,BE312,BV312,CM312,DD312,DU312,EL312,FC312,FT312,GK312,KI302)</f>
        <v>0</v>
      </c>
      <c r="H312" s="27">
        <f t="shared" si="460"/>
        <v>0</v>
      </c>
      <c r="I312" s="47"/>
      <c r="K312" s="105"/>
      <c r="L312" s="89">
        <f t="shared" si="461"/>
        <v>0</v>
      </c>
      <c r="M312" s="27">
        <f t="shared" si="478"/>
        <v>0</v>
      </c>
      <c r="N312" s="35">
        <f t="shared" si="479"/>
        <v>0</v>
      </c>
      <c r="O312" s="97" t="e">
        <f>SUM($Z312,$BH312,$AQ312,$BY312,$CP312,$DG312,$DX312,$EO312,$FF312,$FW312,$GN312)/I312</f>
        <v>#DIV/0!</v>
      </c>
      <c r="P312" s="149">
        <f t="shared" si="536"/>
        <v>0</v>
      </c>
      <c r="Q312" s="131">
        <f t="shared" si="543"/>
        <v>0</v>
      </c>
      <c r="R312" s="133">
        <f t="shared" si="539"/>
        <v>0</v>
      </c>
      <c r="S312" s="135">
        <f t="shared" si="540"/>
        <v>0</v>
      </c>
      <c r="T312" s="137">
        <f t="shared" si="541"/>
        <v>0</v>
      </c>
      <c r="U312" s="143">
        <f t="shared" si="542"/>
        <v>0</v>
      </c>
      <c r="W312" s="11">
        <v>0</v>
      </c>
      <c r="X312" s="1">
        <v>0</v>
      </c>
      <c r="Y312" s="27">
        <f t="shared" si="462"/>
        <v>0</v>
      </c>
      <c r="Z312" s="27">
        <f t="shared" si="480"/>
        <v>0</v>
      </c>
      <c r="AA312" s="15">
        <f t="shared" si="493"/>
        <v>6.6872569339359576E-14</v>
      </c>
      <c r="AB312" s="43">
        <f t="shared" si="537"/>
        <v>1.6029758960092602E-15</v>
      </c>
      <c r="AC312" s="43">
        <f t="shared" si="538"/>
        <v>2.3970604267866638E-2</v>
      </c>
      <c r="AD312" s="33"/>
      <c r="AH312" s="31"/>
      <c r="AP312" s="27">
        <f t="shared" si="463"/>
        <v>0</v>
      </c>
      <c r="AQ312" s="27">
        <f t="shared" si="481"/>
        <v>0</v>
      </c>
      <c r="AR312" s="15">
        <f t="shared" si="494"/>
        <v>2.0194854076650482E-11</v>
      </c>
      <c r="AS312" s="28">
        <f t="shared" si="495"/>
        <v>3.3421066378484101E-12</v>
      </c>
      <c r="AT312" s="28">
        <f t="shared" si="496"/>
        <v>0.16549298277488381</v>
      </c>
      <c r="AU312" s="33"/>
      <c r="AY312" s="31"/>
      <c r="BG312" s="27">
        <f t="shared" si="464"/>
        <v>0</v>
      </c>
      <c r="BH312" s="27">
        <f t="shared" si="482"/>
        <v>0</v>
      </c>
      <c r="BI312" s="15">
        <f t="shared" si="497"/>
        <v>2.7813182989668958E-11</v>
      </c>
      <c r="BJ312" s="28">
        <f t="shared" si="498"/>
        <v>5.1341552713928767E-12</v>
      </c>
      <c r="BK312" s="28">
        <f t="shared" si="499"/>
        <v>0.18459430814876271</v>
      </c>
      <c r="BL312" s="33"/>
      <c r="BP312" s="31"/>
      <c r="BX312" s="27">
        <f t="shared" si="465"/>
        <v>0</v>
      </c>
      <c r="BY312" s="27">
        <f t="shared" si="483"/>
        <v>0</v>
      </c>
      <c r="BZ312" s="15">
        <f t="shared" si="500"/>
        <v>2.1148226612930109E-11</v>
      </c>
      <c r="CA312" s="28">
        <f t="shared" si="501"/>
        <v>3.1906328867193545E-12</v>
      </c>
      <c r="CB312" s="28">
        <f t="shared" si="502"/>
        <v>0.15086999705065526</v>
      </c>
      <c r="CC312" s="33"/>
      <c r="CG312" s="31"/>
      <c r="CO312" s="27">
        <f t="shared" si="466"/>
        <v>0</v>
      </c>
      <c r="CP312" s="27">
        <f t="shared" si="484"/>
        <v>0</v>
      </c>
      <c r="CQ312" s="15">
        <f t="shared" si="503"/>
        <v>2.3170571341190683E-11</v>
      </c>
      <c r="CR312" s="28">
        <f t="shared" si="504"/>
        <v>4.1288570764031727E-12</v>
      </c>
      <c r="CS312" s="28">
        <f t="shared" si="505"/>
        <v>0.17819401237910951</v>
      </c>
      <c r="CT312" s="33"/>
      <c r="CX312" s="31"/>
      <c r="DF312" s="27">
        <f t="shared" si="467"/>
        <v>0</v>
      </c>
      <c r="DG312" s="27">
        <f t="shared" si="485"/>
        <v>0</v>
      </c>
      <c r="DH312" s="15">
        <f t="shared" si="506"/>
        <v>2.2536669198290515E-11</v>
      </c>
      <c r="DI312" s="28">
        <f t="shared" si="507"/>
        <v>2.5087858992670646E-12</v>
      </c>
      <c r="DJ312" s="28">
        <f t="shared" si="508"/>
        <v>0.11132017234638047</v>
      </c>
      <c r="DK312" s="33"/>
      <c r="DO312" s="31"/>
      <c r="DW312" s="27">
        <f t="shared" si="468"/>
        <v>0</v>
      </c>
      <c r="DX312" s="27">
        <f t="shared" si="486"/>
        <v>0</v>
      </c>
      <c r="DY312" s="15">
        <f t="shared" si="509"/>
        <v>2.3333371025066606E-11</v>
      </c>
      <c r="DZ312" s="28">
        <f t="shared" si="510"/>
        <v>2.4493316279305262E-12</v>
      </c>
      <c r="EA312" s="28">
        <f t="shared" si="511"/>
        <v>0.10497118591648223</v>
      </c>
      <c r="EB312" s="33"/>
      <c r="EF312" s="31"/>
      <c r="EN312" s="27">
        <f t="shared" si="469"/>
        <v>0</v>
      </c>
      <c r="EO312" s="27">
        <f t="shared" si="487"/>
        <v>0</v>
      </c>
      <c r="EP312" s="15">
        <f t="shared" si="512"/>
        <v>2.4912680316310429E-11</v>
      </c>
      <c r="EQ312" s="28">
        <f t="shared" si="513"/>
        <v>4.812811861183466E-12</v>
      </c>
      <c r="ER312" s="28">
        <f t="shared" si="514"/>
        <v>0.19318723638228918</v>
      </c>
      <c r="ES312" s="33"/>
      <c r="EW312" s="31"/>
      <c r="FE312" s="27">
        <f t="shared" si="470"/>
        <v>0</v>
      </c>
      <c r="FF312" s="27">
        <f t="shared" si="488"/>
        <v>0</v>
      </c>
      <c r="FG312" s="15">
        <f t="shared" si="515"/>
        <v>2.4068269385358635E-11</v>
      </c>
      <c r="FH312" s="28">
        <f t="shared" si="516"/>
        <v>4.4056862219405168E-12</v>
      </c>
      <c r="FI312" s="28">
        <f t="shared" si="517"/>
        <v>0.18304956419594556</v>
      </c>
      <c r="FJ312" s="33"/>
      <c r="FN312" s="31"/>
      <c r="FV312" s="27">
        <f t="shared" si="471"/>
        <v>0</v>
      </c>
      <c r="FW312" s="27">
        <f t="shared" si="489"/>
        <v>0</v>
      </c>
      <c r="FX312" s="15">
        <f t="shared" si="518"/>
        <v>2.2657672383295149E-11</v>
      </c>
      <c r="FY312" s="28">
        <f t="shared" si="519"/>
        <v>4.4114907304232104E-12</v>
      </c>
      <c r="FZ312" s="28">
        <f t="shared" si="520"/>
        <v>0.19470185003097124</v>
      </c>
      <c r="GA312" s="33"/>
      <c r="GE312" s="31"/>
      <c r="GM312" s="27">
        <f t="shared" si="472"/>
        <v>0</v>
      </c>
      <c r="GN312" s="27">
        <f t="shared" si="490"/>
        <v>0</v>
      </c>
      <c r="GO312" s="15">
        <f t="shared" si="521"/>
        <v>2.3413010063184882E-11</v>
      </c>
      <c r="GP312" s="28">
        <f t="shared" si="522"/>
        <v>4.5465210165339208E-12</v>
      </c>
      <c r="GQ312" s="28">
        <f t="shared" si="523"/>
        <v>0.19418780431325094</v>
      </c>
      <c r="GR312" s="33"/>
      <c r="GV312" s="31"/>
      <c r="HD312" s="27">
        <f t="shared" si="473"/>
        <v>0</v>
      </c>
      <c r="HE312" s="27">
        <f t="shared" si="491"/>
        <v>0</v>
      </c>
      <c r="HF312" s="15">
        <f t="shared" si="524"/>
        <v>3.2982019172909991E-11</v>
      </c>
      <c r="HG312" s="28">
        <f t="shared" si="525"/>
        <v>3.2978778474661645E-12</v>
      </c>
      <c r="HH312" s="28">
        <f t="shared" si="526"/>
        <v>9.999017434854017E-2</v>
      </c>
      <c r="HI312" s="33"/>
      <c r="HM312" s="31"/>
      <c r="HU312" s="27">
        <f t="shared" si="474"/>
        <v>0</v>
      </c>
      <c r="HV312" s="27">
        <f t="shared" si="492"/>
        <v>0</v>
      </c>
      <c r="HW312" s="15">
        <f t="shared" si="527"/>
        <v>7.6145108939248592E-20</v>
      </c>
      <c r="HX312" s="28">
        <f t="shared" si="528"/>
        <v>1.1589960583413378E-24</v>
      </c>
      <c r="HY312" s="28">
        <f t="shared" si="529"/>
        <v>1.5220886469097155E-5</v>
      </c>
      <c r="HZ312" s="33"/>
      <c r="ID312" s="31"/>
      <c r="II312" s="12"/>
      <c r="IL312" s="27">
        <f t="shared" si="475"/>
        <v>0</v>
      </c>
      <c r="IM312" s="27">
        <f t="shared" si="476"/>
        <v>0.75434998532948361</v>
      </c>
      <c r="IN312" s="15">
        <f t="shared" si="530"/>
        <v>7.5038701520105333E-12</v>
      </c>
      <c r="IO312" s="28">
        <f t="shared" si="531"/>
        <v>8.5724663501280198E-14</v>
      </c>
      <c r="IP312" s="28">
        <f t="shared" si="532"/>
        <v>1.1424060086955495E-2</v>
      </c>
      <c r="IQ312" s="33"/>
      <c r="IU312" s="31"/>
      <c r="JC312" s="27">
        <f t="shared" si="458"/>
        <v>0</v>
      </c>
      <c r="JD312" s="27">
        <f t="shared" si="477"/>
        <v>0.89097006198157469</v>
      </c>
      <c r="JE312" s="15">
        <f t="shared" si="533"/>
        <v>9.0615305267141068E-12</v>
      </c>
      <c r="JF312" s="28">
        <f t="shared" si="534"/>
        <v>1.0941498634532228E-13</v>
      </c>
      <c r="JG312" s="28">
        <f t="shared" si="535"/>
        <v>1.2074669507845089E-2</v>
      </c>
      <c r="JH312" s="33"/>
      <c r="JL312" s="31"/>
      <c r="JR312" s="99"/>
      <c r="JS312" s="99"/>
      <c r="JT312" s="99"/>
      <c r="JU312" s="99"/>
      <c r="JV312" s="99"/>
      <c r="JW312" s="99"/>
      <c r="JX312" s="99"/>
      <c r="JY312" s="99"/>
      <c r="JZ312" s="99"/>
      <c r="KA312" s="99"/>
      <c r="KB312" s="99"/>
      <c r="KC312" s="99"/>
      <c r="KD312" s="99"/>
      <c r="KE312" s="99"/>
      <c r="KF312" s="99"/>
      <c r="KG312" s="99"/>
      <c r="KH312" s="99"/>
      <c r="KI312" s="99"/>
      <c r="KJ312" s="99"/>
      <c r="KK312" s="99"/>
      <c r="KL312" s="99"/>
      <c r="KM312" s="99"/>
      <c r="KN312" s="99"/>
      <c r="KO312" s="99"/>
      <c r="KP312" s="99"/>
      <c r="KQ312" s="99"/>
      <c r="KR312" s="99"/>
      <c r="KS312" s="99"/>
      <c r="KT312" s="99"/>
      <c r="KU312" s="99"/>
      <c r="KV312" s="99"/>
      <c r="KW312" s="99"/>
      <c r="KX312" s="99"/>
      <c r="KY312" s="99"/>
      <c r="KZ312" s="99"/>
      <c r="LA312" s="99"/>
      <c r="LB312" s="99"/>
      <c r="LC312" s="99"/>
      <c r="LD312" s="99"/>
      <c r="LE312" s="99"/>
      <c r="LF312" s="99"/>
      <c r="LG312" s="99"/>
      <c r="LH312" s="99"/>
      <c r="LI312" s="99"/>
      <c r="LJ312" s="99"/>
      <c r="LK312" s="99"/>
      <c r="LL312" s="99"/>
      <c r="LM312" s="99"/>
      <c r="LN312" s="99"/>
      <c r="LO312" s="99"/>
      <c r="LP312" s="99"/>
      <c r="LQ312" s="99"/>
      <c r="LR312" s="99"/>
      <c r="LS312" s="99"/>
      <c r="LT312" s="99"/>
      <c r="LU312" s="99"/>
      <c r="LV312" s="99"/>
      <c r="LW312" s="99"/>
      <c r="LX312" s="99"/>
      <c r="LY312" s="99"/>
      <c r="LZ312" s="99"/>
      <c r="MA312" s="99"/>
      <c r="MB312" s="99"/>
      <c r="MC312" s="99"/>
      <c r="MD312" s="99"/>
      <c r="ME312" s="99"/>
      <c r="MF312" s="99"/>
    </row>
    <row r="313" spans="1:344" ht="17.25" customHeight="1" x14ac:dyDescent="0.25">
      <c r="A313" s="156"/>
      <c r="B313" s="81" t="s">
        <v>2</v>
      </c>
      <c r="C313" s="82">
        <v>45447</v>
      </c>
      <c r="D313" s="49"/>
      <c r="G313" s="89">
        <f t="shared" si="544"/>
        <v>0</v>
      </c>
      <c r="H313" s="35">
        <f t="shared" si="460"/>
        <v>0</v>
      </c>
      <c r="I313" s="39"/>
      <c r="L313" s="89">
        <f t="shared" si="461"/>
        <v>0</v>
      </c>
      <c r="M313" s="35">
        <f t="shared" si="478"/>
        <v>0</v>
      </c>
      <c r="N313" s="35">
        <f t="shared" si="479"/>
        <v>0</v>
      </c>
      <c r="O313" s="97" t="e">
        <f>SUM($Z313,$BH313,$AQ313,$BY313,$CP313,$DG313,$DX313,$EO313,$FF313,$FW313,$GN313)/I313</f>
        <v>#DIV/0!</v>
      </c>
      <c r="P313" s="150"/>
      <c r="Q313" s="132">
        <f t="shared" si="543"/>
        <v>0</v>
      </c>
      <c r="R313" s="134">
        <f t="shared" si="539"/>
        <v>0</v>
      </c>
      <c r="S313" s="136">
        <f t="shared" si="540"/>
        <v>0</v>
      </c>
      <c r="T313" s="138">
        <f t="shared" si="541"/>
        <v>0</v>
      </c>
      <c r="U313" s="144">
        <f t="shared" si="542"/>
        <v>0</v>
      </c>
      <c r="W313" s="11">
        <v>0</v>
      </c>
      <c r="X313" s="1">
        <v>0</v>
      </c>
      <c r="Y313" s="35">
        <f t="shared" si="462"/>
        <v>0</v>
      </c>
      <c r="Z313" s="35">
        <f t="shared" si="480"/>
        <v>0</v>
      </c>
      <c r="AA313" s="15">
        <f t="shared" si="493"/>
        <v>5.386956974559522E-14</v>
      </c>
      <c r="AB313" s="43">
        <f t="shared" si="537"/>
        <v>1.2022319220069452E-15</v>
      </c>
      <c r="AC313" s="43">
        <f t="shared" si="538"/>
        <v>2.2317459145944799E-2</v>
      </c>
      <c r="AD313" s="33"/>
      <c r="AH313" s="31"/>
      <c r="AP313" s="35">
        <f t="shared" si="463"/>
        <v>0</v>
      </c>
      <c r="AQ313" s="35">
        <f t="shared" si="481"/>
        <v>0</v>
      </c>
      <c r="AR313" s="15">
        <f t="shared" si="494"/>
        <v>1.6268076895079552E-11</v>
      </c>
      <c r="AS313" s="28">
        <f t="shared" si="495"/>
        <v>2.5065799783863074E-12</v>
      </c>
      <c r="AT313" s="28">
        <f t="shared" si="496"/>
        <v>0.15407967361799527</v>
      </c>
      <c r="AU313" s="33"/>
      <c r="AY313" s="31"/>
      <c r="BG313" s="35">
        <f t="shared" si="464"/>
        <v>0</v>
      </c>
      <c r="BH313" s="35">
        <f t="shared" si="482"/>
        <v>0</v>
      </c>
      <c r="BI313" s="15">
        <f t="shared" si="497"/>
        <v>2.2405064075011104E-11</v>
      </c>
      <c r="BJ313" s="28">
        <f t="shared" si="498"/>
        <v>3.8506164535446575E-12</v>
      </c>
      <c r="BK313" s="28">
        <f t="shared" si="499"/>
        <v>0.17186366620746873</v>
      </c>
      <c r="BL313" s="33"/>
      <c r="BP313" s="31"/>
      <c r="BX313" s="35">
        <f t="shared" si="465"/>
        <v>0</v>
      </c>
      <c r="BY313" s="35">
        <f t="shared" si="483"/>
        <v>0</v>
      </c>
      <c r="BZ313" s="15">
        <f t="shared" si="500"/>
        <v>1.7036071438193699E-11</v>
      </c>
      <c r="CA313" s="28">
        <f t="shared" si="501"/>
        <v>2.3929746650395159E-12</v>
      </c>
      <c r="CB313" s="28">
        <f t="shared" si="502"/>
        <v>0.14046516966785144</v>
      </c>
      <c r="CC313" s="33"/>
      <c r="CG313" s="31"/>
      <c r="CO313" s="35">
        <f t="shared" si="466"/>
        <v>0</v>
      </c>
      <c r="CP313" s="35">
        <f t="shared" si="484"/>
        <v>0</v>
      </c>
      <c r="CQ313" s="15">
        <f t="shared" si="503"/>
        <v>1.8665182469292496E-11</v>
      </c>
      <c r="CR313" s="28">
        <f t="shared" si="504"/>
        <v>3.0966428073023795E-12</v>
      </c>
      <c r="CS313" s="28">
        <f t="shared" si="505"/>
        <v>0.16590477014606747</v>
      </c>
      <c r="CT313" s="33"/>
      <c r="CX313" s="31"/>
      <c r="DF313" s="35">
        <f t="shared" si="467"/>
        <v>0</v>
      </c>
      <c r="DG313" s="35">
        <f t="shared" si="485"/>
        <v>0</v>
      </c>
      <c r="DH313" s="15">
        <f t="shared" si="506"/>
        <v>1.8154539076400695E-11</v>
      </c>
      <c r="DI313" s="28">
        <f t="shared" si="507"/>
        <v>1.8815894244502984E-12</v>
      </c>
      <c r="DJ313" s="28">
        <f t="shared" si="508"/>
        <v>0.10364291908111285</v>
      </c>
      <c r="DK313" s="33"/>
      <c r="DO313" s="31"/>
      <c r="DW313" s="35">
        <f t="shared" si="468"/>
        <v>0</v>
      </c>
      <c r="DX313" s="35">
        <f t="shared" si="486"/>
        <v>0</v>
      </c>
      <c r="DY313" s="15">
        <f t="shared" si="509"/>
        <v>1.8796326659081432E-11</v>
      </c>
      <c r="DZ313" s="28">
        <f t="shared" si="510"/>
        <v>1.8369987209478946E-12</v>
      </c>
      <c r="EA313" s="28">
        <f t="shared" si="511"/>
        <v>9.7731793784311044E-2</v>
      </c>
      <c r="EB313" s="33"/>
      <c r="EF313" s="31"/>
      <c r="EN313" s="35">
        <f t="shared" si="469"/>
        <v>0</v>
      </c>
      <c r="EO313" s="35">
        <f t="shared" si="487"/>
        <v>0</v>
      </c>
      <c r="EP313" s="15">
        <f t="shared" si="512"/>
        <v>2.0068548032583404E-11</v>
      </c>
      <c r="EQ313" s="28">
        <f t="shared" si="513"/>
        <v>3.6096088958875995E-12</v>
      </c>
      <c r="ER313" s="28">
        <f t="shared" si="514"/>
        <v>0.17986397870075199</v>
      </c>
      <c r="ES313" s="33"/>
      <c r="EW313" s="31"/>
      <c r="FE313" s="35">
        <f t="shared" si="470"/>
        <v>0</v>
      </c>
      <c r="FF313" s="35">
        <f t="shared" si="488"/>
        <v>0</v>
      </c>
      <c r="FG313" s="15">
        <f t="shared" si="515"/>
        <v>1.9388328115983347E-11</v>
      </c>
      <c r="FH313" s="28">
        <f t="shared" si="516"/>
        <v>3.3042646664553876E-12</v>
      </c>
      <c r="FI313" s="28">
        <f t="shared" si="517"/>
        <v>0.1704254563203631</v>
      </c>
      <c r="FJ313" s="33"/>
      <c r="FN313" s="31"/>
      <c r="FV313" s="35">
        <f t="shared" si="471"/>
        <v>0</v>
      </c>
      <c r="FW313" s="35">
        <f t="shared" si="489"/>
        <v>0</v>
      </c>
      <c r="FX313" s="15">
        <f t="shared" si="518"/>
        <v>1.8252013864321094E-11</v>
      </c>
      <c r="FY313" s="28">
        <f t="shared" si="519"/>
        <v>3.3086180478174078E-12</v>
      </c>
      <c r="FZ313" s="28">
        <f t="shared" si="520"/>
        <v>0.18127413623573183</v>
      </c>
      <c r="GA313" s="33"/>
      <c r="GE313" s="31"/>
      <c r="GM313" s="35">
        <f t="shared" si="472"/>
        <v>0</v>
      </c>
      <c r="GN313" s="35">
        <f t="shared" si="490"/>
        <v>0</v>
      </c>
      <c r="GO313" s="15">
        <f t="shared" si="521"/>
        <v>1.886048032867671E-11</v>
      </c>
      <c r="GP313" s="28">
        <f t="shared" si="522"/>
        <v>3.4098907624004408E-12</v>
      </c>
      <c r="GQ313" s="28">
        <f t="shared" si="523"/>
        <v>0.18079554194681985</v>
      </c>
      <c r="GR313" s="33"/>
      <c r="GV313" s="31"/>
      <c r="HD313" s="35">
        <f t="shared" si="473"/>
        <v>0</v>
      </c>
      <c r="HE313" s="35">
        <f t="shared" si="491"/>
        <v>0</v>
      </c>
      <c r="HF313" s="15">
        <f t="shared" si="524"/>
        <v>2.6568848778177492E-11</v>
      </c>
      <c r="HG313" s="28">
        <f t="shared" si="525"/>
        <v>2.4734083855996236E-12</v>
      </c>
      <c r="HH313" s="28">
        <f t="shared" si="526"/>
        <v>9.3094300255537402E-2</v>
      </c>
      <c r="HI313" s="33"/>
      <c r="HM313" s="31"/>
      <c r="HU313" s="35">
        <f t="shared" si="474"/>
        <v>0</v>
      </c>
      <c r="HV313" s="35">
        <f t="shared" si="492"/>
        <v>0</v>
      </c>
      <c r="HW313" s="15">
        <f t="shared" si="527"/>
        <v>6.1339115534394698E-20</v>
      </c>
      <c r="HX313" s="28">
        <f t="shared" si="528"/>
        <v>8.6924704375600333E-25</v>
      </c>
      <c r="HY313" s="28">
        <f t="shared" si="529"/>
        <v>1.4171170160883558E-5</v>
      </c>
      <c r="HZ313" s="33"/>
      <c r="ID313" s="31"/>
      <c r="II313" s="12"/>
      <c r="IL313" s="35">
        <f t="shared" si="475"/>
        <v>0</v>
      </c>
      <c r="IM313" s="35">
        <f t="shared" si="476"/>
        <v>0.70232584839993728</v>
      </c>
      <c r="IN313" s="15">
        <f t="shared" si="530"/>
        <v>6.0447842891195967E-12</v>
      </c>
      <c r="IO313" s="28">
        <f t="shared" si="531"/>
        <v>6.4293497625960148E-14</v>
      </c>
      <c r="IP313" s="28">
        <f t="shared" si="532"/>
        <v>1.0636193874062012E-2</v>
      </c>
      <c r="IQ313" s="33"/>
      <c r="IU313" s="31"/>
      <c r="JC313" s="35">
        <f t="shared" si="458"/>
        <v>0</v>
      </c>
      <c r="JD313" s="35">
        <f t="shared" si="477"/>
        <v>0.82952385079871938</v>
      </c>
      <c r="JE313" s="15">
        <f t="shared" si="533"/>
        <v>7.299566257630809E-12</v>
      </c>
      <c r="JF313" s="28">
        <f t="shared" si="534"/>
        <v>8.2061239758991707E-14</v>
      </c>
      <c r="JG313" s="28">
        <f t="shared" si="535"/>
        <v>1.124193367971784E-2</v>
      </c>
      <c r="JH313" s="33"/>
      <c r="JL313" s="31"/>
      <c r="JR313" s="99"/>
      <c r="JS313" s="99"/>
      <c r="JT313" s="99"/>
      <c r="JU313" s="99"/>
      <c r="JV313" s="99"/>
      <c r="JW313" s="99"/>
      <c r="JX313" s="99"/>
      <c r="JY313" s="99"/>
      <c r="JZ313" s="99"/>
      <c r="KA313" s="99"/>
      <c r="KB313" s="99"/>
      <c r="KC313" s="99"/>
      <c r="KD313" s="99"/>
      <c r="KE313" s="99"/>
      <c r="KF313" s="99"/>
      <c r="KG313" s="99"/>
      <c r="KH313" s="99"/>
      <c r="KI313" s="99"/>
      <c r="KJ313" s="99"/>
      <c r="KK313" s="99"/>
      <c r="KL313" s="99"/>
      <c r="KM313" s="99"/>
      <c r="KN313" s="99"/>
      <c r="KO313" s="99"/>
      <c r="KP313" s="99"/>
      <c r="KQ313" s="99"/>
      <c r="KR313" s="99"/>
      <c r="KS313" s="99"/>
      <c r="KT313" s="99"/>
      <c r="KU313" s="99"/>
      <c r="KV313" s="99"/>
      <c r="KW313" s="99"/>
      <c r="KX313" s="99"/>
      <c r="KY313" s="99"/>
      <c r="KZ313" s="99"/>
      <c r="LA313" s="99"/>
      <c r="LB313" s="99"/>
      <c r="LC313" s="99"/>
      <c r="LD313" s="99"/>
      <c r="LE313" s="99"/>
      <c r="LF313" s="99"/>
      <c r="LG313" s="99"/>
      <c r="LH313" s="99"/>
      <c r="LI313" s="99"/>
      <c r="LJ313" s="99"/>
      <c r="LK313" s="99"/>
      <c r="LL313" s="99"/>
      <c r="LM313" s="99"/>
      <c r="LN313" s="99"/>
      <c r="LO313" s="99"/>
      <c r="LP313" s="99"/>
      <c r="LQ313" s="99"/>
      <c r="LR313" s="99"/>
      <c r="LS313" s="99"/>
      <c r="LT313" s="99"/>
      <c r="LU313" s="99"/>
      <c r="LV313" s="99"/>
      <c r="LW313" s="99"/>
      <c r="LX313" s="99"/>
      <c r="LY313" s="99"/>
      <c r="LZ313" s="99"/>
      <c r="MA313" s="99"/>
      <c r="MB313" s="99"/>
      <c r="MC313" s="99"/>
      <c r="MD313" s="99"/>
      <c r="ME313" s="99"/>
      <c r="MF313" s="99"/>
    </row>
    <row r="314" spans="1:344" ht="17.25" customHeight="1" x14ac:dyDescent="0.25">
      <c r="A314" s="156"/>
      <c r="B314" s="81" t="s">
        <v>3</v>
      </c>
      <c r="C314" s="82">
        <v>45448</v>
      </c>
      <c r="D314" s="49"/>
      <c r="G314" s="89">
        <f t="shared" si="544"/>
        <v>0</v>
      </c>
      <c r="H314" s="35">
        <f t="shared" si="460"/>
        <v>0</v>
      </c>
      <c r="I314" s="39"/>
      <c r="L314" s="89">
        <f t="shared" si="461"/>
        <v>0</v>
      </c>
      <c r="M314" s="35">
        <f t="shared" si="478"/>
        <v>0</v>
      </c>
      <c r="N314" s="35">
        <f t="shared" si="479"/>
        <v>0</v>
      </c>
      <c r="O314" s="97" t="e">
        <f>SUM($Z314,$BH314,$AQ314,$BY314,$CP314,$DG314,$DX314,$EO314,$FF314,$FW314,$GN314)/D314</f>
        <v>#DIV/0!</v>
      </c>
      <c r="P314" s="150"/>
      <c r="Q314" s="132">
        <f t="shared" si="543"/>
        <v>0</v>
      </c>
      <c r="R314" s="134">
        <f t="shared" si="539"/>
        <v>0</v>
      </c>
      <c r="S314" s="136">
        <f t="shared" si="540"/>
        <v>0</v>
      </c>
      <c r="T314" s="138">
        <f t="shared" si="541"/>
        <v>0</v>
      </c>
      <c r="U314" s="144">
        <f t="shared" si="542"/>
        <v>0</v>
      </c>
      <c r="W314" s="11">
        <v>0</v>
      </c>
      <c r="X314" s="1">
        <v>0</v>
      </c>
      <c r="Y314" s="35">
        <f t="shared" si="462"/>
        <v>0</v>
      </c>
      <c r="Z314" s="35">
        <f t="shared" si="480"/>
        <v>0</v>
      </c>
      <c r="AA314" s="15">
        <f t="shared" si="493"/>
        <v>4.3394931183951705E-14</v>
      </c>
      <c r="AB314" s="43">
        <f t="shared" si="537"/>
        <v>9.0167394150520892E-16</v>
      </c>
      <c r="AC314" s="43">
        <f t="shared" si="538"/>
        <v>2.0778324032431364E-2</v>
      </c>
      <c r="AD314" s="33"/>
      <c r="AH314" s="31"/>
      <c r="AP314" s="35">
        <f t="shared" si="463"/>
        <v>0</v>
      </c>
      <c r="AQ314" s="35">
        <f t="shared" si="481"/>
        <v>0</v>
      </c>
      <c r="AR314" s="15">
        <f t="shared" si="494"/>
        <v>1.3104839721036307E-11</v>
      </c>
      <c r="AS314" s="28">
        <f t="shared" si="495"/>
        <v>1.8799349837897307E-12</v>
      </c>
      <c r="AT314" s="28">
        <f t="shared" si="496"/>
        <v>0.14345348923054732</v>
      </c>
      <c r="AU314" s="33"/>
      <c r="AY314" s="31"/>
      <c r="BG314" s="35">
        <f t="shared" si="464"/>
        <v>0</v>
      </c>
      <c r="BH314" s="35">
        <f t="shared" si="482"/>
        <v>0</v>
      </c>
      <c r="BI314" s="15">
        <f t="shared" si="497"/>
        <v>1.8048523838203391E-11</v>
      </c>
      <c r="BJ314" s="28">
        <f t="shared" si="498"/>
        <v>2.8879623401584933E-12</v>
      </c>
      <c r="BK314" s="28">
        <f t="shared" si="499"/>
        <v>0.16001099957247089</v>
      </c>
      <c r="BL314" s="33"/>
      <c r="BP314" s="31"/>
      <c r="BX314" s="35">
        <f t="shared" si="465"/>
        <v>0</v>
      </c>
      <c r="BY314" s="35">
        <f t="shared" si="483"/>
        <v>0</v>
      </c>
      <c r="BZ314" s="15">
        <f t="shared" si="500"/>
        <v>1.3723501991878257E-11</v>
      </c>
      <c r="CA314" s="28">
        <f t="shared" si="501"/>
        <v>1.7947309987796369E-12</v>
      </c>
      <c r="CB314" s="28">
        <f t="shared" si="502"/>
        <v>0.13077791658730997</v>
      </c>
      <c r="CC314" s="33"/>
      <c r="CG314" s="31"/>
      <c r="CO314" s="35">
        <f t="shared" si="466"/>
        <v>0</v>
      </c>
      <c r="CP314" s="35">
        <f t="shared" si="484"/>
        <v>0</v>
      </c>
      <c r="CQ314" s="15">
        <f t="shared" si="503"/>
        <v>1.5035841433596733E-11</v>
      </c>
      <c r="CR314" s="28">
        <f t="shared" si="504"/>
        <v>2.3224821054767847E-12</v>
      </c>
      <c r="CS314" s="28">
        <f t="shared" si="505"/>
        <v>0.15446306186013178</v>
      </c>
      <c r="CT314" s="33"/>
      <c r="CX314" s="31"/>
      <c r="DF314" s="35">
        <f t="shared" si="467"/>
        <v>0</v>
      </c>
      <c r="DG314" s="35">
        <f t="shared" si="485"/>
        <v>0</v>
      </c>
      <c r="DH314" s="15">
        <f t="shared" si="506"/>
        <v>1.4624489811545006E-11</v>
      </c>
      <c r="DI314" s="28">
        <f t="shared" si="507"/>
        <v>1.4111920683377239E-12</v>
      </c>
      <c r="DJ314" s="28">
        <f t="shared" si="508"/>
        <v>9.6495131558277478E-2</v>
      </c>
      <c r="DK314" s="33"/>
      <c r="DO314" s="31"/>
      <c r="DW314" s="35">
        <f t="shared" si="468"/>
        <v>0</v>
      </c>
      <c r="DX314" s="35">
        <f t="shared" si="486"/>
        <v>0</v>
      </c>
      <c r="DY314" s="15">
        <f t="shared" si="509"/>
        <v>1.5141485364260043E-11</v>
      </c>
      <c r="DZ314" s="28">
        <f t="shared" si="510"/>
        <v>1.377749040710921E-12</v>
      </c>
      <c r="EA314" s="28">
        <f t="shared" si="511"/>
        <v>9.0991670075048214E-2</v>
      </c>
      <c r="EB314" s="33"/>
      <c r="EF314" s="31"/>
      <c r="EN314" s="35">
        <f t="shared" si="469"/>
        <v>0</v>
      </c>
      <c r="EO314" s="35">
        <f t="shared" si="487"/>
        <v>0</v>
      </c>
      <c r="EP314" s="15">
        <f t="shared" si="512"/>
        <v>1.6166330359581075E-11</v>
      </c>
      <c r="EQ314" s="28">
        <f t="shared" si="513"/>
        <v>2.7072066719156998E-12</v>
      </c>
      <c r="ER314" s="28">
        <f t="shared" si="514"/>
        <v>0.1674595663765622</v>
      </c>
      <c r="ES314" s="33"/>
      <c r="EW314" s="31"/>
      <c r="FE314" s="35">
        <f t="shared" si="470"/>
        <v>0</v>
      </c>
      <c r="FF314" s="35">
        <f t="shared" si="488"/>
        <v>0</v>
      </c>
      <c r="FG314" s="15">
        <f t="shared" si="515"/>
        <v>1.5618375426764365E-11</v>
      </c>
      <c r="FH314" s="28">
        <f t="shared" si="516"/>
        <v>2.4781984998415408E-12</v>
      </c>
      <c r="FI314" s="28">
        <f t="shared" si="517"/>
        <v>0.15867197657413115</v>
      </c>
      <c r="FJ314" s="33"/>
      <c r="FN314" s="31"/>
      <c r="FV314" s="35">
        <f t="shared" si="471"/>
        <v>0</v>
      </c>
      <c r="FW314" s="35">
        <f t="shared" si="489"/>
        <v>0</v>
      </c>
      <c r="FX314" s="15">
        <f t="shared" si="518"/>
        <v>1.4703011168480882E-11</v>
      </c>
      <c r="FY314" s="28">
        <f t="shared" si="519"/>
        <v>2.4814635358630558E-12</v>
      </c>
      <c r="FZ314" s="28">
        <f t="shared" si="520"/>
        <v>0.16877247166775031</v>
      </c>
      <c r="GA314" s="33"/>
      <c r="GE314" s="31"/>
      <c r="GM314" s="35">
        <f t="shared" si="472"/>
        <v>0</v>
      </c>
      <c r="GN314" s="35">
        <f t="shared" si="490"/>
        <v>0</v>
      </c>
      <c r="GO314" s="15">
        <f t="shared" si="521"/>
        <v>1.5193164709211796E-11</v>
      </c>
      <c r="GP314" s="28">
        <f t="shared" si="522"/>
        <v>2.5574180718003308E-12</v>
      </c>
      <c r="GQ314" s="28">
        <f t="shared" si="523"/>
        <v>0.16832688388152192</v>
      </c>
      <c r="GR314" s="33"/>
      <c r="GV314" s="31"/>
      <c r="HD314" s="35">
        <f t="shared" si="473"/>
        <v>0</v>
      </c>
      <c r="HE314" s="35">
        <f t="shared" si="491"/>
        <v>0</v>
      </c>
      <c r="HF314" s="15">
        <f t="shared" si="524"/>
        <v>2.1402683737976311E-11</v>
      </c>
      <c r="HG314" s="28">
        <f t="shared" si="525"/>
        <v>1.8550562891997175E-12</v>
      </c>
      <c r="HH314" s="28">
        <f t="shared" si="526"/>
        <v>8.6674003686189993E-2</v>
      </c>
      <c r="HI314" s="33"/>
      <c r="HM314" s="31"/>
      <c r="HU314" s="35">
        <f t="shared" si="474"/>
        <v>0</v>
      </c>
      <c r="HV314" s="35">
        <f t="shared" si="492"/>
        <v>0</v>
      </c>
      <c r="HW314" s="15">
        <f t="shared" si="527"/>
        <v>4.9412065291595738E-20</v>
      </c>
      <c r="HX314" s="28">
        <f t="shared" si="528"/>
        <v>6.5193528281700249E-25</v>
      </c>
      <c r="HY314" s="28">
        <f t="shared" si="529"/>
        <v>1.3193848080822622E-5</v>
      </c>
      <c r="HZ314" s="33"/>
      <c r="ID314" s="31"/>
      <c r="II314" s="12"/>
      <c r="IL314" s="35">
        <f t="shared" si="475"/>
        <v>0</v>
      </c>
      <c r="IM314" s="35">
        <f t="shared" si="476"/>
        <v>0.6538895829848993</v>
      </c>
      <c r="IN314" s="15">
        <f t="shared" si="530"/>
        <v>4.8694095662352299E-12</v>
      </c>
      <c r="IO314" s="28">
        <f t="shared" si="531"/>
        <v>4.8220123219470108E-14</v>
      </c>
      <c r="IP314" s="28">
        <f t="shared" si="532"/>
        <v>9.9026632620577357E-3</v>
      </c>
      <c r="IQ314" s="33"/>
      <c r="IU314" s="31"/>
      <c r="JC314" s="35">
        <f t="shared" si="458"/>
        <v>0</v>
      </c>
      <c r="JD314" s="35">
        <f t="shared" si="477"/>
        <v>0.77231530935505643</v>
      </c>
      <c r="JE314" s="15">
        <f t="shared" si="533"/>
        <v>5.880206151980374E-12</v>
      </c>
      <c r="JF314" s="28">
        <f t="shared" si="534"/>
        <v>6.1545929819243783E-14</v>
      </c>
      <c r="JG314" s="28">
        <f t="shared" si="535"/>
        <v>1.0466627908702817E-2</v>
      </c>
      <c r="JH314" s="33"/>
      <c r="JL314" s="31"/>
      <c r="JR314" s="99"/>
      <c r="JS314" s="99"/>
      <c r="JT314" s="99"/>
      <c r="JU314" s="99"/>
      <c r="JV314" s="99"/>
      <c r="JW314" s="99"/>
      <c r="JX314" s="99"/>
      <c r="JY314" s="99"/>
      <c r="JZ314" s="99"/>
      <c r="KA314" s="99"/>
      <c r="KB314" s="99"/>
      <c r="KC314" s="99"/>
      <c r="KD314" s="99"/>
      <c r="KE314" s="99"/>
      <c r="KF314" s="99"/>
      <c r="KG314" s="99"/>
      <c r="KH314" s="99"/>
      <c r="KI314" s="99"/>
      <c r="KJ314" s="99"/>
      <c r="KK314" s="99"/>
      <c r="KL314" s="99"/>
      <c r="KM314" s="99"/>
      <c r="KN314" s="99"/>
      <c r="KO314" s="99"/>
      <c r="KP314" s="99"/>
      <c r="KQ314" s="99"/>
      <c r="KR314" s="99"/>
      <c r="KS314" s="99"/>
      <c r="KT314" s="99"/>
      <c r="KU314" s="99"/>
      <c r="KV314" s="99"/>
      <c r="KW314" s="99"/>
      <c r="KX314" s="99"/>
      <c r="KY314" s="99"/>
      <c r="KZ314" s="99"/>
      <c r="LA314" s="99"/>
      <c r="LB314" s="99"/>
      <c r="LC314" s="99"/>
      <c r="LD314" s="99"/>
      <c r="LE314" s="99"/>
      <c r="LF314" s="99"/>
      <c r="LG314" s="99"/>
      <c r="LH314" s="99"/>
      <c r="LI314" s="99"/>
      <c r="LJ314" s="99"/>
      <c r="LK314" s="99"/>
      <c r="LL314" s="99"/>
      <c r="LM314" s="99"/>
      <c r="LN314" s="99"/>
      <c r="LO314" s="99"/>
      <c r="LP314" s="99"/>
      <c r="LQ314" s="99"/>
      <c r="LR314" s="99"/>
      <c r="LS314" s="99"/>
      <c r="LT314" s="99"/>
      <c r="LU314" s="99"/>
      <c r="LV314" s="99"/>
      <c r="LW314" s="99"/>
      <c r="LX314" s="99"/>
      <c r="LY314" s="99"/>
      <c r="LZ314" s="99"/>
      <c r="MA314" s="99"/>
      <c r="MB314" s="99"/>
      <c r="MC314" s="99"/>
      <c r="MD314" s="99"/>
      <c r="ME314" s="99"/>
      <c r="MF314" s="99"/>
    </row>
    <row r="315" spans="1:344" ht="17.25" customHeight="1" x14ac:dyDescent="0.25">
      <c r="A315" s="156"/>
      <c r="B315" s="81" t="s">
        <v>4</v>
      </c>
      <c r="C315" s="82">
        <v>45449</v>
      </c>
      <c r="D315" s="49"/>
      <c r="G315" s="89">
        <f t="shared" si="544"/>
        <v>0</v>
      </c>
      <c r="H315" s="35">
        <f t="shared" si="460"/>
        <v>0</v>
      </c>
      <c r="I315" s="39"/>
      <c r="L315" s="89">
        <f t="shared" si="461"/>
        <v>0</v>
      </c>
      <c r="M315" s="35">
        <f t="shared" si="478"/>
        <v>0</v>
      </c>
      <c r="N315" s="35">
        <f t="shared" si="479"/>
        <v>0</v>
      </c>
      <c r="O315" s="97" t="e">
        <f>SUM($Z315,$BH315,$AQ315,$BY315,$CP315,$DG315,$DX315,$EO315,$FF315,$FW315,$GN315)/D315</f>
        <v>#DIV/0!</v>
      </c>
      <c r="P315" s="150"/>
      <c r="Q315" s="132">
        <f t="shared" si="543"/>
        <v>0</v>
      </c>
      <c r="R315" s="134">
        <f t="shared" si="539"/>
        <v>0</v>
      </c>
      <c r="S315" s="136">
        <f t="shared" si="540"/>
        <v>0</v>
      </c>
      <c r="T315" s="138">
        <f t="shared" si="541"/>
        <v>0</v>
      </c>
      <c r="U315" s="144">
        <f t="shared" si="542"/>
        <v>0</v>
      </c>
      <c r="W315" s="11">
        <v>0</v>
      </c>
      <c r="X315" s="1">
        <v>0</v>
      </c>
      <c r="Y315" s="35">
        <f t="shared" si="462"/>
        <v>0</v>
      </c>
      <c r="Z315" s="35">
        <f t="shared" si="480"/>
        <v>0</v>
      </c>
      <c r="AA315" s="15">
        <f t="shared" si="493"/>
        <v>3.4957027898183322E-14</v>
      </c>
      <c r="AB315" s="43">
        <f t="shared" si="537"/>
        <v>6.7625545612890669E-16</v>
      </c>
      <c r="AC315" s="43">
        <f t="shared" si="538"/>
        <v>1.9345336168125751E-2</v>
      </c>
      <c r="AD315" s="33"/>
      <c r="AH315" s="31"/>
      <c r="AP315" s="35">
        <f t="shared" si="463"/>
        <v>0</v>
      </c>
      <c r="AQ315" s="35">
        <f t="shared" si="481"/>
        <v>0</v>
      </c>
      <c r="AR315" s="15">
        <f t="shared" si="494"/>
        <v>1.0556676441945915E-11</v>
      </c>
      <c r="AS315" s="28">
        <f t="shared" si="495"/>
        <v>1.4099512378422981E-12</v>
      </c>
      <c r="AT315" s="28">
        <f t="shared" si="496"/>
        <v>0.13356014514568199</v>
      </c>
      <c r="AU315" s="33"/>
      <c r="AY315" s="31"/>
      <c r="BG315" s="35">
        <f t="shared" si="464"/>
        <v>0</v>
      </c>
      <c r="BH315" s="35">
        <f t="shared" si="482"/>
        <v>0</v>
      </c>
      <c r="BI315" s="15">
        <f t="shared" si="497"/>
        <v>1.453908864744162E-11</v>
      </c>
      <c r="BJ315" s="28">
        <f t="shared" si="498"/>
        <v>2.16597175511887E-12</v>
      </c>
      <c r="BK315" s="28">
        <f t="shared" si="499"/>
        <v>0.1489757582226453</v>
      </c>
      <c r="BL315" s="33"/>
      <c r="BP315" s="31"/>
      <c r="BX315" s="35">
        <f t="shared" si="465"/>
        <v>0</v>
      </c>
      <c r="BY315" s="35">
        <f t="shared" si="483"/>
        <v>0</v>
      </c>
      <c r="BZ315" s="15">
        <f t="shared" si="500"/>
        <v>1.1055043271235261E-11</v>
      </c>
      <c r="CA315" s="28">
        <f t="shared" si="501"/>
        <v>1.3460482490847276E-12</v>
      </c>
      <c r="CB315" s="28">
        <f t="shared" si="502"/>
        <v>0.12175874992611618</v>
      </c>
      <c r="CC315" s="33"/>
      <c r="CG315" s="31"/>
      <c r="CO315" s="35">
        <f t="shared" si="466"/>
        <v>0</v>
      </c>
      <c r="CP315" s="35">
        <f t="shared" si="484"/>
        <v>0</v>
      </c>
      <c r="CQ315" s="15">
        <f t="shared" si="503"/>
        <v>1.2112205599286255E-11</v>
      </c>
      <c r="CR315" s="28">
        <f t="shared" si="504"/>
        <v>1.7418615791075884E-12</v>
      </c>
      <c r="CS315" s="28">
        <f t="shared" si="505"/>
        <v>0.14381043690426062</v>
      </c>
      <c r="CT315" s="33"/>
      <c r="CX315" s="31"/>
      <c r="DF315" s="35">
        <f t="shared" si="467"/>
        <v>0</v>
      </c>
      <c r="DG315" s="35">
        <f t="shared" si="485"/>
        <v>0</v>
      </c>
      <c r="DH315" s="15">
        <f t="shared" si="506"/>
        <v>1.1780839014855698E-11</v>
      </c>
      <c r="DI315" s="28">
        <f t="shared" si="507"/>
        <v>1.0583940512532929E-12</v>
      </c>
      <c r="DJ315" s="28">
        <f t="shared" si="508"/>
        <v>8.9840294899085932E-2</v>
      </c>
      <c r="DK315" s="33"/>
      <c r="DO315" s="31"/>
      <c r="DW315" s="35">
        <f t="shared" si="468"/>
        <v>0</v>
      </c>
      <c r="DX315" s="35">
        <f t="shared" si="486"/>
        <v>0</v>
      </c>
      <c r="DY315" s="15">
        <f t="shared" si="509"/>
        <v>1.2197307654542813E-11</v>
      </c>
      <c r="DZ315" s="28">
        <f t="shared" si="510"/>
        <v>1.0333117805331908E-12</v>
      </c>
      <c r="EA315" s="28">
        <f t="shared" si="511"/>
        <v>8.4716382483665573E-2</v>
      </c>
      <c r="EB315" s="33"/>
      <c r="EF315" s="31"/>
      <c r="EN315" s="35">
        <f t="shared" si="469"/>
        <v>0</v>
      </c>
      <c r="EO315" s="35">
        <f t="shared" si="487"/>
        <v>0</v>
      </c>
      <c r="EP315" s="15">
        <f t="shared" si="512"/>
        <v>1.3022877234106979E-11</v>
      </c>
      <c r="EQ315" s="28">
        <f t="shared" si="513"/>
        <v>2.0304050039367751E-12</v>
      </c>
      <c r="ER315" s="28">
        <f t="shared" si="514"/>
        <v>0.15591063076438549</v>
      </c>
      <c r="ES315" s="33"/>
      <c r="EW315" s="31"/>
      <c r="FE315" s="35">
        <f t="shared" si="470"/>
        <v>0</v>
      </c>
      <c r="FF315" s="35">
        <f t="shared" si="488"/>
        <v>0</v>
      </c>
      <c r="FG315" s="15">
        <f t="shared" si="515"/>
        <v>1.2581469093782403E-11</v>
      </c>
      <c r="FH315" s="28">
        <f t="shared" si="516"/>
        <v>1.8586488748811555E-12</v>
      </c>
      <c r="FI315" s="28">
        <f t="shared" si="517"/>
        <v>0.14772908163798418</v>
      </c>
      <c r="FJ315" s="33"/>
      <c r="FN315" s="31"/>
      <c r="FV315" s="35">
        <f t="shared" si="471"/>
        <v>0</v>
      </c>
      <c r="FW315" s="35">
        <f t="shared" si="489"/>
        <v>0</v>
      </c>
      <c r="FX315" s="15">
        <f t="shared" si="518"/>
        <v>1.1844092330165156E-11</v>
      </c>
      <c r="FY315" s="28">
        <f t="shared" si="519"/>
        <v>1.8610976518972919E-12</v>
      </c>
      <c r="FZ315" s="28">
        <f t="shared" si="520"/>
        <v>0.15713299086307786</v>
      </c>
      <c r="GA315" s="33"/>
      <c r="GE315" s="31"/>
      <c r="GM315" s="35">
        <f t="shared" si="472"/>
        <v>0</v>
      </c>
      <c r="GN315" s="35">
        <f t="shared" si="490"/>
        <v>0</v>
      </c>
      <c r="GO315" s="15">
        <f t="shared" si="521"/>
        <v>1.2238938237976168E-11</v>
      </c>
      <c r="GP315" s="28">
        <f t="shared" si="522"/>
        <v>1.9180635538502479E-12</v>
      </c>
      <c r="GQ315" s="28">
        <f t="shared" si="523"/>
        <v>0.15671813326900316</v>
      </c>
      <c r="GR315" s="33"/>
      <c r="GV315" s="31"/>
      <c r="HD315" s="35">
        <f t="shared" si="473"/>
        <v>0</v>
      </c>
      <c r="HE315" s="35">
        <f t="shared" si="491"/>
        <v>0</v>
      </c>
      <c r="HF315" s="15">
        <f t="shared" si="524"/>
        <v>1.7241050788925363E-11</v>
      </c>
      <c r="HG315" s="28">
        <f t="shared" si="525"/>
        <v>1.3912922168997881E-12</v>
      </c>
      <c r="HH315" s="28">
        <f t="shared" si="526"/>
        <v>8.069648619059068E-2</v>
      </c>
      <c r="HI315" s="33"/>
      <c r="HM315" s="31"/>
      <c r="HU315" s="35">
        <f t="shared" si="474"/>
        <v>0</v>
      </c>
      <c r="HV315" s="35">
        <f t="shared" si="492"/>
        <v>0</v>
      </c>
      <c r="HW315" s="15">
        <f t="shared" si="527"/>
        <v>3.9804163707118787E-20</v>
      </c>
      <c r="HX315" s="28">
        <f t="shared" si="528"/>
        <v>4.8895146211275189E-25</v>
      </c>
      <c r="HY315" s="28">
        <f t="shared" si="529"/>
        <v>1.228392752352451E-5</v>
      </c>
      <c r="HZ315" s="33"/>
      <c r="ID315" s="31"/>
      <c r="II315" s="12"/>
      <c r="IL315" s="35">
        <f t="shared" si="475"/>
        <v>0</v>
      </c>
      <c r="IM315" s="35">
        <f t="shared" si="476"/>
        <v>0.60879374966913014</v>
      </c>
      <c r="IN315" s="15">
        <f t="shared" si="530"/>
        <v>3.9225799283561577E-12</v>
      </c>
      <c r="IO315" s="28">
        <f t="shared" si="531"/>
        <v>3.6165092414602584E-14</v>
      </c>
      <c r="IP315" s="28">
        <f t="shared" si="532"/>
        <v>9.2197209681227198E-3</v>
      </c>
      <c r="IQ315" s="33"/>
      <c r="IU315" s="31"/>
      <c r="JC315" s="35">
        <f t="shared" si="458"/>
        <v>0</v>
      </c>
      <c r="JD315" s="35">
        <f t="shared" si="477"/>
        <v>0.71905218456460718</v>
      </c>
      <c r="JE315" s="15">
        <f t="shared" si="533"/>
        <v>4.7368327335397465E-12</v>
      </c>
      <c r="JF315" s="28">
        <f t="shared" si="534"/>
        <v>4.6159447364432837E-14</v>
      </c>
      <c r="JG315" s="28">
        <f t="shared" si="535"/>
        <v>9.7447915012060706E-3</v>
      </c>
      <c r="JH315" s="33"/>
      <c r="JL315" s="31"/>
      <c r="JR315" s="99"/>
      <c r="JS315" s="99"/>
      <c r="JT315" s="99"/>
      <c r="JU315" s="99"/>
      <c r="JV315" s="99"/>
      <c r="JW315" s="99"/>
      <c r="JX315" s="99"/>
      <c r="JY315" s="99"/>
      <c r="JZ315" s="99"/>
      <c r="KA315" s="99"/>
      <c r="KB315" s="99"/>
      <c r="KC315" s="99"/>
      <c r="KD315" s="99"/>
      <c r="KE315" s="99"/>
      <c r="KF315" s="99"/>
      <c r="KG315" s="99"/>
      <c r="KH315" s="99"/>
      <c r="KI315" s="99"/>
      <c r="KJ315" s="99"/>
      <c r="KK315" s="99"/>
      <c r="KL315" s="99"/>
      <c r="KM315" s="99"/>
      <c r="KN315" s="99"/>
      <c r="KO315" s="99"/>
      <c r="KP315" s="99"/>
      <c r="KQ315" s="99"/>
      <c r="KR315" s="99"/>
      <c r="KS315" s="99"/>
      <c r="KT315" s="99"/>
      <c r="KU315" s="99"/>
      <c r="KV315" s="99"/>
      <c r="KW315" s="99"/>
      <c r="KX315" s="99"/>
      <c r="KY315" s="99"/>
      <c r="KZ315" s="99"/>
      <c r="LA315" s="99"/>
      <c r="LB315" s="99"/>
      <c r="LC315" s="99"/>
      <c r="LD315" s="99"/>
      <c r="LE315" s="99"/>
      <c r="LF315" s="99"/>
      <c r="LG315" s="99"/>
      <c r="LH315" s="99"/>
      <c r="LI315" s="99"/>
      <c r="LJ315" s="99"/>
      <c r="LK315" s="99"/>
      <c r="LL315" s="99"/>
      <c r="LM315" s="99"/>
      <c r="LN315" s="99"/>
      <c r="LO315" s="99"/>
      <c r="LP315" s="99"/>
      <c r="LQ315" s="99"/>
      <c r="LR315" s="99"/>
      <c r="LS315" s="99"/>
      <c r="LT315" s="99"/>
      <c r="LU315" s="99"/>
      <c r="LV315" s="99"/>
      <c r="LW315" s="99"/>
      <c r="LX315" s="99"/>
      <c r="LY315" s="99"/>
      <c r="LZ315" s="99"/>
      <c r="MA315" s="99"/>
      <c r="MB315" s="99"/>
      <c r="MC315" s="99"/>
      <c r="MD315" s="99"/>
      <c r="ME315" s="99"/>
      <c r="MF315" s="99"/>
    </row>
    <row r="316" spans="1:344" ht="17.25" customHeight="1" x14ac:dyDescent="0.25">
      <c r="A316" s="156"/>
      <c r="B316" s="81" t="s">
        <v>5</v>
      </c>
      <c r="C316" s="82">
        <v>45450</v>
      </c>
      <c r="D316" s="49"/>
      <c r="G316" s="89">
        <f t="shared" si="544"/>
        <v>0</v>
      </c>
      <c r="H316" s="35">
        <f t="shared" si="460"/>
        <v>0</v>
      </c>
      <c r="I316" s="39"/>
      <c r="L316" s="89">
        <f t="shared" si="461"/>
        <v>0</v>
      </c>
      <c r="M316" s="35">
        <f t="shared" si="478"/>
        <v>0</v>
      </c>
      <c r="N316" s="35">
        <f t="shared" si="479"/>
        <v>0</v>
      </c>
      <c r="O316" s="97" t="e">
        <f>SUM($Z316,$BH316,$AQ316,$BY316,$CP316,$DG316,$DX316,$EO316,$FF316,$FW316,$GN316)/D316</f>
        <v>#DIV/0!</v>
      </c>
      <c r="P316" s="150"/>
      <c r="Q316" s="132">
        <f t="shared" si="543"/>
        <v>0</v>
      </c>
      <c r="R316" s="134">
        <f t="shared" si="539"/>
        <v>0</v>
      </c>
      <c r="S316" s="136">
        <f t="shared" si="540"/>
        <v>0</v>
      </c>
      <c r="T316" s="138">
        <f t="shared" si="541"/>
        <v>0</v>
      </c>
      <c r="U316" s="144">
        <f t="shared" si="542"/>
        <v>0</v>
      </c>
      <c r="W316" s="11">
        <v>0</v>
      </c>
      <c r="X316" s="1">
        <v>0</v>
      </c>
      <c r="Y316" s="35">
        <f t="shared" si="462"/>
        <v>0</v>
      </c>
      <c r="Z316" s="35">
        <f t="shared" si="480"/>
        <v>0</v>
      </c>
      <c r="AA316" s="15">
        <f t="shared" si="493"/>
        <v>2.8159828029092123E-14</v>
      </c>
      <c r="AB316" s="43">
        <f t="shared" si="537"/>
        <v>5.0719159209668004E-16</v>
      </c>
      <c r="AC316" s="43">
        <f t="shared" si="538"/>
        <v>1.8011175053082595E-2</v>
      </c>
      <c r="AD316" s="33"/>
      <c r="AH316" s="31"/>
      <c r="AP316" s="35">
        <f t="shared" si="463"/>
        <v>0</v>
      </c>
      <c r="AQ316" s="35">
        <f t="shared" si="481"/>
        <v>0</v>
      </c>
      <c r="AR316" s="15">
        <f t="shared" si="494"/>
        <v>8.5039893560119879E-12</v>
      </c>
      <c r="AS316" s="28">
        <f t="shared" si="495"/>
        <v>1.0574634283817235E-12</v>
      </c>
      <c r="AT316" s="28">
        <f t="shared" si="496"/>
        <v>0.12434910065287633</v>
      </c>
      <c r="AU316" s="33"/>
      <c r="AY316" s="31"/>
      <c r="BG316" s="35">
        <f t="shared" si="464"/>
        <v>0</v>
      </c>
      <c r="BH316" s="35">
        <f t="shared" si="482"/>
        <v>0</v>
      </c>
      <c r="BI316" s="15">
        <f t="shared" si="497"/>
        <v>1.1712043632661305E-11</v>
      </c>
      <c r="BJ316" s="28">
        <f t="shared" si="498"/>
        <v>1.6244788163391525E-12</v>
      </c>
      <c r="BK316" s="28">
        <f t="shared" si="499"/>
        <v>0.1387015680003939</v>
      </c>
      <c r="BL316" s="33"/>
      <c r="BP316" s="31"/>
      <c r="BX316" s="35">
        <f t="shared" si="465"/>
        <v>0</v>
      </c>
      <c r="BY316" s="35">
        <f t="shared" si="483"/>
        <v>0</v>
      </c>
      <c r="BZ316" s="15">
        <f t="shared" si="500"/>
        <v>8.9054515240506279E-12</v>
      </c>
      <c r="CA316" s="28">
        <f t="shared" si="501"/>
        <v>1.0095361868135457E-12</v>
      </c>
      <c r="CB316" s="28">
        <f t="shared" si="502"/>
        <v>0.11336159475879783</v>
      </c>
      <c r="CC316" s="33"/>
      <c r="CG316" s="31"/>
      <c r="CO316" s="35">
        <f t="shared" si="466"/>
        <v>0</v>
      </c>
      <c r="CP316" s="35">
        <f t="shared" si="484"/>
        <v>0</v>
      </c>
      <c r="CQ316" s="15">
        <f t="shared" si="503"/>
        <v>9.757054510536153E-12</v>
      </c>
      <c r="CR316" s="28">
        <f t="shared" si="504"/>
        <v>1.3063961843306914E-12</v>
      </c>
      <c r="CS316" s="28">
        <f t="shared" si="505"/>
        <v>0.13389247573844953</v>
      </c>
      <c r="CT316" s="33"/>
      <c r="CX316" s="31"/>
      <c r="DF316" s="35">
        <f t="shared" si="467"/>
        <v>0</v>
      </c>
      <c r="DG316" s="35">
        <f t="shared" si="485"/>
        <v>0</v>
      </c>
      <c r="DH316" s="15">
        <f t="shared" si="506"/>
        <v>9.4901203175226461E-12</v>
      </c>
      <c r="DI316" s="28">
        <f t="shared" si="507"/>
        <v>7.9379553843996976E-13</v>
      </c>
      <c r="DJ316" s="28">
        <f t="shared" si="508"/>
        <v>8.3644412492252421E-2</v>
      </c>
      <c r="DK316" s="33"/>
      <c r="DO316" s="31"/>
      <c r="DW316" s="35">
        <f t="shared" si="468"/>
        <v>0</v>
      </c>
      <c r="DX316" s="35">
        <f t="shared" si="486"/>
        <v>0</v>
      </c>
      <c r="DY316" s="15">
        <f t="shared" si="509"/>
        <v>9.8256089439372669E-12</v>
      </c>
      <c r="DZ316" s="28">
        <f t="shared" si="510"/>
        <v>7.7498383539989312E-13</v>
      </c>
      <c r="EA316" s="28">
        <f t="shared" si="511"/>
        <v>7.8873873346861051E-2</v>
      </c>
      <c r="EB316" s="33"/>
      <c r="EF316" s="31"/>
      <c r="EN316" s="35">
        <f t="shared" si="469"/>
        <v>0</v>
      </c>
      <c r="EO316" s="35">
        <f t="shared" si="487"/>
        <v>0</v>
      </c>
      <c r="EP316" s="15">
        <f t="shared" si="512"/>
        <v>1.0490651105252844E-11</v>
      </c>
      <c r="EQ316" s="28">
        <f t="shared" si="513"/>
        <v>1.5228037529525813E-12</v>
      </c>
      <c r="ER316" s="28">
        <f t="shared" si="514"/>
        <v>0.14515817347028995</v>
      </c>
      <c r="ES316" s="33"/>
      <c r="EW316" s="31"/>
      <c r="FE316" s="35">
        <f t="shared" si="470"/>
        <v>0</v>
      </c>
      <c r="FF316" s="35">
        <f t="shared" si="488"/>
        <v>0</v>
      </c>
      <c r="FG316" s="15">
        <f t="shared" si="515"/>
        <v>1.0135072325546936E-11</v>
      </c>
      <c r="FH316" s="28">
        <f t="shared" si="516"/>
        <v>1.3939866561608665E-12</v>
      </c>
      <c r="FI316" s="28">
        <f t="shared" si="517"/>
        <v>0.13754086911122665</v>
      </c>
      <c r="FJ316" s="33"/>
      <c r="FN316" s="31"/>
      <c r="FV316" s="35">
        <f t="shared" si="471"/>
        <v>0</v>
      </c>
      <c r="FW316" s="35">
        <f t="shared" si="489"/>
        <v>0</v>
      </c>
      <c r="FX316" s="15">
        <f t="shared" si="518"/>
        <v>9.5410743770774875E-12</v>
      </c>
      <c r="FY316" s="28">
        <f t="shared" si="519"/>
        <v>1.395823238922969E-12</v>
      </c>
      <c r="FZ316" s="28">
        <f t="shared" si="520"/>
        <v>0.14629623287252075</v>
      </c>
      <c r="GA316" s="33"/>
      <c r="GE316" s="31"/>
      <c r="GM316" s="35">
        <f t="shared" si="472"/>
        <v>0</v>
      </c>
      <c r="GN316" s="35">
        <f t="shared" si="490"/>
        <v>0</v>
      </c>
      <c r="GO316" s="15">
        <f t="shared" si="521"/>
        <v>9.8591446917030257E-12</v>
      </c>
      <c r="GP316" s="28">
        <f t="shared" si="522"/>
        <v>1.4385476653876859E-12</v>
      </c>
      <c r="GQ316" s="28">
        <f t="shared" si="523"/>
        <v>0.14590998614700293</v>
      </c>
      <c r="GR316" s="33"/>
      <c r="GV316" s="31"/>
      <c r="HD316" s="35">
        <f t="shared" si="473"/>
        <v>0</v>
      </c>
      <c r="HE316" s="35">
        <f t="shared" si="491"/>
        <v>0</v>
      </c>
      <c r="HF316" s="15">
        <f t="shared" si="524"/>
        <v>1.3888624246634319E-11</v>
      </c>
      <c r="HG316" s="28">
        <f t="shared" si="525"/>
        <v>1.043469162674841E-12</v>
      </c>
      <c r="HH316" s="28">
        <f t="shared" si="526"/>
        <v>7.5131211280894769E-2</v>
      </c>
      <c r="HI316" s="33"/>
      <c r="HM316" s="31"/>
      <c r="HU316" s="35">
        <f t="shared" si="474"/>
        <v>0</v>
      </c>
      <c r="HV316" s="35">
        <f t="shared" si="492"/>
        <v>0</v>
      </c>
      <c r="HW316" s="15">
        <f t="shared" si="527"/>
        <v>3.2064465208512359E-20</v>
      </c>
      <c r="HX316" s="28">
        <f t="shared" si="528"/>
        <v>3.6671359658456394E-25</v>
      </c>
      <c r="HY316" s="28">
        <f t="shared" si="529"/>
        <v>1.1436760108109027E-5</v>
      </c>
      <c r="HZ316" s="33"/>
      <c r="ID316" s="31"/>
      <c r="II316" s="12"/>
      <c r="IL316" s="35">
        <f t="shared" si="475"/>
        <v>0</v>
      </c>
      <c r="IM316" s="35">
        <f t="shared" si="476"/>
        <v>0.56680797382474368</v>
      </c>
      <c r="IN316" s="15">
        <f t="shared" si="530"/>
        <v>3.1598560533980163E-12</v>
      </c>
      <c r="IO316" s="28">
        <f t="shared" si="531"/>
        <v>2.7123819310951938E-14</v>
      </c>
      <c r="IP316" s="28">
        <f t="shared" si="532"/>
        <v>8.583878142734945E-3</v>
      </c>
      <c r="IQ316" s="33"/>
      <c r="IU316" s="31"/>
      <c r="JC316" s="35">
        <f t="shared" si="458"/>
        <v>0</v>
      </c>
      <c r="JD316" s="35">
        <f t="shared" si="477"/>
        <v>0.66946237872674441</v>
      </c>
      <c r="JE316" s="15">
        <f t="shared" si="533"/>
        <v>3.815781924240351E-12</v>
      </c>
      <c r="JF316" s="28">
        <f t="shared" si="534"/>
        <v>3.4619585523324626E-14</v>
      </c>
      <c r="JG316" s="28">
        <f t="shared" si="535"/>
        <v>9.0727369149159968E-3</v>
      </c>
      <c r="JH316" s="33"/>
      <c r="JL316" s="31"/>
      <c r="JR316" s="99"/>
      <c r="JS316" s="99"/>
      <c r="JT316" s="99"/>
      <c r="JU316" s="99"/>
      <c r="JV316" s="99"/>
      <c r="JW316" s="99"/>
      <c r="JX316" s="99"/>
      <c r="JY316" s="99"/>
      <c r="JZ316" s="99"/>
      <c r="KA316" s="99"/>
      <c r="KB316" s="99"/>
      <c r="KC316" s="99"/>
      <c r="KD316" s="99"/>
      <c r="KE316" s="99"/>
      <c r="KF316" s="99"/>
      <c r="KG316" s="99"/>
      <c r="KH316" s="99"/>
      <c r="KI316" s="99"/>
      <c r="KJ316" s="99"/>
      <c r="KK316" s="99"/>
      <c r="KL316" s="99"/>
      <c r="KM316" s="99"/>
      <c r="KN316" s="99"/>
      <c r="KO316" s="99"/>
      <c r="KP316" s="99"/>
      <c r="KQ316" s="99"/>
      <c r="KR316" s="99"/>
      <c r="KS316" s="99"/>
      <c r="KT316" s="99"/>
      <c r="KU316" s="99"/>
      <c r="KV316" s="99"/>
      <c r="KW316" s="99"/>
      <c r="KX316" s="99"/>
      <c r="KY316" s="99"/>
      <c r="KZ316" s="99"/>
      <c r="LA316" s="99"/>
      <c r="LB316" s="99"/>
      <c r="LC316" s="99"/>
      <c r="LD316" s="99"/>
      <c r="LE316" s="99"/>
      <c r="LF316" s="99"/>
      <c r="LG316" s="99"/>
      <c r="LH316" s="99"/>
      <c r="LI316" s="99"/>
      <c r="LJ316" s="99"/>
      <c r="LK316" s="99"/>
      <c r="LL316" s="99"/>
      <c r="LM316" s="99"/>
      <c r="LN316" s="99"/>
      <c r="LO316" s="99"/>
      <c r="LP316" s="99"/>
      <c r="LQ316" s="99"/>
      <c r="LR316" s="99"/>
      <c r="LS316" s="99"/>
      <c r="LT316" s="99"/>
      <c r="LU316" s="99"/>
      <c r="LV316" s="99"/>
      <c r="LW316" s="99"/>
      <c r="LX316" s="99"/>
      <c r="LY316" s="99"/>
      <c r="LZ316" s="99"/>
      <c r="MA316" s="99"/>
      <c r="MB316" s="99"/>
      <c r="MC316" s="99"/>
      <c r="MD316" s="99"/>
      <c r="ME316" s="99"/>
      <c r="MF316" s="99"/>
    </row>
    <row r="317" spans="1:344" ht="17.25" customHeight="1" x14ac:dyDescent="0.25">
      <c r="A317" s="156"/>
      <c r="B317" s="81" t="s">
        <v>6</v>
      </c>
      <c r="C317" s="82">
        <v>45451</v>
      </c>
      <c r="D317" s="49"/>
      <c r="G317" s="89">
        <f t="shared" si="544"/>
        <v>0</v>
      </c>
      <c r="H317" s="35">
        <f t="shared" si="460"/>
        <v>0</v>
      </c>
      <c r="I317" s="39"/>
      <c r="L317" s="89">
        <f t="shared" si="461"/>
        <v>0</v>
      </c>
      <c r="M317" s="35">
        <f t="shared" si="478"/>
        <v>0</v>
      </c>
      <c r="N317" s="35">
        <f t="shared" si="479"/>
        <v>0</v>
      </c>
      <c r="O317" s="97" t="e">
        <f>SUM($Z317,$BH317,$AQ317,$BY317,$CP317,$DG317,$DX317,$EO317,$FF317,$FW317,$GN317)/D317</f>
        <v>#DIV/0!</v>
      </c>
      <c r="P317" s="150"/>
      <c r="Q317" s="132">
        <f t="shared" si="543"/>
        <v>0</v>
      </c>
      <c r="R317" s="134">
        <f t="shared" si="539"/>
        <v>0</v>
      </c>
      <c r="S317" s="136">
        <f t="shared" si="540"/>
        <v>0</v>
      </c>
      <c r="T317" s="138">
        <f t="shared" si="541"/>
        <v>0</v>
      </c>
      <c r="U317" s="144">
        <f t="shared" si="542"/>
        <v>0</v>
      </c>
      <c r="W317" s="11">
        <v>0</v>
      </c>
      <c r="X317" s="1">
        <v>0</v>
      </c>
      <c r="Y317" s="35">
        <f t="shared" si="462"/>
        <v>0</v>
      </c>
      <c r="Z317" s="35">
        <f t="shared" si="480"/>
        <v>0</v>
      </c>
      <c r="AA317" s="15">
        <f t="shared" si="493"/>
        <v>2.2684305912324209E-14</v>
      </c>
      <c r="AB317" s="43">
        <f t="shared" si="537"/>
        <v>3.8039369407251003E-16</v>
      </c>
      <c r="AC317" s="43">
        <f t="shared" si="538"/>
        <v>1.6769025049421727E-2</v>
      </c>
      <c r="AD317" s="33"/>
      <c r="AH317" s="31"/>
      <c r="AP317" s="35">
        <f t="shared" si="463"/>
        <v>0</v>
      </c>
      <c r="AQ317" s="35">
        <f t="shared" si="481"/>
        <v>0</v>
      </c>
      <c r="AR317" s="15">
        <f t="shared" si="494"/>
        <v>6.8504358701207674E-12</v>
      </c>
      <c r="AS317" s="28">
        <f t="shared" si="495"/>
        <v>7.930975712862926E-13</v>
      </c>
      <c r="AT317" s="28">
        <f t="shared" si="496"/>
        <v>0.11577330060785036</v>
      </c>
      <c r="AU317" s="33"/>
      <c r="AY317" s="31"/>
      <c r="BG317" s="35">
        <f t="shared" si="464"/>
        <v>0</v>
      </c>
      <c r="BH317" s="35">
        <f t="shared" si="482"/>
        <v>0</v>
      </c>
      <c r="BI317" s="15">
        <f t="shared" si="497"/>
        <v>9.4347018151993872E-12</v>
      </c>
      <c r="BJ317" s="28">
        <f t="shared" si="498"/>
        <v>1.2183591122543645E-12</v>
      </c>
      <c r="BK317" s="28">
        <f t="shared" si="499"/>
        <v>0.12913594262105638</v>
      </c>
      <c r="BL317" s="33"/>
      <c r="BP317" s="31"/>
      <c r="BX317" s="35">
        <f t="shared" si="465"/>
        <v>0</v>
      </c>
      <c r="BY317" s="35">
        <f t="shared" si="483"/>
        <v>0</v>
      </c>
      <c r="BZ317" s="15">
        <f t="shared" si="500"/>
        <v>7.1738359499296716E-12</v>
      </c>
      <c r="CA317" s="28">
        <f t="shared" si="501"/>
        <v>7.5715214011015922E-13</v>
      </c>
      <c r="CB317" s="28">
        <f t="shared" si="502"/>
        <v>0.1055435537409497</v>
      </c>
      <c r="CC317" s="33"/>
      <c r="CG317" s="31"/>
      <c r="CO317" s="35">
        <f t="shared" si="466"/>
        <v>0</v>
      </c>
      <c r="CP317" s="35">
        <f t="shared" si="484"/>
        <v>0</v>
      </c>
      <c r="CQ317" s="15">
        <f t="shared" si="503"/>
        <v>7.85984946682079E-12</v>
      </c>
      <c r="CR317" s="28">
        <f t="shared" si="504"/>
        <v>9.7979713824801855E-13</v>
      </c>
      <c r="CS317" s="28">
        <f t="shared" si="505"/>
        <v>0.12465851189441852</v>
      </c>
      <c r="CT317" s="33"/>
      <c r="CX317" s="31"/>
      <c r="DF317" s="35">
        <f t="shared" si="467"/>
        <v>0</v>
      </c>
      <c r="DG317" s="35">
        <f t="shared" si="485"/>
        <v>0</v>
      </c>
      <c r="DH317" s="15">
        <f t="shared" si="506"/>
        <v>7.6448191446710202E-12</v>
      </c>
      <c r="DI317" s="28">
        <f t="shared" si="507"/>
        <v>5.9534665382997727E-13</v>
      </c>
      <c r="DJ317" s="28">
        <f t="shared" si="508"/>
        <v>7.7875832320372942E-2</v>
      </c>
      <c r="DK317" s="33"/>
      <c r="DO317" s="31"/>
      <c r="DW317" s="35">
        <f t="shared" si="468"/>
        <v>0</v>
      </c>
      <c r="DX317" s="35">
        <f t="shared" si="486"/>
        <v>0</v>
      </c>
      <c r="DY317" s="15">
        <f t="shared" si="509"/>
        <v>7.9150738715050189E-12</v>
      </c>
      <c r="DZ317" s="28">
        <f t="shared" si="510"/>
        <v>5.8123787654991982E-13</v>
      </c>
      <c r="EA317" s="28">
        <f t="shared" si="511"/>
        <v>7.3434295874663741E-2</v>
      </c>
      <c r="EB317" s="33"/>
      <c r="EF317" s="31"/>
      <c r="EN317" s="35">
        <f t="shared" si="469"/>
        <v>0</v>
      </c>
      <c r="EO317" s="35">
        <f t="shared" si="487"/>
        <v>0</v>
      </c>
      <c r="EP317" s="15">
        <f t="shared" si="512"/>
        <v>8.4508022792314578E-12</v>
      </c>
      <c r="EQ317" s="28">
        <f t="shared" si="513"/>
        <v>1.142102814714436E-12</v>
      </c>
      <c r="ER317" s="28">
        <f t="shared" si="514"/>
        <v>0.13514726495509755</v>
      </c>
      <c r="ES317" s="33"/>
      <c r="EW317" s="31"/>
      <c r="FE317" s="35">
        <f t="shared" si="470"/>
        <v>0</v>
      </c>
      <c r="FF317" s="35">
        <f t="shared" si="488"/>
        <v>0</v>
      </c>
      <c r="FG317" s="15">
        <f t="shared" si="515"/>
        <v>8.1643638178016986E-12</v>
      </c>
      <c r="FH317" s="28">
        <f t="shared" si="516"/>
        <v>1.0454899921206499E-12</v>
      </c>
      <c r="FI317" s="28">
        <f t="shared" si="517"/>
        <v>0.12805529193114204</v>
      </c>
      <c r="FJ317" s="33"/>
      <c r="FN317" s="31"/>
      <c r="FV317" s="35">
        <f t="shared" si="471"/>
        <v>0</v>
      </c>
      <c r="FW317" s="35">
        <f t="shared" si="489"/>
        <v>0</v>
      </c>
      <c r="FX317" s="15">
        <f t="shared" si="518"/>
        <v>7.6858654704235312E-12</v>
      </c>
      <c r="FY317" s="28">
        <f t="shared" si="519"/>
        <v>1.0468674291922268E-12</v>
      </c>
      <c r="FZ317" s="28">
        <f t="shared" si="520"/>
        <v>0.13620683750200208</v>
      </c>
      <c r="GA317" s="33"/>
      <c r="GE317" s="31"/>
      <c r="GM317" s="35">
        <f t="shared" si="472"/>
        <v>0</v>
      </c>
      <c r="GN317" s="35">
        <f t="shared" si="490"/>
        <v>0</v>
      </c>
      <c r="GO317" s="15">
        <f t="shared" si="521"/>
        <v>7.9420887794274376E-12</v>
      </c>
      <c r="GP317" s="28">
        <f t="shared" si="522"/>
        <v>1.0789107490407644E-12</v>
      </c>
      <c r="GQ317" s="28">
        <f t="shared" si="523"/>
        <v>0.13584722848169237</v>
      </c>
      <c r="GR317" s="33"/>
      <c r="GV317" s="31"/>
      <c r="HD317" s="35">
        <f t="shared" si="473"/>
        <v>0</v>
      </c>
      <c r="HE317" s="35">
        <f t="shared" si="491"/>
        <v>0</v>
      </c>
      <c r="HF317" s="15">
        <f t="shared" si="524"/>
        <v>1.1188058420899869E-11</v>
      </c>
      <c r="HG317" s="28">
        <f t="shared" si="525"/>
        <v>7.8260187200613073E-13</v>
      </c>
      <c r="HH317" s="28">
        <f t="shared" si="526"/>
        <v>6.9949748433936504E-2</v>
      </c>
      <c r="HI317" s="33"/>
      <c r="HM317" s="31"/>
      <c r="HU317" s="35">
        <f t="shared" si="474"/>
        <v>0</v>
      </c>
      <c r="HV317" s="35">
        <f t="shared" si="492"/>
        <v>0</v>
      </c>
      <c r="HW317" s="15">
        <f t="shared" si="527"/>
        <v>2.5829708084634955E-20</v>
      </c>
      <c r="HX317" s="28">
        <f t="shared" si="528"/>
        <v>2.7503519743842293E-25</v>
      </c>
      <c r="HY317" s="28">
        <f t="shared" si="529"/>
        <v>1.0648018031687714E-5</v>
      </c>
      <c r="HZ317" s="33"/>
      <c r="ID317" s="31"/>
      <c r="II317" s="12"/>
      <c r="IL317" s="35">
        <f t="shared" si="475"/>
        <v>0</v>
      </c>
      <c r="IM317" s="35">
        <f t="shared" si="476"/>
        <v>0.52771776872929865</v>
      </c>
      <c r="IN317" s="15">
        <f t="shared" si="530"/>
        <v>2.5454395985706241E-12</v>
      </c>
      <c r="IO317" s="28">
        <f t="shared" si="531"/>
        <v>2.0342864483213952E-14</v>
      </c>
      <c r="IP317" s="28">
        <f t="shared" si="532"/>
        <v>7.9918865466842588E-3</v>
      </c>
      <c r="IQ317" s="33"/>
      <c r="IU317" s="31"/>
      <c r="JC317" s="35">
        <f t="shared" ref="JC317:JC318" si="545">(JA317*$F317)+JB317*$K317</f>
        <v>0</v>
      </c>
      <c r="JD317" s="35">
        <f t="shared" si="477"/>
        <v>0.62329255949959139</v>
      </c>
      <c r="JE317" s="15">
        <f t="shared" si="533"/>
        <v>3.0738243278602831E-12</v>
      </c>
      <c r="JF317" s="28">
        <f t="shared" si="534"/>
        <v>2.5964689142493471E-14</v>
      </c>
      <c r="JG317" s="28">
        <f t="shared" si="535"/>
        <v>8.4470309207838584E-3</v>
      </c>
      <c r="JH317" s="33"/>
      <c r="JL317" s="31"/>
      <c r="JR317" s="99"/>
      <c r="JS317" s="99"/>
      <c r="JT317" s="99"/>
      <c r="JU317" s="99"/>
      <c r="JV317" s="99"/>
      <c r="JW317" s="99"/>
      <c r="JX317" s="99"/>
      <c r="JY317" s="99"/>
      <c r="JZ317" s="99"/>
      <c r="KA317" s="99"/>
      <c r="KB317" s="99"/>
      <c r="KC317" s="99"/>
      <c r="KD317" s="99"/>
      <c r="KE317" s="99"/>
      <c r="KF317" s="99"/>
      <c r="KG317" s="99"/>
      <c r="KH317" s="99"/>
      <c r="KI317" s="99"/>
      <c r="KJ317" s="99"/>
      <c r="KK317" s="99"/>
      <c r="KL317" s="99"/>
      <c r="KM317" s="99"/>
      <c r="KN317" s="99"/>
      <c r="KO317" s="99"/>
      <c r="KP317" s="99"/>
      <c r="KQ317" s="99"/>
      <c r="KR317" s="99"/>
      <c r="KS317" s="99"/>
      <c r="KT317" s="99"/>
      <c r="KU317" s="99"/>
      <c r="KV317" s="99"/>
      <c r="KW317" s="99"/>
      <c r="KX317" s="99"/>
      <c r="KY317" s="99"/>
      <c r="KZ317" s="99"/>
      <c r="LA317" s="99"/>
      <c r="LB317" s="99"/>
      <c r="LC317" s="99"/>
      <c r="LD317" s="99"/>
      <c r="LE317" s="99"/>
      <c r="LF317" s="99"/>
      <c r="LG317" s="99"/>
      <c r="LH317" s="99"/>
      <c r="LI317" s="99"/>
      <c r="LJ317" s="99"/>
      <c r="LK317" s="99"/>
      <c r="LL317" s="99"/>
      <c r="LM317" s="99"/>
      <c r="LN317" s="99"/>
      <c r="LO317" s="99"/>
      <c r="LP317" s="99"/>
      <c r="LQ317" s="99"/>
      <c r="LR317" s="99"/>
      <c r="LS317" s="99"/>
      <c r="LT317" s="99"/>
      <c r="LU317" s="99"/>
      <c r="LV317" s="99"/>
      <c r="LW317" s="99"/>
      <c r="LX317" s="99"/>
      <c r="LY317" s="99"/>
      <c r="LZ317" s="99"/>
      <c r="MA317" s="99"/>
      <c r="MB317" s="99"/>
      <c r="MC317" s="99"/>
      <c r="MD317" s="99"/>
      <c r="ME317" s="99"/>
      <c r="MF317" s="99"/>
    </row>
    <row r="318" spans="1:344" ht="17.25" customHeight="1" x14ac:dyDescent="0.25">
      <c r="A318" s="157"/>
      <c r="B318" s="83" t="s">
        <v>7</v>
      </c>
      <c r="C318" s="84">
        <v>45452</v>
      </c>
      <c r="D318" s="51"/>
      <c r="G318" s="37">
        <f t="shared" si="544"/>
        <v>0</v>
      </c>
      <c r="H318" s="26">
        <f t="shared" si="460"/>
        <v>0</v>
      </c>
      <c r="I318" s="48"/>
      <c r="K318" s="104"/>
      <c r="L318" s="37">
        <f t="shared" si="461"/>
        <v>0</v>
      </c>
      <c r="M318" s="26">
        <f t="shared" si="478"/>
        <v>0</v>
      </c>
      <c r="N318" s="26">
        <f t="shared" si="479"/>
        <v>0</v>
      </c>
      <c r="O318" s="98" t="e">
        <f>SUM($Z318,$BH318,$AQ318,$BY318,$CP318,$DG318,$DX318,$EO318,$FF318,$FW318,$GN318)/D318</f>
        <v>#DIV/0!</v>
      </c>
      <c r="P318" s="151"/>
      <c r="Q318" s="139">
        <f t="shared" si="543"/>
        <v>0</v>
      </c>
      <c r="R318" s="140">
        <f t="shared" si="539"/>
        <v>0</v>
      </c>
      <c r="S318" s="141">
        <f t="shared" si="540"/>
        <v>0</v>
      </c>
      <c r="T318" s="142">
        <f t="shared" si="541"/>
        <v>0</v>
      </c>
      <c r="U318" s="145">
        <f t="shared" si="542"/>
        <v>0</v>
      </c>
      <c r="W318" s="13">
        <v>0</v>
      </c>
      <c r="X318" s="2">
        <v>0</v>
      </c>
      <c r="Y318" s="26">
        <f t="shared" si="462"/>
        <v>0</v>
      </c>
      <c r="Z318" s="26">
        <f t="shared" si="480"/>
        <v>0</v>
      </c>
      <c r="AA318" s="16">
        <f t="shared" si="493"/>
        <v>1.8273468651594502E-14</v>
      </c>
      <c r="AB318" s="44">
        <f t="shared" si="537"/>
        <v>2.8529527055438254E-16</v>
      </c>
      <c r="AC318" s="44">
        <f t="shared" si="538"/>
        <v>1.5612540563254711E-2</v>
      </c>
      <c r="AD318" s="34"/>
      <c r="AE318" s="4"/>
      <c r="AF318" s="5"/>
      <c r="AG318" s="6"/>
      <c r="AH318" s="32"/>
      <c r="AI318" s="3"/>
      <c r="AJ318" s="4"/>
      <c r="AK318" s="5"/>
      <c r="AL318" s="6"/>
      <c r="AM318" s="14"/>
      <c r="AN318" s="13"/>
      <c r="AO318" s="2"/>
      <c r="AP318" s="26">
        <f t="shared" si="463"/>
        <v>0</v>
      </c>
      <c r="AQ318" s="26">
        <f t="shared" si="481"/>
        <v>0</v>
      </c>
      <c r="AR318" s="16">
        <f t="shared" si="494"/>
        <v>5.5184066731528405E-12</v>
      </c>
      <c r="AS318" s="29">
        <f t="shared" si="495"/>
        <v>5.948231784647194E-13</v>
      </c>
      <c r="AT318" s="29">
        <f t="shared" si="496"/>
        <v>0.10778893504868826</v>
      </c>
      <c r="AU318" s="34"/>
      <c r="AV318" s="4"/>
      <c r="AW318" s="5"/>
      <c r="AX318" s="6"/>
      <c r="AY318" s="32"/>
      <c r="AZ318" s="3"/>
      <c r="BA318" s="4"/>
      <c r="BB318" s="5"/>
      <c r="BC318" s="6"/>
      <c r="BD318" s="14"/>
      <c r="BE318" s="13"/>
      <c r="BF318" s="2"/>
      <c r="BG318" s="26">
        <f t="shared" si="464"/>
        <v>0</v>
      </c>
      <c r="BH318" s="26">
        <f t="shared" si="482"/>
        <v>0</v>
      </c>
      <c r="BI318" s="16">
        <f t="shared" si="497"/>
        <v>7.60017646224395E-12</v>
      </c>
      <c r="BJ318" s="29">
        <f t="shared" si="498"/>
        <v>9.1376933419077336E-13</v>
      </c>
      <c r="BK318" s="29">
        <f t="shared" si="499"/>
        <v>0.12023001554374214</v>
      </c>
      <c r="BL318" s="34"/>
      <c r="BM318" s="4"/>
      <c r="BN318" s="5"/>
      <c r="BO318" s="6"/>
      <c r="BP318" s="32"/>
      <c r="BQ318" s="3"/>
      <c r="BR318" s="4"/>
      <c r="BS318" s="5"/>
      <c r="BT318" s="6"/>
      <c r="BU318" s="14"/>
      <c r="BV318" s="13"/>
      <c r="BW318" s="2"/>
      <c r="BX318" s="26">
        <f t="shared" si="465"/>
        <v>0</v>
      </c>
      <c r="BY318" s="26">
        <f t="shared" si="483"/>
        <v>0</v>
      </c>
      <c r="BZ318" s="16">
        <f t="shared" si="500"/>
        <v>5.7789234041100138E-12</v>
      </c>
      <c r="CA318" s="29">
        <f t="shared" si="501"/>
        <v>5.6786410508261946E-13</v>
      </c>
      <c r="CB318" s="29">
        <f t="shared" si="502"/>
        <v>9.8264687965711792E-2</v>
      </c>
      <c r="CC318" s="34"/>
      <c r="CD318" s="4"/>
      <c r="CE318" s="5"/>
      <c r="CF318" s="6"/>
      <c r="CG318" s="32"/>
      <c r="CH318" s="3"/>
      <c r="CI318" s="4"/>
      <c r="CJ318" s="5"/>
      <c r="CK318" s="6"/>
      <c r="CL318" s="14"/>
      <c r="CM318" s="13"/>
      <c r="CN318" s="2"/>
      <c r="CO318" s="26">
        <f t="shared" si="466"/>
        <v>0</v>
      </c>
      <c r="CP318" s="26">
        <f t="shared" si="484"/>
        <v>0</v>
      </c>
      <c r="CQ318" s="16">
        <f t="shared" si="503"/>
        <v>6.3315454038278593E-12</v>
      </c>
      <c r="CR318" s="29">
        <f t="shared" si="504"/>
        <v>7.3484785368601396E-13</v>
      </c>
      <c r="CS318" s="29">
        <f t="shared" si="505"/>
        <v>0.11606137314307931</v>
      </c>
      <c r="CT318" s="34"/>
      <c r="CU318" s="4"/>
      <c r="CV318" s="5"/>
      <c r="CW318" s="6"/>
      <c r="CX318" s="32"/>
      <c r="CY318" s="3"/>
      <c r="CZ318" s="4"/>
      <c r="DA318" s="5"/>
      <c r="DB318" s="6"/>
      <c r="DC318" s="14"/>
      <c r="DD318" s="13"/>
      <c r="DE318" s="2"/>
      <c r="DF318" s="26">
        <f t="shared" si="467"/>
        <v>0</v>
      </c>
      <c r="DG318" s="26">
        <f t="shared" si="485"/>
        <v>0</v>
      </c>
      <c r="DH318" s="16">
        <f t="shared" si="506"/>
        <v>6.1583265332072106E-12</v>
      </c>
      <c r="DI318" s="29">
        <f t="shared" si="507"/>
        <v>4.4650999037248295E-13</v>
      </c>
      <c r="DJ318" s="29">
        <f t="shared" si="508"/>
        <v>7.2505085263795496E-2</v>
      </c>
      <c r="DK318" s="34"/>
      <c r="DL318" s="4"/>
      <c r="DM318" s="5"/>
      <c r="DN318" s="6"/>
      <c r="DO318" s="32"/>
      <c r="DP318" s="3"/>
      <c r="DQ318" s="4"/>
      <c r="DR318" s="5"/>
      <c r="DS318" s="6"/>
      <c r="DT318" s="14"/>
      <c r="DU318" s="13"/>
      <c r="DV318" s="2"/>
      <c r="DW318" s="26">
        <f t="shared" si="468"/>
        <v>0</v>
      </c>
      <c r="DX318" s="26">
        <f t="shared" si="486"/>
        <v>0</v>
      </c>
      <c r="DY318" s="16">
        <f t="shared" si="509"/>
        <v>6.3760317298234881E-12</v>
      </c>
      <c r="DZ318" s="29">
        <f t="shared" si="510"/>
        <v>4.3592840741243986E-13</v>
      </c>
      <c r="EA318" s="29">
        <f t="shared" si="511"/>
        <v>6.836986167641107E-2</v>
      </c>
      <c r="EB318" s="34"/>
      <c r="EC318" s="4"/>
      <c r="ED318" s="5"/>
      <c r="EE318" s="6"/>
      <c r="EF318" s="32"/>
      <c r="EG318" s="3"/>
      <c r="EH318" s="4"/>
      <c r="EI318" s="5"/>
      <c r="EJ318" s="6"/>
      <c r="EK318" s="14"/>
      <c r="EL318" s="13"/>
      <c r="EM318" s="2"/>
      <c r="EN318" s="26">
        <f t="shared" si="469"/>
        <v>0</v>
      </c>
      <c r="EO318" s="26">
        <f t="shared" si="487"/>
        <v>0</v>
      </c>
      <c r="EP318" s="16">
        <f t="shared" si="512"/>
        <v>6.8075907249364522E-12</v>
      </c>
      <c r="EQ318" s="29">
        <f t="shared" si="513"/>
        <v>8.5657711103582703E-13</v>
      </c>
      <c r="ER318" s="29">
        <f t="shared" si="514"/>
        <v>0.1258267639237115</v>
      </c>
      <c r="ES318" s="34"/>
      <c r="ET318" s="4"/>
      <c r="EU318" s="5"/>
      <c r="EV318" s="6"/>
      <c r="EW318" s="32"/>
      <c r="EX318" s="3"/>
      <c r="EY318" s="4"/>
      <c r="EZ318" s="5"/>
      <c r="FA318" s="6"/>
      <c r="FB318" s="14"/>
      <c r="FC318" s="13"/>
      <c r="FD318" s="2"/>
      <c r="FE318" s="26">
        <f t="shared" si="470"/>
        <v>0</v>
      </c>
      <c r="FF318" s="26">
        <f t="shared" si="488"/>
        <v>0</v>
      </c>
      <c r="FG318" s="16">
        <f t="shared" si="515"/>
        <v>6.5768486310069248E-12</v>
      </c>
      <c r="FH318" s="29">
        <f t="shared" si="516"/>
        <v>7.8411749409048747E-13</v>
      </c>
      <c r="FI318" s="29">
        <f t="shared" si="517"/>
        <v>0.119223892487615</v>
      </c>
      <c r="FJ318" s="34"/>
      <c r="FK318" s="4"/>
      <c r="FL318" s="5"/>
      <c r="FM318" s="6"/>
      <c r="FN318" s="32"/>
      <c r="FO318" s="3"/>
      <c r="FP318" s="4"/>
      <c r="FQ318" s="5"/>
      <c r="FR318" s="6"/>
      <c r="FS318" s="14"/>
      <c r="FT318" s="13"/>
      <c r="FU318" s="2"/>
      <c r="FV318" s="26">
        <f t="shared" si="471"/>
        <v>0</v>
      </c>
      <c r="FW318" s="26">
        <f t="shared" si="489"/>
        <v>0</v>
      </c>
      <c r="FX318" s="16">
        <f t="shared" si="518"/>
        <v>6.1913916289522896E-12</v>
      </c>
      <c r="FY318" s="29">
        <f t="shared" si="519"/>
        <v>7.8515057189417012E-13</v>
      </c>
      <c r="FZ318" s="29">
        <f t="shared" si="520"/>
        <v>0.126813262501864</v>
      </c>
      <c r="GA318" s="34"/>
      <c r="GB318" s="4"/>
      <c r="GC318" s="5"/>
      <c r="GD318" s="6"/>
      <c r="GE318" s="32"/>
      <c r="GF318" s="3"/>
      <c r="GG318" s="4"/>
      <c r="GH318" s="5"/>
      <c r="GI318" s="6"/>
      <c r="GJ318" s="14"/>
      <c r="GK318" s="13"/>
      <c r="GL318" s="2"/>
      <c r="GM318" s="26">
        <f t="shared" si="472"/>
        <v>0</v>
      </c>
      <c r="GN318" s="26">
        <f t="shared" si="490"/>
        <v>0</v>
      </c>
      <c r="GO318" s="16">
        <f t="shared" si="521"/>
        <v>6.3977937389832141E-12</v>
      </c>
      <c r="GP318" s="29">
        <f t="shared" si="522"/>
        <v>8.0918306178057334E-13</v>
      </c>
      <c r="GQ318" s="29">
        <f t="shared" si="523"/>
        <v>0.12647845410364461</v>
      </c>
      <c r="GR318" s="34"/>
      <c r="GS318" s="4"/>
      <c r="GT318" s="5"/>
      <c r="GU318" s="6"/>
      <c r="GV318" s="32"/>
      <c r="GW318" s="3"/>
      <c r="GX318" s="4"/>
      <c r="GY318" s="5"/>
      <c r="GZ318" s="6"/>
      <c r="HA318" s="14"/>
      <c r="HB318" s="13"/>
      <c r="HC318" s="2"/>
      <c r="HD318" s="26">
        <f t="shared" si="473"/>
        <v>0</v>
      </c>
      <c r="HE318" s="26">
        <f t="shared" si="491"/>
        <v>0</v>
      </c>
      <c r="HF318" s="16">
        <f t="shared" si="524"/>
        <v>9.0126026168360073E-12</v>
      </c>
      <c r="HG318" s="29">
        <f t="shared" si="525"/>
        <v>5.8695140400459807E-13</v>
      </c>
      <c r="HH318" s="29">
        <f t="shared" si="526"/>
        <v>6.5125627852285706E-2</v>
      </c>
      <c r="HI318" s="34"/>
      <c r="HJ318" s="4"/>
      <c r="HK318" s="5"/>
      <c r="HL318" s="6"/>
      <c r="HM318" s="32"/>
      <c r="HN318" s="3"/>
      <c r="HO318" s="4"/>
      <c r="HP318" s="5"/>
      <c r="HQ318" s="6"/>
      <c r="HR318" s="14"/>
      <c r="HS318" s="13"/>
      <c r="HT318" s="2"/>
      <c r="HU318" s="26">
        <f t="shared" si="474"/>
        <v>0</v>
      </c>
      <c r="HV318" s="26">
        <f t="shared" si="492"/>
        <v>0</v>
      </c>
      <c r="HW318" s="16">
        <f t="shared" si="527"/>
        <v>2.0807264845955938E-20</v>
      </c>
      <c r="HX318" s="29">
        <f t="shared" si="528"/>
        <v>2.062763980788172E-25</v>
      </c>
      <c r="HY318" s="29">
        <f t="shared" si="529"/>
        <v>9.9136719605368363E-6</v>
      </c>
      <c r="HZ318" s="34"/>
      <c r="IA318" s="4"/>
      <c r="IB318" s="5"/>
      <c r="IC318" s="6"/>
      <c r="ID318" s="32"/>
      <c r="IE318" s="3"/>
      <c r="IF318" s="4"/>
      <c r="IG318" s="5"/>
      <c r="IH318" s="6"/>
      <c r="II318" s="14"/>
      <c r="IJ318" s="13"/>
      <c r="IK318" s="2"/>
      <c r="IL318" s="26">
        <f t="shared" si="475"/>
        <v>0</v>
      </c>
      <c r="IM318" s="26">
        <f t="shared" si="476"/>
        <v>0.49132343984816718</v>
      </c>
      <c r="IN318" s="16">
        <f t="shared" si="530"/>
        <v>2.0504930099596696E-12</v>
      </c>
      <c r="IO318" s="29">
        <f t="shared" si="531"/>
        <v>1.5257148362410464E-14</v>
      </c>
      <c r="IP318" s="29">
        <f t="shared" si="532"/>
        <v>7.4407219572577583E-3</v>
      </c>
      <c r="IQ318" s="34"/>
      <c r="IR318" s="4"/>
      <c r="IS318" s="5"/>
      <c r="IT318" s="6"/>
      <c r="IU318" s="32"/>
      <c r="IV318" s="3"/>
      <c r="IW318" s="4"/>
      <c r="IX318" s="5"/>
      <c r="IY318" s="6"/>
      <c r="IZ318" s="14"/>
      <c r="JA318" s="13"/>
      <c r="JB318" s="2"/>
      <c r="JC318" s="26">
        <f t="shared" si="545"/>
        <v>0</v>
      </c>
      <c r="JD318" s="26">
        <f t="shared" si="477"/>
        <v>0.58030686573733059</v>
      </c>
      <c r="JE318" s="16">
        <f t="shared" si="533"/>
        <v>2.4761362641096723E-12</v>
      </c>
      <c r="JF318" s="29">
        <f t="shared" si="534"/>
        <v>1.9473516856870102E-14</v>
      </c>
      <c r="JG318" s="29">
        <f t="shared" si="535"/>
        <v>7.8644770641780742E-3</v>
      </c>
      <c r="JH318" s="34"/>
      <c r="JI318" s="4"/>
      <c r="JJ318" s="5"/>
      <c r="JK318" s="6"/>
      <c r="JL318" s="32"/>
      <c r="JM318" s="3"/>
      <c r="JN318" s="4"/>
      <c r="JO318" s="5"/>
      <c r="JP318" s="6"/>
      <c r="JQ318" s="14"/>
      <c r="JR318" s="99"/>
      <c r="JS318" s="99"/>
      <c r="JT318" s="99"/>
      <c r="JU318" s="99"/>
      <c r="JV318" s="99"/>
      <c r="JW318" s="99"/>
      <c r="JX318" s="99"/>
      <c r="JY318" s="99"/>
      <c r="JZ318" s="99"/>
      <c r="KA318" s="99"/>
      <c r="KB318" s="99"/>
      <c r="KC318" s="99"/>
      <c r="KD318" s="99"/>
      <c r="KE318" s="99"/>
      <c r="KF318" s="99"/>
      <c r="KG318" s="99"/>
      <c r="KH318" s="99"/>
      <c r="KI318" s="99"/>
      <c r="KJ318" s="99"/>
      <c r="KK318" s="99"/>
      <c r="KL318" s="99"/>
      <c r="KM318" s="99"/>
      <c r="KN318" s="99"/>
      <c r="KO318" s="99"/>
      <c r="KP318" s="99"/>
      <c r="KQ318" s="99"/>
      <c r="KR318" s="99"/>
      <c r="KS318" s="99"/>
      <c r="KT318" s="99"/>
      <c r="KU318" s="99"/>
      <c r="KV318" s="99"/>
      <c r="KW318" s="99"/>
      <c r="KX318" s="99"/>
      <c r="KY318" s="99"/>
      <c r="KZ318" s="99"/>
      <c r="LA318" s="99"/>
      <c r="LB318" s="99"/>
      <c r="LC318" s="99"/>
      <c r="LD318" s="99"/>
      <c r="LE318" s="99"/>
      <c r="LF318" s="99"/>
      <c r="LG318" s="99"/>
      <c r="LH318" s="99"/>
      <c r="LI318" s="99"/>
      <c r="LJ318" s="99"/>
      <c r="LK318" s="99"/>
      <c r="LL318" s="99"/>
      <c r="LM318" s="99"/>
      <c r="LN318" s="99"/>
      <c r="LO318" s="99"/>
      <c r="LP318" s="99"/>
      <c r="LQ318" s="99"/>
      <c r="LR318" s="99"/>
      <c r="LS318" s="99"/>
      <c r="LT318" s="99"/>
      <c r="LU318" s="99"/>
      <c r="LV318" s="99"/>
      <c r="LW318" s="99"/>
      <c r="LX318" s="99"/>
      <c r="LY318" s="99"/>
      <c r="LZ318" s="99"/>
      <c r="MA318" s="99"/>
      <c r="MB318" s="99"/>
      <c r="MC318" s="99"/>
      <c r="MD318" s="99"/>
      <c r="ME318" s="99"/>
      <c r="MF318" s="99"/>
    </row>
    <row r="319" spans="1:344" ht="17.25" customHeight="1" x14ac:dyDescent="0.25">
      <c r="C319" s="77">
        <v>45453</v>
      </c>
      <c r="I319" s="39"/>
      <c r="Q319" s="146" cm="1">
        <f t="array" ref="Q319">SUM(AD319:AD325+AI319:AI325+AU319:AU325+AZ319:AZ325+BL319:BL325+BQ319:BQ325+CC319:CC325+CH319:CH325+CT319:CT325+CY319:CY325+DK319:DK325+DP319:DP325+EB319:EB325+EG319:EG325+ES319:ES325+EX319:EX325+FJ319:FJ325+FO319:FO325+GA319:GA325+GF319:GF325+GR319:GR325+GW319:GW325)/10</f>
        <v>0</v>
      </c>
      <c r="R319" s="146"/>
      <c r="S319" s="146"/>
      <c r="T319" s="146"/>
      <c r="U319" s="146"/>
      <c r="V319" s="147"/>
      <c r="JR319" s="99"/>
      <c r="JS319" s="99"/>
      <c r="JT319" s="99"/>
      <c r="JU319" s="99"/>
      <c r="JV319" s="99"/>
      <c r="JW319" s="99"/>
      <c r="JX319" s="99"/>
      <c r="JY319" s="99"/>
      <c r="JZ319" s="99"/>
      <c r="KA319" s="99"/>
      <c r="KB319" s="99"/>
      <c r="KC319" s="99"/>
      <c r="KD319" s="99"/>
      <c r="KE319" s="99"/>
      <c r="KF319" s="99"/>
      <c r="KG319" s="99"/>
      <c r="KH319" s="99"/>
      <c r="KI319" s="99"/>
      <c r="KJ319" s="99"/>
      <c r="KK319" s="99"/>
      <c r="KL319" s="99"/>
      <c r="KM319" s="99"/>
      <c r="KN319" s="99"/>
      <c r="KO319" s="99"/>
      <c r="KP319" s="99"/>
      <c r="KQ319" s="99"/>
      <c r="KR319" s="99"/>
      <c r="KS319" s="99"/>
      <c r="KT319" s="99"/>
      <c r="KU319" s="99"/>
      <c r="KV319" s="99"/>
      <c r="KW319" s="99"/>
      <c r="KX319" s="99"/>
      <c r="KY319" s="99"/>
      <c r="KZ319" s="99"/>
      <c r="LA319" s="99"/>
      <c r="LB319" s="99"/>
      <c r="LC319" s="99"/>
      <c r="LD319" s="99"/>
      <c r="LE319" s="99"/>
      <c r="LF319" s="99"/>
      <c r="LG319" s="99"/>
      <c r="LH319" s="99"/>
      <c r="LI319" s="99"/>
      <c r="LJ319" s="99"/>
      <c r="LK319" s="99"/>
      <c r="LL319" s="99"/>
      <c r="LM319" s="99"/>
      <c r="LN319" s="99"/>
      <c r="LO319" s="99"/>
      <c r="LP319" s="99"/>
      <c r="LQ319" s="99"/>
      <c r="LR319" s="99"/>
      <c r="LS319" s="99"/>
      <c r="LT319" s="99"/>
      <c r="LU319" s="99"/>
      <c r="LV319" s="99"/>
      <c r="LW319" s="99"/>
      <c r="LX319" s="99"/>
      <c r="LY319" s="99"/>
      <c r="LZ319" s="99"/>
      <c r="MA319" s="99"/>
      <c r="MB319" s="99"/>
      <c r="MC319" s="99"/>
      <c r="MD319" s="99"/>
      <c r="ME319" s="99"/>
      <c r="MF319" s="99"/>
    </row>
    <row r="320" spans="1:344" ht="17.25" customHeight="1" x14ac:dyDescent="0.25">
      <c r="C320" s="77">
        <v>45454</v>
      </c>
      <c r="I320" s="39"/>
      <c r="Q320" s="146"/>
      <c r="R320" s="146"/>
      <c r="S320" s="146"/>
      <c r="T320" s="146"/>
      <c r="U320" s="146"/>
      <c r="V320" s="147"/>
      <c r="JR320" s="99"/>
      <c r="JS320" s="99"/>
      <c r="JT320" s="99"/>
      <c r="JU320" s="99"/>
      <c r="JV320" s="99"/>
      <c r="JW320" s="99"/>
      <c r="JX320" s="99"/>
      <c r="JY320" s="99"/>
      <c r="JZ320" s="99"/>
      <c r="KA320" s="99"/>
      <c r="KB320" s="99"/>
      <c r="KC320" s="99"/>
      <c r="KD320" s="99"/>
      <c r="KE320" s="99"/>
      <c r="KF320" s="99"/>
      <c r="KG320" s="99"/>
      <c r="KH320" s="99"/>
      <c r="KI320" s="99"/>
      <c r="KJ320" s="99"/>
      <c r="KK320" s="99"/>
      <c r="KL320" s="99"/>
      <c r="KM320" s="99"/>
      <c r="KN320" s="99"/>
      <c r="KO320" s="99"/>
      <c r="KP320" s="99"/>
      <c r="KQ320" s="99"/>
      <c r="KR320" s="99"/>
      <c r="KS320" s="99"/>
      <c r="KT320" s="99"/>
      <c r="KU320" s="99"/>
      <c r="KV320" s="99"/>
      <c r="KW320" s="99"/>
      <c r="KX320" s="99"/>
      <c r="KY320" s="99"/>
      <c r="KZ320" s="99"/>
      <c r="LA320" s="99"/>
      <c r="LB320" s="99"/>
      <c r="LC320" s="99"/>
      <c r="LD320" s="99"/>
      <c r="LE320" s="99"/>
      <c r="LF320" s="99"/>
      <c r="LG320" s="99"/>
      <c r="LH320" s="99"/>
      <c r="LI320" s="99"/>
      <c r="LJ320" s="99"/>
      <c r="LK320" s="99"/>
      <c r="LL320" s="99"/>
      <c r="LM320" s="99"/>
      <c r="LN320" s="99"/>
      <c r="LO320" s="99"/>
      <c r="LP320" s="99"/>
      <c r="LQ320" s="99"/>
      <c r="LR320" s="99"/>
      <c r="LS320" s="99"/>
      <c r="LT320" s="99"/>
      <c r="LU320" s="99"/>
      <c r="LV320" s="99"/>
      <c r="LW320" s="99"/>
      <c r="LX320" s="99"/>
      <c r="LY320" s="99"/>
      <c r="LZ320" s="99"/>
      <c r="MA320" s="99"/>
      <c r="MB320" s="99"/>
      <c r="MC320" s="99"/>
      <c r="MD320" s="99"/>
      <c r="ME320" s="99"/>
      <c r="MF320" s="99"/>
    </row>
    <row r="321" spans="3:344" ht="17.25" customHeight="1" x14ac:dyDescent="0.25">
      <c r="C321" s="77">
        <v>45455</v>
      </c>
      <c r="I321" s="39"/>
      <c r="Q321" s="146"/>
      <c r="R321" s="146"/>
      <c r="S321" s="146"/>
      <c r="T321" s="146"/>
      <c r="U321" s="146"/>
      <c r="V321" s="147"/>
      <c r="JR321" s="99"/>
      <c r="JS321" s="99"/>
      <c r="JT321" s="99"/>
      <c r="JU321" s="99"/>
      <c r="JV321" s="99"/>
      <c r="JW321" s="99"/>
      <c r="JX321" s="99"/>
      <c r="JY321" s="99"/>
      <c r="JZ321" s="99"/>
      <c r="KA321" s="99"/>
      <c r="KB321" s="99"/>
      <c r="KC321" s="99"/>
      <c r="KD321" s="99"/>
      <c r="KE321" s="99"/>
      <c r="KF321" s="99"/>
      <c r="KG321" s="99"/>
      <c r="KH321" s="99"/>
      <c r="KI321" s="99"/>
      <c r="KJ321" s="99"/>
      <c r="KK321" s="99"/>
      <c r="KL321" s="99"/>
      <c r="KM321" s="99"/>
      <c r="KN321" s="99"/>
      <c r="KO321" s="99"/>
      <c r="KP321" s="99"/>
      <c r="KQ321" s="99"/>
      <c r="KR321" s="99"/>
      <c r="KS321" s="99"/>
      <c r="KT321" s="99"/>
      <c r="KU321" s="99"/>
      <c r="KV321" s="99"/>
      <c r="KW321" s="99"/>
      <c r="KX321" s="99"/>
      <c r="KY321" s="99"/>
      <c r="KZ321" s="99"/>
      <c r="LA321" s="99"/>
      <c r="LB321" s="99"/>
      <c r="LC321" s="99"/>
      <c r="LD321" s="99"/>
      <c r="LE321" s="99"/>
      <c r="LF321" s="99"/>
      <c r="LG321" s="99"/>
      <c r="LH321" s="99"/>
      <c r="LI321" s="99"/>
      <c r="LJ321" s="99"/>
      <c r="LK321" s="99"/>
      <c r="LL321" s="99"/>
      <c r="LM321" s="99"/>
      <c r="LN321" s="99"/>
      <c r="LO321" s="99"/>
      <c r="LP321" s="99"/>
      <c r="LQ321" s="99"/>
      <c r="LR321" s="99"/>
      <c r="LS321" s="99"/>
      <c r="LT321" s="99"/>
      <c r="LU321" s="99"/>
      <c r="LV321" s="99"/>
      <c r="LW321" s="99"/>
      <c r="LX321" s="99"/>
      <c r="LY321" s="99"/>
      <c r="LZ321" s="99"/>
      <c r="MA321" s="99"/>
      <c r="MB321" s="99"/>
      <c r="MC321" s="99"/>
      <c r="MD321" s="99"/>
      <c r="ME321" s="99"/>
      <c r="MF321" s="99"/>
    </row>
    <row r="322" spans="3:344" ht="17.25" customHeight="1" x14ac:dyDescent="0.25">
      <c r="C322" s="77">
        <v>45456</v>
      </c>
      <c r="I322" s="39"/>
      <c r="Q322" s="146"/>
      <c r="R322" s="146"/>
      <c r="S322" s="146"/>
      <c r="T322" s="146"/>
      <c r="U322" s="146"/>
      <c r="V322" s="147"/>
      <c r="JR322" s="99"/>
      <c r="JS322" s="99"/>
      <c r="JT322" s="99"/>
      <c r="JU322" s="99"/>
      <c r="JV322" s="99"/>
      <c r="JW322" s="99"/>
      <c r="JX322" s="99"/>
      <c r="JY322" s="99"/>
      <c r="JZ322" s="99"/>
      <c r="KA322" s="99"/>
      <c r="KB322" s="99"/>
      <c r="KC322" s="99"/>
      <c r="KD322" s="99"/>
      <c r="KE322" s="99"/>
      <c r="KF322" s="99"/>
      <c r="KG322" s="99"/>
      <c r="KH322" s="99"/>
      <c r="KI322" s="99"/>
      <c r="KJ322" s="99"/>
      <c r="KK322" s="99"/>
      <c r="KL322" s="99"/>
      <c r="KM322" s="99"/>
      <c r="KN322" s="99"/>
      <c r="KO322" s="99"/>
      <c r="KP322" s="99"/>
      <c r="KQ322" s="99"/>
      <c r="KR322" s="99"/>
      <c r="KS322" s="99"/>
      <c r="KT322" s="99"/>
      <c r="KU322" s="99"/>
      <c r="KV322" s="99"/>
      <c r="KW322" s="99"/>
      <c r="KX322" s="99"/>
      <c r="KY322" s="99"/>
      <c r="KZ322" s="99"/>
      <c r="LA322" s="99"/>
      <c r="LB322" s="99"/>
      <c r="LC322" s="99"/>
      <c r="LD322" s="99"/>
      <c r="LE322" s="99"/>
      <c r="LF322" s="99"/>
      <c r="LG322" s="99"/>
      <c r="LH322" s="99"/>
      <c r="LI322" s="99"/>
      <c r="LJ322" s="99"/>
      <c r="LK322" s="99"/>
      <c r="LL322" s="99"/>
      <c r="LM322" s="99"/>
      <c r="LN322" s="99"/>
      <c r="LO322" s="99"/>
      <c r="LP322" s="99"/>
      <c r="LQ322" s="99"/>
      <c r="LR322" s="99"/>
      <c r="LS322" s="99"/>
      <c r="LT322" s="99"/>
      <c r="LU322" s="99"/>
      <c r="LV322" s="99"/>
      <c r="LW322" s="99"/>
      <c r="LX322" s="99"/>
      <c r="LY322" s="99"/>
      <c r="LZ322" s="99"/>
      <c r="MA322" s="99"/>
      <c r="MB322" s="99"/>
      <c r="MC322" s="99"/>
      <c r="MD322" s="99"/>
      <c r="ME322" s="99"/>
      <c r="MF322" s="99"/>
    </row>
    <row r="323" spans="3:344" ht="17.25" customHeight="1" x14ac:dyDescent="0.25">
      <c r="C323" s="77">
        <v>45457</v>
      </c>
      <c r="Q323" s="146"/>
      <c r="R323" s="146"/>
      <c r="S323" s="146"/>
      <c r="T323" s="146"/>
      <c r="U323" s="146"/>
      <c r="V323" s="147"/>
      <c r="JR323" s="99"/>
      <c r="JS323" s="99"/>
      <c r="JT323" s="99"/>
      <c r="JU323" s="99"/>
      <c r="JV323" s="99"/>
      <c r="JW323" s="99"/>
      <c r="JX323" s="99"/>
      <c r="JY323" s="99"/>
      <c r="JZ323" s="99"/>
      <c r="KA323" s="99"/>
      <c r="KB323" s="99"/>
      <c r="KC323" s="99"/>
      <c r="KD323" s="99"/>
      <c r="KE323" s="99"/>
      <c r="KF323" s="99"/>
      <c r="KG323" s="99"/>
      <c r="KH323" s="99"/>
      <c r="KI323" s="99"/>
      <c r="KJ323" s="99"/>
      <c r="KK323" s="99"/>
      <c r="KL323" s="99"/>
      <c r="KM323" s="99"/>
      <c r="KN323" s="99"/>
      <c r="KO323" s="99"/>
      <c r="KP323" s="99"/>
      <c r="KQ323" s="99"/>
      <c r="KR323" s="99"/>
      <c r="KS323" s="99"/>
      <c r="KT323" s="99"/>
      <c r="KU323" s="99"/>
      <c r="KV323" s="99"/>
      <c r="KW323" s="99"/>
      <c r="KX323" s="99"/>
      <c r="KY323" s="99"/>
      <c r="KZ323" s="99"/>
      <c r="LA323" s="99"/>
      <c r="LB323" s="99"/>
      <c r="LC323" s="99"/>
      <c r="LD323" s="99"/>
      <c r="LE323" s="99"/>
      <c r="LF323" s="99"/>
      <c r="LG323" s="99"/>
      <c r="LH323" s="99"/>
      <c r="LI323" s="99"/>
      <c r="LJ323" s="99"/>
      <c r="LK323" s="99"/>
      <c r="LL323" s="99"/>
      <c r="LM323" s="99"/>
      <c r="LN323" s="99"/>
      <c r="LO323" s="99"/>
      <c r="LP323" s="99"/>
      <c r="LQ323" s="99"/>
      <c r="LR323" s="99"/>
      <c r="LS323" s="99"/>
      <c r="LT323" s="99"/>
      <c r="LU323" s="99"/>
      <c r="LV323" s="99"/>
      <c r="LW323" s="99"/>
      <c r="LX323" s="99"/>
      <c r="LY323" s="99"/>
      <c r="LZ323" s="99"/>
      <c r="MA323" s="99"/>
      <c r="MB323" s="99"/>
      <c r="MC323" s="99"/>
      <c r="MD323" s="99"/>
      <c r="ME323" s="99"/>
      <c r="MF323" s="99"/>
    </row>
    <row r="324" spans="3:344" ht="17.25" customHeight="1" x14ac:dyDescent="0.25">
      <c r="C324" s="77">
        <v>45458</v>
      </c>
      <c r="Q324" s="146"/>
      <c r="R324" s="146"/>
      <c r="S324" s="146"/>
      <c r="T324" s="146"/>
      <c r="U324" s="146"/>
      <c r="V324" s="147"/>
      <c r="JR324" s="99"/>
      <c r="JS324" s="99"/>
      <c r="JT324" s="99"/>
      <c r="JU324" s="99"/>
      <c r="JV324" s="99"/>
      <c r="JW324" s="99"/>
      <c r="JX324" s="99"/>
      <c r="JY324" s="99"/>
      <c r="JZ324" s="99"/>
      <c r="KA324" s="99"/>
      <c r="KB324" s="99"/>
      <c r="KC324" s="99"/>
      <c r="KD324" s="99"/>
      <c r="KE324" s="99"/>
      <c r="KF324" s="99"/>
      <c r="KG324" s="99"/>
      <c r="KH324" s="99"/>
      <c r="KI324" s="99"/>
      <c r="KJ324" s="99"/>
      <c r="KK324" s="99"/>
      <c r="KL324" s="99"/>
      <c r="KM324" s="99"/>
      <c r="KN324" s="99"/>
      <c r="KO324" s="99"/>
      <c r="KP324" s="99"/>
      <c r="KQ324" s="99"/>
      <c r="KR324" s="99"/>
      <c r="KS324" s="99"/>
      <c r="KT324" s="99"/>
      <c r="KU324" s="99"/>
      <c r="KV324" s="99"/>
      <c r="KW324" s="99"/>
      <c r="KX324" s="99"/>
      <c r="KY324" s="99"/>
      <c r="KZ324" s="99"/>
      <c r="LA324" s="99"/>
      <c r="LB324" s="99"/>
      <c r="LC324" s="99"/>
      <c r="LD324" s="99"/>
      <c r="LE324" s="99"/>
      <c r="LF324" s="99"/>
      <c r="LG324" s="99"/>
      <c r="LH324" s="99"/>
      <c r="LI324" s="99"/>
      <c r="LJ324" s="99"/>
      <c r="LK324" s="99"/>
      <c r="LL324" s="99"/>
      <c r="LM324" s="99"/>
      <c r="LN324" s="99"/>
      <c r="LO324" s="99"/>
      <c r="LP324" s="99"/>
      <c r="LQ324" s="99"/>
      <c r="LR324" s="99"/>
      <c r="LS324" s="99"/>
      <c r="LT324" s="99"/>
      <c r="LU324" s="99"/>
      <c r="LV324" s="99"/>
      <c r="LW324" s="99"/>
      <c r="LX324" s="99"/>
      <c r="LY324" s="99"/>
      <c r="LZ324" s="99"/>
      <c r="MA324" s="99"/>
      <c r="MB324" s="99"/>
      <c r="MC324" s="99"/>
      <c r="MD324" s="99"/>
      <c r="ME324" s="99"/>
      <c r="MF324" s="99"/>
    </row>
    <row r="325" spans="3:344" ht="17.25" customHeight="1" x14ac:dyDescent="0.25">
      <c r="C325" s="78">
        <v>45459</v>
      </c>
      <c r="Q325" s="146"/>
      <c r="R325" s="146"/>
      <c r="S325" s="146"/>
      <c r="T325" s="146"/>
      <c r="U325" s="146"/>
      <c r="V325" s="147"/>
      <c r="JR325" s="99"/>
      <c r="JS325" s="99"/>
      <c r="JT325" s="99"/>
      <c r="JU325" s="99"/>
      <c r="JV325" s="99"/>
      <c r="JW325" s="99"/>
      <c r="JX325" s="99"/>
      <c r="JY325" s="99"/>
      <c r="JZ325" s="99"/>
      <c r="KA325" s="99"/>
      <c r="KB325" s="99"/>
      <c r="KC325" s="99"/>
      <c r="KD325" s="99"/>
      <c r="KE325" s="99"/>
      <c r="KF325" s="99"/>
      <c r="KG325" s="99"/>
      <c r="KH325" s="99"/>
      <c r="KI325" s="99"/>
      <c r="KJ325" s="99"/>
      <c r="KK325" s="99"/>
      <c r="KL325" s="99"/>
      <c r="KM325" s="99"/>
      <c r="KN325" s="99"/>
      <c r="KO325" s="99"/>
      <c r="KP325" s="99"/>
      <c r="KQ325" s="99"/>
      <c r="KR325" s="99"/>
      <c r="KS325" s="99"/>
      <c r="KT325" s="99"/>
      <c r="KU325" s="99"/>
      <c r="KV325" s="99"/>
      <c r="KW325" s="99"/>
      <c r="KX325" s="99"/>
      <c r="KY325" s="99"/>
      <c r="KZ325" s="99"/>
      <c r="LA325" s="99"/>
      <c r="LB325" s="99"/>
      <c r="LC325" s="99"/>
      <c r="LD325" s="99"/>
      <c r="LE325" s="99"/>
      <c r="LF325" s="99"/>
      <c r="LG325" s="99"/>
      <c r="LH325" s="99"/>
      <c r="LI325" s="99"/>
      <c r="LJ325" s="99"/>
      <c r="LK325" s="99"/>
      <c r="LL325" s="99"/>
      <c r="LM325" s="99"/>
      <c r="LN325" s="99"/>
      <c r="LO325" s="99"/>
      <c r="LP325" s="99"/>
      <c r="LQ325" s="99"/>
      <c r="LR325" s="99"/>
      <c r="LS325" s="99"/>
      <c r="LT325" s="99"/>
      <c r="LU325" s="99"/>
      <c r="LV325" s="99"/>
      <c r="LW325" s="99"/>
      <c r="LX325" s="99"/>
      <c r="LY325" s="99"/>
      <c r="LZ325" s="99"/>
      <c r="MA325" s="99"/>
      <c r="MB325" s="99"/>
      <c r="MC325" s="99"/>
      <c r="MD325" s="99"/>
      <c r="ME325" s="99"/>
      <c r="MF325" s="99"/>
    </row>
    <row r="326" spans="3:344" ht="17.25" customHeight="1" x14ac:dyDescent="0.25">
      <c r="C326" s="77">
        <v>45460</v>
      </c>
      <c r="Q326" s="146"/>
      <c r="R326" s="146"/>
      <c r="S326" s="146"/>
      <c r="T326" s="146"/>
      <c r="U326" s="146"/>
      <c r="V326" s="147"/>
      <c r="JR326" s="99"/>
      <c r="JS326" s="99"/>
      <c r="JT326" s="99"/>
      <c r="JU326" s="99"/>
      <c r="JV326" s="99"/>
      <c r="JW326" s="99"/>
      <c r="JX326" s="99"/>
      <c r="JY326" s="99"/>
      <c r="JZ326" s="99"/>
      <c r="KA326" s="99"/>
      <c r="KB326" s="99"/>
      <c r="KC326" s="99"/>
      <c r="KD326" s="99"/>
      <c r="KE326" s="99"/>
      <c r="KF326" s="99"/>
      <c r="KG326" s="99"/>
      <c r="KH326" s="99"/>
      <c r="KI326" s="99"/>
      <c r="KJ326" s="99"/>
      <c r="KK326" s="99"/>
      <c r="KL326" s="99"/>
      <c r="KM326" s="99"/>
      <c r="KN326" s="99"/>
      <c r="KO326" s="99"/>
      <c r="KP326" s="99"/>
      <c r="KQ326" s="99"/>
      <c r="KR326" s="99"/>
      <c r="KS326" s="99"/>
      <c r="KT326" s="99"/>
      <c r="KU326" s="99"/>
      <c r="KV326" s="99"/>
      <c r="KW326" s="99"/>
      <c r="KX326" s="99"/>
      <c r="KY326" s="99"/>
      <c r="KZ326" s="99"/>
      <c r="LA326" s="99"/>
      <c r="LB326" s="99"/>
      <c r="LC326" s="99"/>
      <c r="LD326" s="99"/>
      <c r="LE326" s="99"/>
      <c r="LF326" s="99"/>
      <c r="LG326" s="99"/>
      <c r="LH326" s="99"/>
      <c r="LI326" s="99"/>
      <c r="LJ326" s="99"/>
      <c r="LK326" s="99"/>
      <c r="LL326" s="99"/>
      <c r="LM326" s="99"/>
      <c r="LN326" s="99"/>
      <c r="LO326" s="99"/>
      <c r="LP326" s="99"/>
      <c r="LQ326" s="99"/>
      <c r="LR326" s="99"/>
      <c r="LS326" s="99"/>
      <c r="LT326" s="99"/>
      <c r="LU326" s="99"/>
      <c r="LV326" s="99"/>
      <c r="LW326" s="99"/>
      <c r="LX326" s="99"/>
      <c r="LY326" s="99"/>
      <c r="LZ326" s="99"/>
      <c r="MA326" s="99"/>
      <c r="MB326" s="99"/>
      <c r="MC326" s="99"/>
      <c r="MD326" s="99"/>
      <c r="ME326" s="99"/>
      <c r="MF326" s="99"/>
    </row>
    <row r="327" spans="3:344" ht="17.25" customHeight="1" x14ac:dyDescent="0.25">
      <c r="C327" s="77">
        <v>45461</v>
      </c>
      <c r="Q327" s="146"/>
      <c r="R327" s="146"/>
      <c r="S327" s="146"/>
      <c r="T327" s="146"/>
      <c r="U327" s="146"/>
      <c r="V327" s="147"/>
      <c r="JR327" s="99"/>
      <c r="JS327" s="99"/>
      <c r="JT327" s="99"/>
      <c r="JU327" s="99"/>
      <c r="JV327" s="99"/>
      <c r="JW327" s="99"/>
      <c r="JX327" s="99"/>
      <c r="JY327" s="99"/>
      <c r="JZ327" s="99"/>
      <c r="KA327" s="99"/>
      <c r="KB327" s="99"/>
      <c r="KC327" s="99"/>
      <c r="KD327" s="99"/>
      <c r="KE327" s="99"/>
      <c r="KF327" s="99"/>
      <c r="KG327" s="99"/>
      <c r="KH327" s="99"/>
      <c r="KI327" s="99"/>
      <c r="KJ327" s="99"/>
      <c r="KK327" s="99"/>
      <c r="KL327" s="99"/>
      <c r="KM327" s="99"/>
      <c r="KN327" s="99"/>
      <c r="KO327" s="99"/>
      <c r="KP327" s="99"/>
      <c r="KQ327" s="99"/>
      <c r="KR327" s="99"/>
      <c r="KS327" s="99"/>
      <c r="KT327" s="99"/>
      <c r="KU327" s="99"/>
      <c r="KV327" s="99"/>
      <c r="KW327" s="99"/>
      <c r="KX327" s="99"/>
      <c r="KY327" s="99"/>
      <c r="KZ327" s="99"/>
      <c r="LA327" s="99"/>
      <c r="LB327" s="99"/>
      <c r="LC327" s="99"/>
      <c r="LD327" s="99"/>
      <c r="LE327" s="99"/>
      <c r="LF327" s="99"/>
      <c r="LG327" s="99"/>
      <c r="LH327" s="99"/>
      <c r="LI327" s="99"/>
      <c r="LJ327" s="99"/>
      <c r="LK327" s="99"/>
      <c r="LL327" s="99"/>
      <c r="LM327" s="99"/>
      <c r="LN327" s="99"/>
      <c r="LO327" s="99"/>
      <c r="LP327" s="99"/>
      <c r="LQ327" s="99"/>
      <c r="LR327" s="99"/>
      <c r="LS327" s="99"/>
      <c r="LT327" s="99"/>
      <c r="LU327" s="99"/>
      <c r="LV327" s="99"/>
      <c r="LW327" s="99"/>
      <c r="LX327" s="99"/>
      <c r="LY327" s="99"/>
      <c r="LZ327" s="99"/>
      <c r="MA327" s="99"/>
      <c r="MB327" s="99"/>
      <c r="MC327" s="99"/>
      <c r="MD327" s="99"/>
      <c r="ME327" s="99"/>
      <c r="MF327" s="99"/>
    </row>
    <row r="328" spans="3:344" ht="17.25" customHeight="1" x14ac:dyDescent="0.25">
      <c r="C328" s="77">
        <v>45462</v>
      </c>
      <c r="Q328" s="146"/>
      <c r="R328" s="146"/>
      <c r="S328" s="146"/>
      <c r="T328" s="146"/>
      <c r="U328" s="146"/>
      <c r="V328" s="147"/>
      <c r="JR328" s="99"/>
      <c r="JS328" s="99"/>
      <c r="JT328" s="99"/>
      <c r="JU328" s="99"/>
      <c r="JV328" s="99"/>
      <c r="JW328" s="99"/>
      <c r="JX328" s="99"/>
      <c r="JY328" s="99"/>
      <c r="JZ328" s="99"/>
      <c r="KA328" s="99"/>
      <c r="KB328" s="99"/>
      <c r="KC328" s="99"/>
      <c r="KD328" s="99"/>
      <c r="KE328" s="99"/>
      <c r="KF328" s="99"/>
      <c r="KG328" s="99"/>
      <c r="KH328" s="99"/>
      <c r="KI328" s="99"/>
      <c r="KJ328" s="99"/>
      <c r="KK328" s="99"/>
      <c r="KL328" s="99"/>
      <c r="KM328" s="99"/>
      <c r="KN328" s="99"/>
      <c r="KO328" s="99"/>
      <c r="KP328" s="99"/>
      <c r="KQ328" s="99"/>
      <c r="KR328" s="99"/>
      <c r="KS328" s="99"/>
      <c r="KT328" s="99"/>
      <c r="KU328" s="99"/>
      <c r="KV328" s="99"/>
      <c r="KW328" s="99"/>
      <c r="KX328" s="99"/>
      <c r="KY328" s="99"/>
      <c r="KZ328" s="99"/>
      <c r="LA328" s="99"/>
      <c r="LB328" s="99"/>
      <c r="LC328" s="99"/>
      <c r="LD328" s="99"/>
      <c r="LE328" s="99"/>
      <c r="LF328" s="99"/>
      <c r="LG328" s="99"/>
      <c r="LH328" s="99"/>
      <c r="LI328" s="99"/>
      <c r="LJ328" s="99"/>
      <c r="LK328" s="99"/>
      <c r="LL328" s="99"/>
      <c r="LM328" s="99"/>
      <c r="LN328" s="99"/>
      <c r="LO328" s="99"/>
      <c r="LP328" s="99"/>
      <c r="LQ328" s="99"/>
      <c r="LR328" s="99"/>
      <c r="LS328" s="99"/>
      <c r="LT328" s="99"/>
      <c r="LU328" s="99"/>
      <c r="LV328" s="99"/>
      <c r="LW328" s="99"/>
      <c r="LX328" s="99"/>
      <c r="LY328" s="99"/>
      <c r="LZ328" s="99"/>
      <c r="MA328" s="99"/>
      <c r="MB328" s="99"/>
      <c r="MC328" s="99"/>
      <c r="MD328" s="99"/>
      <c r="ME328" s="99"/>
      <c r="MF328" s="99"/>
    </row>
    <row r="329" spans="3:344" ht="17.25" customHeight="1" x14ac:dyDescent="0.25">
      <c r="C329" s="77">
        <v>45463</v>
      </c>
      <c r="Q329" s="146"/>
      <c r="R329" s="146"/>
      <c r="S329" s="146"/>
      <c r="T329" s="146"/>
      <c r="U329" s="146"/>
      <c r="V329" s="147"/>
      <c r="JR329" s="99"/>
      <c r="JS329" s="99"/>
      <c r="JT329" s="99"/>
      <c r="JU329" s="99"/>
      <c r="JV329" s="99"/>
      <c r="JW329" s="99"/>
      <c r="JX329" s="99"/>
      <c r="JY329" s="99"/>
      <c r="JZ329" s="99"/>
      <c r="KA329" s="99"/>
      <c r="KB329" s="99"/>
      <c r="KC329" s="99"/>
      <c r="KD329" s="99"/>
      <c r="KE329" s="99"/>
      <c r="KF329" s="99"/>
      <c r="KG329" s="99"/>
      <c r="KH329" s="99"/>
      <c r="KI329" s="99"/>
      <c r="KJ329" s="99"/>
      <c r="KK329" s="99"/>
      <c r="KL329" s="99"/>
      <c r="KM329" s="99"/>
      <c r="KN329" s="99"/>
      <c r="KO329" s="99"/>
      <c r="KP329" s="99"/>
      <c r="KQ329" s="99"/>
      <c r="KR329" s="99"/>
      <c r="KS329" s="99"/>
      <c r="KT329" s="99"/>
      <c r="KU329" s="99"/>
      <c r="KV329" s="99"/>
      <c r="KW329" s="99"/>
      <c r="KX329" s="99"/>
      <c r="KY329" s="99"/>
      <c r="KZ329" s="99"/>
      <c r="LA329" s="99"/>
      <c r="LB329" s="99"/>
      <c r="LC329" s="99"/>
      <c r="LD329" s="99"/>
      <c r="LE329" s="99"/>
      <c r="LF329" s="99"/>
      <c r="LG329" s="99"/>
      <c r="LH329" s="99"/>
      <c r="LI329" s="99"/>
      <c r="LJ329" s="99"/>
      <c r="LK329" s="99"/>
      <c r="LL329" s="99"/>
      <c r="LM329" s="99"/>
      <c r="LN329" s="99"/>
      <c r="LO329" s="99"/>
      <c r="LP329" s="99"/>
      <c r="LQ329" s="99"/>
      <c r="LR329" s="99"/>
      <c r="LS329" s="99"/>
      <c r="LT329" s="99"/>
      <c r="LU329" s="99"/>
      <c r="LV329" s="99"/>
      <c r="LW329" s="99"/>
      <c r="LX329" s="99"/>
      <c r="LY329" s="99"/>
      <c r="LZ329" s="99"/>
      <c r="MA329" s="99"/>
      <c r="MB329" s="99"/>
      <c r="MC329" s="99"/>
      <c r="MD329" s="99"/>
      <c r="ME329" s="99"/>
      <c r="MF329" s="99"/>
    </row>
    <row r="330" spans="3:344" ht="17.25" customHeight="1" x14ac:dyDescent="0.25">
      <c r="C330" s="77">
        <v>45464</v>
      </c>
      <c r="Q330" s="146"/>
      <c r="R330" s="146"/>
      <c r="S330" s="146"/>
      <c r="T330" s="146"/>
      <c r="U330" s="146"/>
      <c r="V330" s="147"/>
      <c r="JR330" s="99"/>
      <c r="JS330" s="99"/>
      <c r="JT330" s="99"/>
      <c r="JU330" s="99"/>
      <c r="JV330" s="99"/>
      <c r="JW330" s="99"/>
      <c r="JX330" s="99"/>
      <c r="JY330" s="99"/>
      <c r="JZ330" s="99"/>
      <c r="KA330" s="99"/>
      <c r="KB330" s="99"/>
      <c r="KC330" s="99"/>
      <c r="KD330" s="99"/>
      <c r="KE330" s="99"/>
      <c r="KF330" s="99"/>
      <c r="KG330" s="99"/>
      <c r="KH330" s="99"/>
      <c r="KI330" s="99"/>
      <c r="KJ330" s="99"/>
      <c r="KK330" s="99"/>
      <c r="KL330" s="99"/>
      <c r="KM330" s="99"/>
      <c r="KN330" s="99"/>
      <c r="KO330" s="99"/>
      <c r="KP330" s="99"/>
      <c r="KQ330" s="99"/>
      <c r="KR330" s="99"/>
      <c r="KS330" s="99"/>
      <c r="KT330" s="99"/>
      <c r="KU330" s="99"/>
      <c r="KV330" s="99"/>
      <c r="KW330" s="99"/>
      <c r="KX330" s="99"/>
      <c r="KY330" s="99"/>
      <c r="KZ330" s="99"/>
      <c r="LA330" s="99"/>
      <c r="LB330" s="99"/>
      <c r="LC330" s="99"/>
      <c r="LD330" s="99"/>
      <c r="LE330" s="99"/>
      <c r="LF330" s="99"/>
      <c r="LG330" s="99"/>
      <c r="LH330" s="99"/>
      <c r="LI330" s="99"/>
      <c r="LJ330" s="99"/>
      <c r="LK330" s="99"/>
      <c r="LL330" s="99"/>
      <c r="LM330" s="99"/>
      <c r="LN330" s="99"/>
      <c r="LO330" s="99"/>
      <c r="LP330" s="99"/>
      <c r="LQ330" s="99"/>
      <c r="LR330" s="99"/>
      <c r="LS330" s="99"/>
      <c r="LT330" s="99"/>
      <c r="LU330" s="99"/>
      <c r="LV330" s="99"/>
      <c r="LW330" s="99"/>
      <c r="LX330" s="99"/>
      <c r="LY330" s="99"/>
      <c r="LZ330" s="99"/>
      <c r="MA330" s="99"/>
      <c r="MB330" s="99"/>
      <c r="MC330" s="99"/>
      <c r="MD330" s="99"/>
      <c r="ME330" s="99"/>
      <c r="MF330" s="99"/>
    </row>
    <row r="331" spans="3:344" ht="17.25" customHeight="1" x14ac:dyDescent="0.25">
      <c r="C331" s="77">
        <v>45465</v>
      </c>
      <c r="Q331" s="146"/>
      <c r="R331" s="146"/>
      <c r="S331" s="146"/>
      <c r="T331" s="146"/>
      <c r="U331" s="146"/>
      <c r="V331" s="147"/>
      <c r="JR331" s="99"/>
      <c r="JS331" s="99"/>
      <c r="JT331" s="99"/>
      <c r="JU331" s="99"/>
      <c r="JV331" s="99"/>
      <c r="JW331" s="99"/>
      <c r="JX331" s="99"/>
      <c r="JY331" s="99"/>
      <c r="JZ331" s="99"/>
      <c r="KA331" s="99"/>
      <c r="KB331" s="99"/>
      <c r="KC331" s="99"/>
      <c r="KD331" s="99"/>
      <c r="KE331" s="99"/>
      <c r="KF331" s="99"/>
      <c r="KG331" s="99"/>
      <c r="KH331" s="99"/>
      <c r="KI331" s="99"/>
      <c r="KJ331" s="99"/>
      <c r="KK331" s="99"/>
      <c r="KL331" s="99"/>
      <c r="KM331" s="99"/>
      <c r="KN331" s="99"/>
      <c r="KO331" s="99"/>
      <c r="KP331" s="99"/>
      <c r="KQ331" s="99"/>
      <c r="KR331" s="99"/>
      <c r="KS331" s="99"/>
      <c r="KT331" s="99"/>
      <c r="KU331" s="99"/>
      <c r="KV331" s="99"/>
      <c r="KW331" s="99"/>
      <c r="KX331" s="99"/>
      <c r="KY331" s="99"/>
      <c r="KZ331" s="99"/>
      <c r="LA331" s="99"/>
      <c r="LB331" s="99"/>
      <c r="LC331" s="99"/>
      <c r="LD331" s="99"/>
      <c r="LE331" s="99"/>
      <c r="LF331" s="99"/>
      <c r="LG331" s="99"/>
      <c r="LH331" s="99"/>
      <c r="LI331" s="99"/>
      <c r="LJ331" s="99"/>
      <c r="LK331" s="99"/>
      <c r="LL331" s="99"/>
      <c r="LM331" s="99"/>
      <c r="LN331" s="99"/>
      <c r="LO331" s="99"/>
      <c r="LP331" s="99"/>
      <c r="LQ331" s="99"/>
      <c r="LR331" s="99"/>
      <c r="LS331" s="99"/>
      <c r="LT331" s="99"/>
      <c r="LU331" s="99"/>
      <c r="LV331" s="99"/>
      <c r="LW331" s="99"/>
      <c r="LX331" s="99"/>
      <c r="LY331" s="99"/>
      <c r="LZ331" s="99"/>
      <c r="MA331" s="99"/>
      <c r="MB331" s="99"/>
      <c r="MC331" s="99"/>
      <c r="MD331" s="99"/>
      <c r="ME331" s="99"/>
      <c r="MF331" s="99"/>
    </row>
    <row r="332" spans="3:344" ht="17.25" customHeight="1" x14ac:dyDescent="0.25">
      <c r="C332" s="78">
        <v>45466</v>
      </c>
      <c r="Q332" s="146"/>
      <c r="R332" s="146"/>
      <c r="S332" s="146"/>
      <c r="T332" s="146"/>
      <c r="U332" s="146"/>
      <c r="V332" s="147"/>
      <c r="JR332" s="99"/>
      <c r="JS332" s="99"/>
      <c r="JT332" s="99"/>
      <c r="JU332" s="99"/>
      <c r="JV332" s="99"/>
      <c r="JW332" s="99"/>
      <c r="JX332" s="99"/>
      <c r="JY332" s="99"/>
      <c r="JZ332" s="99"/>
      <c r="KA332" s="99"/>
      <c r="KB332" s="99"/>
      <c r="KC332" s="99"/>
      <c r="KD332" s="99"/>
      <c r="KE332" s="99"/>
      <c r="KF332" s="99"/>
      <c r="KG332" s="99"/>
      <c r="KH332" s="99"/>
      <c r="KI332" s="99"/>
      <c r="KJ332" s="99"/>
      <c r="KK332" s="99"/>
      <c r="KL332" s="99"/>
      <c r="KM332" s="99"/>
      <c r="KN332" s="99"/>
      <c r="KO332" s="99"/>
      <c r="KP332" s="99"/>
      <c r="KQ332" s="99"/>
      <c r="KR332" s="99"/>
      <c r="KS332" s="99"/>
      <c r="KT332" s="99"/>
      <c r="KU332" s="99"/>
      <c r="KV332" s="99"/>
      <c r="KW332" s="99"/>
      <c r="KX332" s="99"/>
      <c r="KY332" s="99"/>
      <c r="KZ332" s="99"/>
      <c r="LA332" s="99"/>
      <c r="LB332" s="99"/>
      <c r="LC332" s="99"/>
      <c r="LD332" s="99"/>
      <c r="LE332" s="99"/>
      <c r="LF332" s="99"/>
      <c r="LG332" s="99"/>
      <c r="LH332" s="99"/>
      <c r="LI332" s="99"/>
      <c r="LJ332" s="99"/>
      <c r="LK332" s="99"/>
      <c r="LL332" s="99"/>
      <c r="LM332" s="99"/>
      <c r="LN332" s="99"/>
      <c r="LO332" s="99"/>
      <c r="LP332" s="99"/>
      <c r="LQ332" s="99"/>
      <c r="LR332" s="99"/>
      <c r="LS332" s="99"/>
      <c r="LT332" s="99"/>
      <c r="LU332" s="99"/>
      <c r="LV332" s="99"/>
      <c r="LW332" s="99"/>
      <c r="LX332" s="99"/>
      <c r="LY332" s="99"/>
      <c r="LZ332" s="99"/>
      <c r="MA332" s="99"/>
      <c r="MB332" s="99"/>
      <c r="MC332" s="99"/>
      <c r="MD332" s="99"/>
      <c r="ME332" s="99"/>
      <c r="MF332" s="99"/>
    </row>
    <row r="333" spans="3:344" ht="17.25" customHeight="1" x14ac:dyDescent="0.25">
      <c r="C333" s="77">
        <v>45467</v>
      </c>
      <c r="Q333" s="146"/>
      <c r="R333" s="146"/>
      <c r="S333" s="146"/>
      <c r="T333" s="146"/>
      <c r="U333" s="146"/>
      <c r="V333" s="147"/>
      <c r="JR333" s="99"/>
      <c r="JS333" s="99"/>
      <c r="JT333" s="99"/>
      <c r="JU333" s="99"/>
      <c r="JV333" s="99"/>
      <c r="JW333" s="99"/>
      <c r="JX333" s="99"/>
      <c r="JY333" s="99"/>
      <c r="JZ333" s="99"/>
      <c r="KA333" s="99"/>
      <c r="KB333" s="99"/>
      <c r="KC333" s="99"/>
      <c r="KD333" s="99"/>
      <c r="KE333" s="99"/>
      <c r="KF333" s="99"/>
      <c r="KG333" s="99"/>
      <c r="KH333" s="99"/>
      <c r="KI333" s="99"/>
      <c r="KJ333" s="99"/>
      <c r="KK333" s="99"/>
      <c r="KL333" s="99"/>
      <c r="KM333" s="99"/>
      <c r="KN333" s="99"/>
      <c r="KO333" s="99"/>
      <c r="KP333" s="99"/>
      <c r="KQ333" s="99"/>
      <c r="KR333" s="99"/>
      <c r="KS333" s="99"/>
      <c r="KT333" s="99"/>
      <c r="KU333" s="99"/>
      <c r="KV333" s="99"/>
      <c r="KW333" s="99"/>
      <c r="KX333" s="99"/>
      <c r="KY333" s="99"/>
      <c r="KZ333" s="99"/>
      <c r="LA333" s="99"/>
      <c r="LB333" s="99"/>
      <c r="LC333" s="99"/>
      <c r="LD333" s="99"/>
      <c r="LE333" s="99"/>
      <c r="LF333" s="99"/>
      <c r="LG333" s="99"/>
      <c r="LH333" s="99"/>
      <c r="LI333" s="99"/>
      <c r="LJ333" s="99"/>
      <c r="LK333" s="99"/>
      <c r="LL333" s="99"/>
      <c r="LM333" s="99"/>
      <c r="LN333" s="99"/>
      <c r="LO333" s="99"/>
      <c r="LP333" s="99"/>
      <c r="LQ333" s="99"/>
      <c r="LR333" s="99"/>
      <c r="LS333" s="99"/>
      <c r="LT333" s="99"/>
      <c r="LU333" s="99"/>
      <c r="LV333" s="99"/>
      <c r="LW333" s="99"/>
      <c r="LX333" s="99"/>
      <c r="LY333" s="99"/>
      <c r="LZ333" s="99"/>
      <c r="MA333" s="99"/>
      <c r="MB333" s="99"/>
      <c r="MC333" s="99"/>
      <c r="MD333" s="99"/>
      <c r="ME333" s="99"/>
      <c r="MF333" s="99"/>
    </row>
    <row r="334" spans="3:344" ht="17.25" customHeight="1" x14ac:dyDescent="0.25">
      <c r="C334" s="77">
        <v>45468</v>
      </c>
      <c r="Q334" s="146"/>
      <c r="R334" s="146"/>
      <c r="S334" s="146"/>
      <c r="T334" s="146"/>
      <c r="U334" s="146"/>
      <c r="V334" s="147"/>
      <c r="JR334" s="99"/>
      <c r="JS334" s="99"/>
      <c r="JT334" s="99"/>
      <c r="JU334" s="99"/>
      <c r="JV334" s="99"/>
      <c r="JW334" s="99"/>
      <c r="JX334" s="99"/>
      <c r="JY334" s="99"/>
      <c r="JZ334" s="99"/>
      <c r="KA334" s="99"/>
      <c r="KB334" s="99"/>
      <c r="KC334" s="99"/>
      <c r="KD334" s="99"/>
      <c r="KE334" s="99"/>
      <c r="KF334" s="99"/>
      <c r="KG334" s="99"/>
      <c r="KH334" s="99"/>
      <c r="KI334" s="99"/>
      <c r="KJ334" s="99"/>
      <c r="KK334" s="99"/>
      <c r="KL334" s="99"/>
      <c r="KM334" s="99"/>
      <c r="KN334" s="99"/>
      <c r="KO334" s="99"/>
      <c r="KP334" s="99"/>
      <c r="KQ334" s="99"/>
      <c r="KR334" s="99"/>
      <c r="KS334" s="99"/>
      <c r="KT334" s="99"/>
      <c r="KU334" s="99"/>
      <c r="KV334" s="99"/>
      <c r="KW334" s="99"/>
      <c r="KX334" s="99"/>
      <c r="KY334" s="99"/>
      <c r="KZ334" s="99"/>
      <c r="LA334" s="99"/>
      <c r="LB334" s="99"/>
      <c r="LC334" s="99"/>
      <c r="LD334" s="99"/>
      <c r="LE334" s="99"/>
      <c r="LF334" s="99"/>
      <c r="LG334" s="99"/>
      <c r="LH334" s="99"/>
      <c r="LI334" s="99"/>
      <c r="LJ334" s="99"/>
      <c r="LK334" s="99"/>
      <c r="LL334" s="99"/>
      <c r="LM334" s="99"/>
      <c r="LN334" s="99"/>
      <c r="LO334" s="99"/>
      <c r="LP334" s="99"/>
      <c r="LQ334" s="99"/>
      <c r="LR334" s="99"/>
      <c r="LS334" s="99"/>
      <c r="LT334" s="99"/>
      <c r="LU334" s="99"/>
      <c r="LV334" s="99"/>
      <c r="LW334" s="99"/>
      <c r="LX334" s="99"/>
      <c r="LY334" s="99"/>
      <c r="LZ334" s="99"/>
      <c r="MA334" s="99"/>
      <c r="MB334" s="99"/>
      <c r="MC334" s="99"/>
      <c r="MD334" s="99"/>
      <c r="ME334" s="99"/>
      <c r="MF334" s="99"/>
    </row>
    <row r="335" spans="3:344" ht="17.25" customHeight="1" x14ac:dyDescent="0.25">
      <c r="C335" s="77">
        <v>45469</v>
      </c>
      <c r="Q335" s="146"/>
      <c r="R335" s="146"/>
      <c r="S335" s="146"/>
      <c r="T335" s="146"/>
      <c r="U335" s="146"/>
      <c r="V335" s="147"/>
      <c r="JR335" s="99"/>
      <c r="JS335" s="99"/>
      <c r="JT335" s="99"/>
      <c r="JU335" s="99"/>
      <c r="JV335" s="99"/>
      <c r="JW335" s="99"/>
      <c r="JX335" s="99"/>
      <c r="JY335" s="99"/>
      <c r="JZ335" s="99"/>
      <c r="KA335" s="99"/>
      <c r="KB335" s="99"/>
      <c r="KC335" s="99"/>
      <c r="KD335" s="99"/>
      <c r="KE335" s="99"/>
      <c r="KF335" s="99"/>
      <c r="KG335" s="99"/>
      <c r="KH335" s="99"/>
      <c r="KI335" s="99"/>
      <c r="KJ335" s="99"/>
      <c r="KK335" s="99"/>
      <c r="KL335" s="99"/>
      <c r="KM335" s="99"/>
      <c r="KN335" s="99"/>
      <c r="KO335" s="99"/>
      <c r="KP335" s="99"/>
      <c r="KQ335" s="99"/>
      <c r="KR335" s="99"/>
      <c r="KS335" s="99"/>
      <c r="KT335" s="99"/>
      <c r="KU335" s="99"/>
      <c r="KV335" s="99"/>
      <c r="KW335" s="99"/>
      <c r="KX335" s="99"/>
      <c r="KY335" s="99"/>
      <c r="KZ335" s="99"/>
      <c r="LA335" s="99"/>
      <c r="LB335" s="99"/>
      <c r="LC335" s="99"/>
      <c r="LD335" s="99"/>
      <c r="LE335" s="99"/>
      <c r="LF335" s="99"/>
      <c r="LG335" s="99"/>
      <c r="LH335" s="99"/>
      <c r="LI335" s="99"/>
      <c r="LJ335" s="99"/>
      <c r="LK335" s="99"/>
      <c r="LL335" s="99"/>
      <c r="LM335" s="99"/>
      <c r="LN335" s="99"/>
      <c r="LO335" s="99"/>
      <c r="LP335" s="99"/>
      <c r="LQ335" s="99"/>
      <c r="LR335" s="99"/>
      <c r="LS335" s="99"/>
      <c r="LT335" s="99"/>
      <c r="LU335" s="99"/>
      <c r="LV335" s="99"/>
      <c r="LW335" s="99"/>
      <c r="LX335" s="99"/>
      <c r="LY335" s="99"/>
      <c r="LZ335" s="99"/>
      <c r="MA335" s="99"/>
      <c r="MB335" s="99"/>
      <c r="MC335" s="99"/>
      <c r="MD335" s="99"/>
      <c r="ME335" s="99"/>
      <c r="MF335" s="99"/>
    </row>
    <row r="336" spans="3:344" ht="17.25" customHeight="1" x14ac:dyDescent="0.25">
      <c r="C336" s="77">
        <v>45470</v>
      </c>
      <c r="Q336" s="146"/>
      <c r="R336" s="146"/>
      <c r="S336" s="146"/>
      <c r="T336" s="146"/>
      <c r="U336" s="146"/>
      <c r="V336" s="147"/>
      <c r="JR336" s="99"/>
      <c r="JS336" s="99"/>
      <c r="JT336" s="99"/>
      <c r="JU336" s="99"/>
      <c r="JV336" s="99"/>
      <c r="JW336" s="99"/>
      <c r="JX336" s="99"/>
      <c r="JY336" s="99"/>
      <c r="JZ336" s="99"/>
      <c r="KA336" s="99"/>
      <c r="KB336" s="99"/>
      <c r="KC336" s="99"/>
      <c r="KD336" s="99"/>
      <c r="KE336" s="99"/>
      <c r="KF336" s="99"/>
      <c r="KG336" s="99"/>
      <c r="KH336" s="99"/>
      <c r="KI336" s="99"/>
      <c r="KJ336" s="99"/>
      <c r="KK336" s="99"/>
      <c r="KL336" s="99"/>
      <c r="KM336" s="99"/>
      <c r="KN336" s="99"/>
      <c r="KO336" s="99"/>
      <c r="KP336" s="99"/>
      <c r="KQ336" s="99"/>
      <c r="KR336" s="99"/>
      <c r="KS336" s="99"/>
      <c r="KT336" s="99"/>
      <c r="KU336" s="99"/>
      <c r="KV336" s="99"/>
      <c r="KW336" s="99"/>
      <c r="KX336" s="99"/>
      <c r="KY336" s="99"/>
      <c r="KZ336" s="99"/>
      <c r="LA336" s="99"/>
      <c r="LB336" s="99"/>
      <c r="LC336" s="99"/>
      <c r="LD336" s="99"/>
      <c r="LE336" s="99"/>
      <c r="LF336" s="99"/>
      <c r="LG336" s="99"/>
      <c r="LH336" s="99"/>
      <c r="LI336" s="99"/>
      <c r="LJ336" s="99"/>
      <c r="LK336" s="99"/>
      <c r="LL336" s="99"/>
      <c r="LM336" s="99"/>
      <c r="LN336" s="99"/>
      <c r="LO336" s="99"/>
      <c r="LP336" s="99"/>
      <c r="LQ336" s="99"/>
      <c r="LR336" s="99"/>
      <c r="LS336" s="99"/>
      <c r="LT336" s="99"/>
      <c r="LU336" s="99"/>
      <c r="LV336" s="99"/>
      <c r="LW336" s="99"/>
      <c r="LX336" s="99"/>
      <c r="LY336" s="99"/>
      <c r="LZ336" s="99"/>
      <c r="MA336" s="99"/>
      <c r="MB336" s="99"/>
      <c r="MC336" s="99"/>
      <c r="MD336" s="99"/>
      <c r="ME336" s="99"/>
      <c r="MF336" s="99"/>
    </row>
    <row r="337" spans="3:344" ht="17.25" customHeight="1" x14ac:dyDescent="0.25">
      <c r="C337" s="77">
        <v>45471</v>
      </c>
      <c r="Q337" s="146"/>
      <c r="R337" s="146"/>
      <c r="S337" s="146"/>
      <c r="T337" s="146"/>
      <c r="U337" s="146"/>
      <c r="V337" s="147"/>
      <c r="JR337" s="99"/>
      <c r="JS337" s="99"/>
      <c r="JT337" s="99"/>
      <c r="JU337" s="99"/>
      <c r="JV337" s="99"/>
      <c r="JW337" s="99"/>
      <c r="JX337" s="99"/>
      <c r="JY337" s="99"/>
      <c r="JZ337" s="99"/>
      <c r="KA337" s="99"/>
      <c r="KB337" s="99"/>
      <c r="KC337" s="99"/>
      <c r="KD337" s="99"/>
      <c r="KE337" s="99"/>
      <c r="KF337" s="99"/>
      <c r="KG337" s="99"/>
      <c r="KH337" s="99"/>
      <c r="KI337" s="99"/>
      <c r="KJ337" s="99"/>
      <c r="KK337" s="99"/>
      <c r="KL337" s="99"/>
      <c r="KM337" s="99"/>
      <c r="KN337" s="99"/>
      <c r="KO337" s="99"/>
      <c r="KP337" s="99"/>
      <c r="KQ337" s="99"/>
      <c r="KR337" s="99"/>
      <c r="KS337" s="99"/>
      <c r="KT337" s="99"/>
      <c r="KU337" s="99"/>
      <c r="KV337" s="99"/>
      <c r="KW337" s="99"/>
      <c r="KX337" s="99"/>
      <c r="KY337" s="99"/>
      <c r="KZ337" s="99"/>
      <c r="LA337" s="99"/>
      <c r="LB337" s="99"/>
      <c r="LC337" s="99"/>
      <c r="LD337" s="99"/>
      <c r="LE337" s="99"/>
      <c r="LF337" s="99"/>
      <c r="LG337" s="99"/>
      <c r="LH337" s="99"/>
      <c r="LI337" s="99"/>
      <c r="LJ337" s="99"/>
      <c r="LK337" s="99"/>
      <c r="LL337" s="99"/>
      <c r="LM337" s="99"/>
      <c r="LN337" s="99"/>
      <c r="LO337" s="99"/>
      <c r="LP337" s="99"/>
      <c r="LQ337" s="99"/>
      <c r="LR337" s="99"/>
      <c r="LS337" s="99"/>
      <c r="LT337" s="99"/>
      <c r="LU337" s="99"/>
      <c r="LV337" s="99"/>
      <c r="LW337" s="99"/>
      <c r="LX337" s="99"/>
      <c r="LY337" s="99"/>
      <c r="LZ337" s="99"/>
      <c r="MA337" s="99"/>
      <c r="MB337" s="99"/>
      <c r="MC337" s="99"/>
      <c r="MD337" s="99"/>
      <c r="ME337" s="99"/>
      <c r="MF337" s="99"/>
    </row>
    <row r="338" spans="3:344" ht="17.25" customHeight="1" x14ac:dyDescent="0.25">
      <c r="C338" s="77">
        <v>45472</v>
      </c>
      <c r="Q338" s="146"/>
      <c r="R338" s="146"/>
      <c r="S338" s="146"/>
      <c r="T338" s="146"/>
      <c r="U338" s="146"/>
      <c r="V338" s="147"/>
      <c r="JR338" s="99"/>
      <c r="JS338" s="99"/>
      <c r="JT338" s="99"/>
      <c r="JU338" s="99"/>
      <c r="JV338" s="99"/>
      <c r="JW338" s="99"/>
      <c r="JX338" s="99"/>
      <c r="JY338" s="99"/>
      <c r="JZ338" s="99"/>
      <c r="KA338" s="99"/>
      <c r="KB338" s="99"/>
      <c r="KC338" s="99"/>
      <c r="KD338" s="99"/>
      <c r="KE338" s="99"/>
      <c r="KF338" s="99"/>
      <c r="KG338" s="99"/>
      <c r="KH338" s="99"/>
      <c r="KI338" s="99"/>
      <c r="KJ338" s="99"/>
      <c r="KK338" s="99"/>
      <c r="KL338" s="99"/>
      <c r="KM338" s="99"/>
      <c r="KN338" s="99"/>
      <c r="KO338" s="99"/>
      <c r="KP338" s="99"/>
      <c r="KQ338" s="99"/>
      <c r="KR338" s="99"/>
      <c r="KS338" s="99"/>
      <c r="KT338" s="99"/>
      <c r="KU338" s="99"/>
      <c r="KV338" s="99"/>
      <c r="KW338" s="99"/>
      <c r="KX338" s="99"/>
      <c r="KY338" s="99"/>
      <c r="KZ338" s="99"/>
      <c r="LA338" s="99"/>
      <c r="LB338" s="99"/>
      <c r="LC338" s="99"/>
      <c r="LD338" s="99"/>
      <c r="LE338" s="99"/>
      <c r="LF338" s="99"/>
      <c r="LG338" s="99"/>
      <c r="LH338" s="99"/>
      <c r="LI338" s="99"/>
      <c r="LJ338" s="99"/>
      <c r="LK338" s="99"/>
      <c r="LL338" s="99"/>
      <c r="LM338" s="99"/>
      <c r="LN338" s="99"/>
      <c r="LO338" s="99"/>
      <c r="LP338" s="99"/>
      <c r="LQ338" s="99"/>
      <c r="LR338" s="99"/>
      <c r="LS338" s="99"/>
      <c r="LT338" s="99"/>
      <c r="LU338" s="99"/>
      <c r="LV338" s="99"/>
      <c r="LW338" s="99"/>
      <c r="LX338" s="99"/>
      <c r="LY338" s="99"/>
      <c r="LZ338" s="99"/>
      <c r="MA338" s="99"/>
      <c r="MB338" s="99"/>
      <c r="MC338" s="99"/>
      <c r="MD338" s="99"/>
      <c r="ME338" s="99"/>
      <c r="MF338" s="99"/>
    </row>
    <row r="339" spans="3:344" ht="17.25" customHeight="1" x14ac:dyDescent="0.25">
      <c r="C339" s="78">
        <v>45473</v>
      </c>
      <c r="Q339" s="146"/>
      <c r="R339" s="146"/>
      <c r="S339" s="146"/>
      <c r="T339" s="146"/>
      <c r="U339" s="146"/>
      <c r="V339" s="147"/>
      <c r="JR339" s="99"/>
      <c r="JS339" s="99"/>
      <c r="JT339" s="99"/>
      <c r="JU339" s="99"/>
      <c r="JV339" s="99"/>
      <c r="JW339" s="99"/>
      <c r="JX339" s="99"/>
      <c r="JY339" s="99"/>
      <c r="JZ339" s="99"/>
      <c r="KA339" s="99"/>
      <c r="KB339" s="99"/>
      <c r="KC339" s="99"/>
      <c r="KD339" s="99"/>
      <c r="KE339" s="99"/>
      <c r="KF339" s="99"/>
      <c r="KG339" s="99"/>
      <c r="KH339" s="99"/>
      <c r="KI339" s="99"/>
      <c r="KJ339" s="99"/>
      <c r="KK339" s="99"/>
      <c r="KL339" s="99"/>
      <c r="KM339" s="99"/>
      <c r="KN339" s="99"/>
      <c r="KO339" s="99"/>
      <c r="KP339" s="99"/>
      <c r="KQ339" s="99"/>
      <c r="KR339" s="99"/>
      <c r="KS339" s="99"/>
      <c r="KT339" s="99"/>
      <c r="KU339" s="99"/>
      <c r="KV339" s="99"/>
      <c r="KW339" s="99"/>
      <c r="KX339" s="99"/>
      <c r="KY339" s="99"/>
      <c r="KZ339" s="99"/>
      <c r="LA339" s="99"/>
      <c r="LB339" s="99"/>
      <c r="LC339" s="99"/>
      <c r="LD339" s="99"/>
      <c r="LE339" s="99"/>
      <c r="LF339" s="99"/>
      <c r="LG339" s="99"/>
      <c r="LH339" s="99"/>
      <c r="LI339" s="99"/>
      <c r="LJ339" s="99"/>
      <c r="LK339" s="99"/>
      <c r="LL339" s="99"/>
      <c r="LM339" s="99"/>
      <c r="LN339" s="99"/>
      <c r="LO339" s="99"/>
      <c r="LP339" s="99"/>
      <c r="LQ339" s="99"/>
      <c r="LR339" s="99"/>
      <c r="LS339" s="99"/>
      <c r="LT339" s="99"/>
      <c r="LU339" s="99"/>
      <c r="LV339" s="99"/>
      <c r="LW339" s="99"/>
      <c r="LX339" s="99"/>
      <c r="LY339" s="99"/>
      <c r="LZ339" s="99"/>
      <c r="MA339" s="99"/>
      <c r="MB339" s="99"/>
      <c r="MC339" s="99"/>
      <c r="MD339" s="99"/>
      <c r="ME339" s="99"/>
      <c r="MF339" s="99"/>
    </row>
    <row r="340" spans="3:344" ht="17.25" customHeight="1" x14ac:dyDescent="0.25">
      <c r="Q340" s="146"/>
      <c r="R340" s="146"/>
      <c r="S340" s="146"/>
      <c r="T340" s="146"/>
      <c r="U340" s="146"/>
      <c r="V340" s="147"/>
      <c r="JR340" s="99"/>
      <c r="JS340" s="99"/>
      <c r="JT340" s="99"/>
      <c r="JU340" s="99"/>
      <c r="JV340" s="99"/>
      <c r="JW340" s="99"/>
      <c r="JX340" s="99"/>
      <c r="JY340" s="99"/>
      <c r="JZ340" s="99"/>
      <c r="KA340" s="99"/>
      <c r="KB340" s="99"/>
      <c r="KC340" s="99"/>
      <c r="KD340" s="99"/>
      <c r="KE340" s="99"/>
      <c r="KF340" s="99"/>
      <c r="KG340" s="99"/>
      <c r="KH340" s="99"/>
      <c r="KI340" s="99"/>
      <c r="KJ340" s="99"/>
      <c r="KK340" s="99"/>
      <c r="KL340" s="99"/>
      <c r="KM340" s="99"/>
      <c r="KN340" s="99"/>
      <c r="KO340" s="99"/>
      <c r="KP340" s="99"/>
      <c r="KQ340" s="99"/>
      <c r="KR340" s="99"/>
      <c r="KS340" s="99"/>
      <c r="KT340" s="99"/>
      <c r="KU340" s="99"/>
      <c r="KV340" s="99"/>
      <c r="KW340" s="99"/>
      <c r="KX340" s="99"/>
      <c r="KY340" s="99"/>
      <c r="KZ340" s="99"/>
      <c r="LA340" s="99"/>
      <c r="LB340" s="99"/>
      <c r="LC340" s="99"/>
      <c r="LD340" s="99"/>
      <c r="LE340" s="99"/>
      <c r="LF340" s="99"/>
      <c r="LG340" s="99"/>
      <c r="LH340" s="99"/>
      <c r="LI340" s="99"/>
      <c r="LJ340" s="99"/>
      <c r="LK340" s="99"/>
      <c r="LL340" s="99"/>
      <c r="LM340" s="99"/>
      <c r="LN340" s="99"/>
      <c r="LO340" s="99"/>
      <c r="LP340" s="99"/>
      <c r="LQ340" s="99"/>
      <c r="LR340" s="99"/>
      <c r="LS340" s="99"/>
      <c r="LT340" s="99"/>
      <c r="LU340" s="99"/>
      <c r="LV340" s="99"/>
      <c r="LW340" s="99"/>
      <c r="LX340" s="99"/>
      <c r="LY340" s="99"/>
      <c r="LZ340" s="99"/>
      <c r="MA340" s="99"/>
      <c r="MB340" s="99"/>
      <c r="MC340" s="99"/>
      <c r="MD340" s="99"/>
      <c r="ME340" s="99"/>
      <c r="MF340" s="99"/>
    </row>
    <row r="341" spans="3:344" ht="17.25" customHeight="1" x14ac:dyDescent="0.25">
      <c r="Q341" s="146"/>
      <c r="R341" s="146"/>
      <c r="S341" s="146"/>
      <c r="T341" s="146"/>
      <c r="U341" s="146"/>
      <c r="V341" s="147"/>
      <c r="JR341" s="99"/>
      <c r="JS341" s="99"/>
      <c r="JT341" s="99"/>
      <c r="JU341" s="99"/>
      <c r="JV341" s="99"/>
      <c r="JW341" s="99"/>
      <c r="JX341" s="99"/>
      <c r="JY341" s="99"/>
      <c r="JZ341" s="99"/>
      <c r="KA341" s="99"/>
      <c r="KB341" s="99"/>
      <c r="KC341" s="99"/>
      <c r="KD341" s="99"/>
      <c r="KE341" s="99"/>
      <c r="KF341" s="99"/>
      <c r="KG341" s="99"/>
      <c r="KH341" s="99"/>
      <c r="KI341" s="99"/>
      <c r="KJ341" s="99"/>
      <c r="KK341" s="99"/>
      <c r="KL341" s="99"/>
      <c r="KM341" s="99"/>
      <c r="KN341" s="99"/>
      <c r="KO341" s="99"/>
      <c r="KP341" s="99"/>
      <c r="KQ341" s="99"/>
      <c r="KR341" s="99"/>
      <c r="KS341" s="99"/>
      <c r="KT341" s="99"/>
      <c r="KU341" s="99"/>
      <c r="KV341" s="99"/>
      <c r="KW341" s="99"/>
      <c r="KX341" s="99"/>
      <c r="KY341" s="99"/>
      <c r="KZ341" s="99"/>
      <c r="LA341" s="99"/>
      <c r="LB341" s="99"/>
      <c r="LC341" s="99"/>
      <c r="LD341" s="99"/>
      <c r="LE341" s="99"/>
      <c r="LF341" s="99"/>
      <c r="LG341" s="99"/>
      <c r="LH341" s="99"/>
      <c r="LI341" s="99"/>
      <c r="LJ341" s="99"/>
      <c r="LK341" s="99"/>
      <c r="LL341" s="99"/>
      <c r="LM341" s="99"/>
      <c r="LN341" s="99"/>
      <c r="LO341" s="99"/>
      <c r="LP341" s="99"/>
      <c r="LQ341" s="99"/>
      <c r="LR341" s="99"/>
      <c r="LS341" s="99"/>
      <c r="LT341" s="99"/>
      <c r="LU341" s="99"/>
      <c r="LV341" s="99"/>
      <c r="LW341" s="99"/>
      <c r="LX341" s="99"/>
      <c r="LY341" s="99"/>
      <c r="LZ341" s="99"/>
      <c r="MA341" s="99"/>
      <c r="MB341" s="99"/>
      <c r="MC341" s="99"/>
      <c r="MD341" s="99"/>
      <c r="ME341" s="99"/>
      <c r="MF341" s="99"/>
    </row>
    <row r="342" spans="3:344" ht="17.25" customHeight="1" x14ac:dyDescent="0.25">
      <c r="Q342" s="146"/>
      <c r="R342" s="146"/>
      <c r="S342" s="146"/>
      <c r="T342" s="146"/>
      <c r="U342" s="146"/>
      <c r="V342" s="147"/>
      <c r="JR342" s="99"/>
      <c r="JS342" s="99"/>
      <c r="JT342" s="99"/>
      <c r="JU342" s="99"/>
      <c r="JV342" s="99"/>
      <c r="JW342" s="99"/>
      <c r="JX342" s="99"/>
      <c r="JY342" s="99"/>
      <c r="JZ342" s="99"/>
      <c r="KA342" s="99"/>
      <c r="KB342" s="99"/>
      <c r="KC342" s="99"/>
      <c r="KD342" s="99"/>
      <c r="KE342" s="99"/>
      <c r="KF342" s="99"/>
      <c r="KG342" s="99"/>
      <c r="KH342" s="99"/>
      <c r="KI342" s="99"/>
      <c r="KJ342" s="99"/>
      <c r="KK342" s="99"/>
      <c r="KL342" s="99"/>
      <c r="KM342" s="99"/>
      <c r="KN342" s="99"/>
      <c r="KO342" s="99"/>
      <c r="KP342" s="99"/>
      <c r="KQ342" s="99"/>
      <c r="KR342" s="99"/>
      <c r="KS342" s="99"/>
      <c r="KT342" s="99"/>
      <c r="KU342" s="99"/>
      <c r="KV342" s="99"/>
      <c r="KW342" s="99"/>
      <c r="KX342" s="99"/>
      <c r="KY342" s="99"/>
      <c r="KZ342" s="99"/>
      <c r="LA342" s="99"/>
      <c r="LB342" s="99"/>
      <c r="LC342" s="99"/>
      <c r="LD342" s="99"/>
      <c r="LE342" s="99"/>
      <c r="LF342" s="99"/>
      <c r="LG342" s="99"/>
      <c r="LH342" s="99"/>
      <c r="LI342" s="99"/>
      <c r="LJ342" s="99"/>
      <c r="LK342" s="99"/>
      <c r="LL342" s="99"/>
      <c r="LM342" s="99"/>
      <c r="LN342" s="99"/>
      <c r="LO342" s="99"/>
      <c r="LP342" s="99"/>
      <c r="LQ342" s="99"/>
      <c r="LR342" s="99"/>
      <c r="LS342" s="99"/>
      <c r="LT342" s="99"/>
      <c r="LU342" s="99"/>
      <c r="LV342" s="99"/>
      <c r="LW342" s="99"/>
      <c r="LX342" s="99"/>
      <c r="LY342" s="99"/>
      <c r="LZ342" s="99"/>
      <c r="MA342" s="99"/>
      <c r="MB342" s="99"/>
      <c r="MC342" s="99"/>
      <c r="MD342" s="99"/>
      <c r="ME342" s="99"/>
      <c r="MF342" s="99"/>
    </row>
    <row r="343" spans="3:344" ht="17.25" customHeight="1" x14ac:dyDescent="0.25">
      <c r="Q343" s="146"/>
      <c r="R343" s="146"/>
      <c r="S343" s="146"/>
      <c r="T343" s="146"/>
      <c r="U343" s="146"/>
      <c r="V343" s="147"/>
      <c r="JR343" s="99"/>
      <c r="JS343" s="99"/>
      <c r="JT343" s="99"/>
      <c r="JU343" s="99"/>
      <c r="JV343" s="99"/>
      <c r="JW343" s="99"/>
      <c r="JX343" s="99"/>
      <c r="JY343" s="99"/>
      <c r="JZ343" s="99"/>
      <c r="KA343" s="99"/>
      <c r="KB343" s="99"/>
      <c r="KC343" s="99"/>
      <c r="KD343" s="99"/>
      <c r="KE343" s="99"/>
      <c r="KF343" s="99"/>
      <c r="KG343" s="99"/>
      <c r="KH343" s="99"/>
      <c r="KI343" s="99"/>
      <c r="KJ343" s="99"/>
      <c r="KK343" s="99"/>
      <c r="KL343" s="99"/>
      <c r="KM343" s="99"/>
      <c r="KN343" s="99"/>
      <c r="KO343" s="99"/>
      <c r="KP343" s="99"/>
      <c r="KQ343" s="99"/>
      <c r="KR343" s="99"/>
      <c r="KS343" s="99"/>
      <c r="KT343" s="99"/>
      <c r="KU343" s="99"/>
      <c r="KV343" s="99"/>
      <c r="KW343" s="99"/>
      <c r="KX343" s="99"/>
      <c r="KY343" s="99"/>
      <c r="KZ343" s="99"/>
      <c r="LA343" s="99"/>
      <c r="LB343" s="99"/>
      <c r="LC343" s="99"/>
      <c r="LD343" s="99"/>
      <c r="LE343" s="99"/>
      <c r="LF343" s="99"/>
      <c r="LG343" s="99"/>
      <c r="LH343" s="99"/>
      <c r="LI343" s="99"/>
      <c r="LJ343" s="99"/>
      <c r="LK343" s="99"/>
      <c r="LL343" s="99"/>
      <c r="LM343" s="99"/>
      <c r="LN343" s="99"/>
      <c r="LO343" s="99"/>
      <c r="LP343" s="99"/>
      <c r="LQ343" s="99"/>
      <c r="LR343" s="99"/>
      <c r="LS343" s="99"/>
      <c r="LT343" s="99"/>
      <c r="LU343" s="99"/>
      <c r="LV343" s="99"/>
      <c r="LW343" s="99"/>
      <c r="LX343" s="99"/>
      <c r="LY343" s="99"/>
      <c r="LZ343" s="99"/>
      <c r="MA343" s="99"/>
      <c r="MB343" s="99"/>
      <c r="MC343" s="99"/>
      <c r="MD343" s="99"/>
      <c r="ME343" s="99"/>
      <c r="MF343" s="99"/>
    </row>
    <row r="344" spans="3:344" ht="17.25" customHeight="1" x14ac:dyDescent="0.25">
      <c r="Q344" s="146"/>
      <c r="R344" s="146"/>
      <c r="S344" s="146"/>
      <c r="T344" s="146"/>
      <c r="U344" s="146"/>
      <c r="V344" s="147"/>
      <c r="JR344" s="99"/>
      <c r="JS344" s="99"/>
      <c r="JT344" s="99"/>
      <c r="JU344" s="99"/>
      <c r="JV344" s="99"/>
      <c r="JW344" s="99"/>
      <c r="JX344" s="99"/>
      <c r="JY344" s="99"/>
      <c r="JZ344" s="99"/>
      <c r="KA344" s="99"/>
      <c r="KB344" s="99"/>
      <c r="KC344" s="99"/>
      <c r="KD344" s="99"/>
      <c r="KE344" s="99"/>
      <c r="KF344" s="99"/>
      <c r="KG344" s="99"/>
      <c r="KH344" s="99"/>
      <c r="KI344" s="99"/>
      <c r="KJ344" s="99"/>
      <c r="KK344" s="99"/>
      <c r="KL344" s="99"/>
      <c r="KM344" s="99"/>
      <c r="KN344" s="99"/>
      <c r="KO344" s="99"/>
      <c r="KP344" s="99"/>
      <c r="KQ344" s="99"/>
      <c r="KR344" s="99"/>
      <c r="KS344" s="99"/>
      <c r="KT344" s="99"/>
      <c r="KU344" s="99"/>
      <c r="KV344" s="99"/>
      <c r="KW344" s="99"/>
      <c r="KX344" s="99"/>
      <c r="KY344" s="99"/>
      <c r="KZ344" s="99"/>
      <c r="LA344" s="99"/>
      <c r="LB344" s="99"/>
      <c r="LC344" s="99"/>
      <c r="LD344" s="99"/>
      <c r="LE344" s="99"/>
      <c r="LF344" s="99"/>
      <c r="LG344" s="99"/>
      <c r="LH344" s="99"/>
      <c r="LI344" s="99"/>
      <c r="LJ344" s="99"/>
      <c r="LK344" s="99"/>
      <c r="LL344" s="99"/>
      <c r="LM344" s="99"/>
      <c r="LN344" s="99"/>
      <c r="LO344" s="99"/>
      <c r="LP344" s="99"/>
      <c r="LQ344" s="99"/>
      <c r="LR344" s="99"/>
      <c r="LS344" s="99"/>
      <c r="LT344" s="99"/>
      <c r="LU344" s="99"/>
      <c r="LV344" s="99"/>
      <c r="LW344" s="99"/>
      <c r="LX344" s="99"/>
      <c r="LY344" s="99"/>
      <c r="LZ344" s="99"/>
      <c r="MA344" s="99"/>
      <c r="MB344" s="99"/>
      <c r="MC344" s="99"/>
      <c r="MD344" s="99"/>
      <c r="ME344" s="99"/>
      <c r="MF344" s="99"/>
    </row>
    <row r="345" spans="3:344" ht="17.25" customHeight="1" x14ac:dyDescent="0.25">
      <c r="Q345" s="146"/>
      <c r="R345" s="146"/>
      <c r="S345" s="146"/>
      <c r="T345" s="146"/>
      <c r="U345" s="146"/>
      <c r="V345" s="147"/>
      <c r="JR345" s="99"/>
      <c r="JS345" s="99"/>
      <c r="JT345" s="99"/>
      <c r="JU345" s="99"/>
      <c r="JV345" s="99"/>
      <c r="JW345" s="99"/>
      <c r="JX345" s="99"/>
      <c r="JY345" s="99"/>
      <c r="JZ345" s="99"/>
      <c r="KA345" s="99"/>
      <c r="KB345" s="99"/>
      <c r="KC345" s="99"/>
      <c r="KD345" s="99"/>
      <c r="KE345" s="99"/>
      <c r="KF345" s="99"/>
      <c r="KG345" s="99"/>
      <c r="KH345" s="99"/>
      <c r="KI345" s="99"/>
      <c r="KJ345" s="99"/>
      <c r="KK345" s="99"/>
      <c r="KL345" s="99"/>
      <c r="KM345" s="99"/>
      <c r="KN345" s="99"/>
      <c r="KO345" s="99"/>
      <c r="KP345" s="99"/>
      <c r="KQ345" s="99"/>
      <c r="KR345" s="99"/>
      <c r="KS345" s="99"/>
      <c r="KT345" s="99"/>
      <c r="KU345" s="99"/>
      <c r="KV345" s="99"/>
      <c r="KW345" s="99"/>
      <c r="KX345" s="99"/>
      <c r="KY345" s="99"/>
      <c r="KZ345" s="99"/>
      <c r="LA345" s="99"/>
      <c r="LB345" s="99"/>
      <c r="LC345" s="99"/>
      <c r="LD345" s="99"/>
      <c r="LE345" s="99"/>
      <c r="LF345" s="99"/>
      <c r="LG345" s="99"/>
      <c r="LH345" s="99"/>
      <c r="LI345" s="99"/>
      <c r="LJ345" s="99"/>
      <c r="LK345" s="99"/>
      <c r="LL345" s="99"/>
      <c r="LM345" s="99"/>
      <c r="LN345" s="99"/>
      <c r="LO345" s="99"/>
      <c r="LP345" s="99"/>
      <c r="LQ345" s="99"/>
      <c r="LR345" s="99"/>
      <c r="LS345" s="99"/>
      <c r="LT345" s="99"/>
      <c r="LU345" s="99"/>
      <c r="LV345" s="99"/>
      <c r="LW345" s="99"/>
      <c r="LX345" s="99"/>
      <c r="LY345" s="99"/>
      <c r="LZ345" s="99"/>
      <c r="MA345" s="99"/>
      <c r="MB345" s="99"/>
      <c r="MC345" s="99"/>
      <c r="MD345" s="99"/>
      <c r="ME345" s="99"/>
      <c r="MF345" s="99"/>
    </row>
    <row r="346" spans="3:344" ht="17.25" customHeight="1" x14ac:dyDescent="0.25">
      <c r="Q346" s="146"/>
      <c r="R346" s="146"/>
      <c r="S346" s="146"/>
      <c r="T346" s="146"/>
      <c r="U346" s="146"/>
      <c r="V346" s="147"/>
      <c r="JR346" s="99"/>
      <c r="JS346" s="99"/>
      <c r="JT346" s="99"/>
      <c r="JU346" s="99"/>
      <c r="JV346" s="99"/>
      <c r="JW346" s="99"/>
      <c r="JX346" s="99"/>
      <c r="JY346" s="99"/>
      <c r="JZ346" s="99"/>
      <c r="KA346" s="99"/>
      <c r="KB346" s="99"/>
      <c r="KC346" s="99"/>
      <c r="KD346" s="99"/>
      <c r="KE346" s="99"/>
      <c r="KF346" s="99"/>
      <c r="KG346" s="99"/>
      <c r="KH346" s="99"/>
      <c r="KI346" s="99"/>
      <c r="KJ346" s="99"/>
      <c r="KK346" s="99"/>
      <c r="KL346" s="99"/>
      <c r="KM346" s="99"/>
      <c r="KN346" s="99"/>
      <c r="KO346" s="99"/>
      <c r="KP346" s="99"/>
      <c r="KQ346" s="99"/>
      <c r="KR346" s="99"/>
      <c r="KS346" s="99"/>
      <c r="KT346" s="99"/>
      <c r="KU346" s="99"/>
      <c r="KV346" s="99"/>
      <c r="KW346" s="99"/>
      <c r="KX346" s="99"/>
      <c r="KY346" s="99"/>
      <c r="KZ346" s="99"/>
      <c r="LA346" s="99"/>
      <c r="LB346" s="99"/>
      <c r="LC346" s="99"/>
      <c r="LD346" s="99"/>
      <c r="LE346" s="99"/>
      <c r="LF346" s="99"/>
      <c r="LG346" s="99"/>
      <c r="LH346" s="99"/>
      <c r="LI346" s="99"/>
      <c r="LJ346" s="99"/>
      <c r="LK346" s="99"/>
      <c r="LL346" s="99"/>
      <c r="LM346" s="99"/>
      <c r="LN346" s="99"/>
      <c r="LO346" s="99"/>
      <c r="LP346" s="99"/>
      <c r="LQ346" s="99"/>
      <c r="LR346" s="99"/>
      <c r="LS346" s="99"/>
      <c r="LT346" s="99"/>
      <c r="LU346" s="99"/>
      <c r="LV346" s="99"/>
      <c r="LW346" s="99"/>
      <c r="LX346" s="99"/>
      <c r="LY346" s="99"/>
      <c r="LZ346" s="99"/>
      <c r="MA346" s="99"/>
      <c r="MB346" s="99"/>
      <c r="MC346" s="99"/>
      <c r="MD346" s="99"/>
      <c r="ME346" s="99"/>
      <c r="MF346" s="99"/>
    </row>
    <row r="347" spans="3:344" ht="17.25" customHeight="1" x14ac:dyDescent="0.25">
      <c r="Q347" s="146"/>
      <c r="R347" s="146"/>
      <c r="S347" s="146"/>
      <c r="T347" s="146"/>
      <c r="U347" s="146"/>
      <c r="V347" s="147"/>
    </row>
    <row r="348" spans="3:344" ht="17.25" customHeight="1" x14ac:dyDescent="0.25">
      <c r="Q348" s="146"/>
      <c r="R348" s="146"/>
      <c r="S348" s="146"/>
      <c r="T348" s="146"/>
      <c r="U348" s="146"/>
      <c r="V348" s="147"/>
    </row>
    <row r="349" spans="3:344" ht="17.25" customHeight="1" x14ac:dyDescent="0.25">
      <c r="Q349" s="146"/>
      <c r="R349" s="146"/>
      <c r="S349" s="146"/>
      <c r="T349" s="146"/>
      <c r="U349" s="146"/>
      <c r="V349" s="147"/>
    </row>
    <row r="350" spans="3:344" ht="17.25" customHeight="1" x14ac:dyDescent="0.25">
      <c r="Q350" s="146"/>
      <c r="R350" s="146"/>
      <c r="S350" s="146"/>
      <c r="T350" s="146"/>
      <c r="U350" s="146"/>
      <c r="V350" s="147"/>
    </row>
    <row r="351" spans="3:344" ht="17.25" customHeight="1" x14ac:dyDescent="0.25">
      <c r="Q351" s="146"/>
      <c r="R351" s="146"/>
      <c r="S351" s="146"/>
      <c r="T351" s="146"/>
      <c r="U351" s="146"/>
      <c r="V351" s="147"/>
    </row>
    <row r="352" spans="3:344" ht="17.25" customHeight="1" x14ac:dyDescent="0.25">
      <c r="Q352" s="146"/>
      <c r="R352" s="146"/>
      <c r="S352" s="146"/>
      <c r="T352" s="146"/>
      <c r="U352" s="146"/>
      <c r="V352" s="147"/>
    </row>
    <row r="353" spans="17:22" ht="17.25" customHeight="1" x14ac:dyDescent="0.25">
      <c r="Q353" s="146"/>
      <c r="R353" s="146"/>
      <c r="S353" s="146"/>
      <c r="T353" s="146"/>
      <c r="U353" s="146"/>
      <c r="V353" s="147"/>
    </row>
    <row r="354" spans="17:22" ht="17.25" customHeight="1" x14ac:dyDescent="0.25">
      <c r="Q354" s="146"/>
      <c r="R354" s="146"/>
      <c r="S354" s="146"/>
      <c r="T354" s="146"/>
      <c r="U354" s="146"/>
      <c r="V354" s="147"/>
    </row>
    <row r="355" spans="17:22" ht="17.25" customHeight="1" x14ac:dyDescent="0.25">
      <c r="Q355" s="146"/>
      <c r="R355" s="146"/>
      <c r="S355" s="146"/>
      <c r="T355" s="146"/>
      <c r="U355" s="146"/>
      <c r="V355" s="147"/>
    </row>
    <row r="356" spans="17:22" ht="17.25" customHeight="1" x14ac:dyDescent="0.25">
      <c r="Q356" s="146"/>
      <c r="R356" s="146"/>
      <c r="S356" s="146"/>
      <c r="T356" s="146"/>
      <c r="U356" s="146"/>
      <c r="V356" s="147"/>
    </row>
    <row r="357" spans="17:22" ht="17.25" customHeight="1" x14ac:dyDescent="0.25">
      <c r="Q357" s="146"/>
      <c r="R357" s="146"/>
      <c r="S357" s="146"/>
      <c r="T357" s="146"/>
      <c r="U357" s="146"/>
      <c r="V357" s="147"/>
    </row>
    <row r="358" spans="17:22" ht="17.25" customHeight="1" x14ac:dyDescent="0.25">
      <c r="Q358" s="146"/>
      <c r="R358" s="146"/>
      <c r="S358" s="146"/>
      <c r="T358" s="146"/>
      <c r="U358" s="146"/>
      <c r="V358" s="147"/>
    </row>
    <row r="359" spans="17:22" ht="17.25" customHeight="1" x14ac:dyDescent="0.25">
      <c r="Q359" s="146"/>
      <c r="R359" s="146"/>
      <c r="S359" s="146"/>
      <c r="T359" s="146"/>
      <c r="U359" s="146"/>
      <c r="V359" s="147"/>
    </row>
    <row r="360" spans="17:22" ht="17.25" customHeight="1" x14ac:dyDescent="0.25">
      <c r="Q360" s="146"/>
      <c r="R360" s="146"/>
      <c r="S360" s="146"/>
      <c r="T360" s="146"/>
      <c r="U360" s="146"/>
      <c r="V360" s="147"/>
    </row>
    <row r="361" spans="17:22" ht="17.25" customHeight="1" x14ac:dyDescent="0.25">
      <c r="Q361" s="146"/>
      <c r="R361" s="146"/>
      <c r="S361" s="146"/>
      <c r="T361" s="146"/>
      <c r="U361" s="146"/>
      <c r="V361" s="147"/>
    </row>
    <row r="362" spans="17:22" ht="17.25" customHeight="1" x14ac:dyDescent="0.25">
      <c r="Q362" s="146"/>
      <c r="R362" s="146"/>
      <c r="S362" s="146"/>
      <c r="T362" s="146"/>
      <c r="U362" s="146"/>
      <c r="V362" s="147"/>
    </row>
    <row r="363" spans="17:22" ht="17.25" customHeight="1" x14ac:dyDescent="0.25">
      <c r="Q363" s="146"/>
      <c r="R363" s="146"/>
      <c r="S363" s="146"/>
      <c r="T363" s="146"/>
      <c r="U363" s="146"/>
      <c r="V363" s="147"/>
    </row>
    <row r="364" spans="17:22" ht="17.25" customHeight="1" x14ac:dyDescent="0.25">
      <c r="Q364" s="146"/>
      <c r="R364" s="146"/>
      <c r="S364" s="146"/>
      <c r="T364" s="146"/>
      <c r="U364" s="146"/>
      <c r="V364" s="147"/>
    </row>
    <row r="365" spans="17:22" ht="17.25" customHeight="1" x14ac:dyDescent="0.25">
      <c r="Q365" s="146"/>
      <c r="R365" s="146"/>
      <c r="S365" s="146"/>
      <c r="T365" s="146"/>
      <c r="U365" s="146"/>
      <c r="V365" s="147"/>
    </row>
    <row r="366" spans="17:22" ht="17.25" customHeight="1" x14ac:dyDescent="0.25">
      <c r="Q366" s="146"/>
      <c r="R366" s="146"/>
      <c r="S366" s="146"/>
      <c r="T366" s="146"/>
      <c r="U366" s="146"/>
      <c r="V366" s="147"/>
    </row>
    <row r="367" spans="17:22" ht="17.25" customHeight="1" x14ac:dyDescent="0.25">
      <c r="Q367" s="146"/>
      <c r="R367" s="146"/>
      <c r="S367" s="146"/>
      <c r="T367" s="146"/>
      <c r="U367" s="146"/>
      <c r="V367" s="147"/>
    </row>
    <row r="368" spans="17:22" ht="17.25" customHeight="1" x14ac:dyDescent="0.25">
      <c r="Q368" s="146"/>
      <c r="R368" s="146"/>
      <c r="S368" s="146"/>
      <c r="T368" s="146"/>
      <c r="U368" s="146"/>
      <c r="V368" s="147"/>
    </row>
    <row r="369" spans="17:22" ht="17.25" customHeight="1" x14ac:dyDescent="0.25">
      <c r="Q369" s="146"/>
      <c r="R369" s="146"/>
      <c r="S369" s="146"/>
      <c r="T369" s="146"/>
      <c r="U369" s="146"/>
      <c r="V369" s="147"/>
    </row>
    <row r="370" spans="17:22" ht="17.25" customHeight="1" x14ac:dyDescent="0.25">
      <c r="Q370" s="146"/>
      <c r="R370" s="146"/>
      <c r="S370" s="146"/>
      <c r="T370" s="146"/>
      <c r="U370" s="146"/>
      <c r="V370" s="147"/>
    </row>
    <row r="371" spans="17:22" ht="17.25" customHeight="1" x14ac:dyDescent="0.25">
      <c r="Q371" s="146"/>
      <c r="R371" s="146"/>
      <c r="S371" s="146"/>
      <c r="T371" s="146"/>
      <c r="U371" s="146"/>
      <c r="V371" s="147"/>
    </row>
    <row r="372" spans="17:22" ht="17.25" customHeight="1" x14ac:dyDescent="0.25">
      <c r="Q372" s="146"/>
      <c r="R372" s="146"/>
      <c r="S372" s="146"/>
      <c r="T372" s="146"/>
      <c r="U372" s="146"/>
      <c r="V372" s="147"/>
    </row>
    <row r="373" spans="17:22" ht="17.25" customHeight="1" x14ac:dyDescent="0.25">
      <c r="Q373" s="146"/>
      <c r="R373" s="146"/>
      <c r="S373" s="146"/>
      <c r="T373" s="146"/>
      <c r="U373" s="146"/>
      <c r="V373" s="147"/>
    </row>
    <row r="374" spans="17:22" ht="17.25" customHeight="1" x14ac:dyDescent="0.25">
      <c r="Q374" s="146"/>
      <c r="R374" s="146"/>
      <c r="S374" s="146"/>
      <c r="T374" s="146"/>
      <c r="U374" s="146"/>
      <c r="V374" s="147"/>
    </row>
    <row r="375" spans="17:22" ht="17.25" customHeight="1" x14ac:dyDescent="0.25">
      <c r="Q375" s="146"/>
      <c r="R375" s="146"/>
      <c r="S375" s="146"/>
      <c r="T375" s="146"/>
      <c r="U375" s="146"/>
      <c r="V375" s="147"/>
    </row>
    <row r="376" spans="17:22" ht="17.25" customHeight="1" x14ac:dyDescent="0.25">
      <c r="Q376" s="146"/>
      <c r="R376" s="146"/>
      <c r="S376" s="146"/>
      <c r="T376" s="146"/>
      <c r="U376" s="146"/>
      <c r="V376" s="147"/>
    </row>
    <row r="377" spans="17:22" ht="17.25" customHeight="1" x14ac:dyDescent="0.25">
      <c r="Q377" s="146"/>
      <c r="R377" s="146"/>
      <c r="S377" s="146"/>
      <c r="T377" s="146"/>
      <c r="U377" s="146"/>
      <c r="V377" s="147"/>
    </row>
    <row r="378" spans="17:22" ht="17.25" customHeight="1" x14ac:dyDescent="0.25">
      <c r="Q378" s="146"/>
      <c r="R378" s="146"/>
      <c r="S378" s="146"/>
      <c r="T378" s="146"/>
      <c r="U378" s="146"/>
      <c r="V378" s="147"/>
    </row>
    <row r="379" spans="17:22" ht="17.25" customHeight="1" x14ac:dyDescent="0.25">
      <c r="Q379" s="146"/>
      <c r="R379" s="146"/>
      <c r="S379" s="146"/>
      <c r="T379" s="146"/>
      <c r="U379" s="146"/>
      <c r="V379" s="147"/>
    </row>
    <row r="380" spans="17:22" ht="17.25" customHeight="1" x14ac:dyDescent="0.25">
      <c r="Q380" s="146"/>
      <c r="R380" s="146"/>
      <c r="S380" s="146"/>
      <c r="T380" s="146"/>
      <c r="U380" s="146"/>
      <c r="V380" s="147"/>
    </row>
    <row r="381" spans="17:22" ht="17.25" customHeight="1" x14ac:dyDescent="0.25">
      <c r="Q381" s="146"/>
      <c r="R381" s="146"/>
      <c r="S381" s="146"/>
      <c r="T381" s="146"/>
      <c r="U381" s="146"/>
      <c r="V381" s="147"/>
    </row>
    <row r="382" spans="17:22" ht="17.25" customHeight="1" x14ac:dyDescent="0.25">
      <c r="Q382" s="146"/>
      <c r="R382" s="146"/>
      <c r="S382" s="146"/>
      <c r="T382" s="146"/>
      <c r="U382" s="146"/>
      <c r="V382" s="147"/>
    </row>
    <row r="383" spans="17:22" ht="17.25" customHeight="1" x14ac:dyDescent="0.25">
      <c r="Q383" s="146"/>
      <c r="R383" s="146"/>
      <c r="S383" s="146"/>
      <c r="T383" s="146"/>
      <c r="U383" s="146"/>
      <c r="V383" s="147"/>
    </row>
    <row r="384" spans="17:22" ht="17.25" customHeight="1" x14ac:dyDescent="0.25">
      <c r="Q384" s="146"/>
      <c r="R384" s="146"/>
      <c r="S384" s="146"/>
      <c r="T384" s="146"/>
      <c r="U384" s="146"/>
      <c r="V384" s="147"/>
    </row>
    <row r="385" spans="17:22" ht="17.25" customHeight="1" x14ac:dyDescent="0.25">
      <c r="Q385" s="146"/>
      <c r="R385" s="146"/>
      <c r="S385" s="146"/>
      <c r="T385" s="146"/>
      <c r="U385" s="146"/>
      <c r="V385" s="147"/>
    </row>
    <row r="386" spans="17:22" ht="17.25" customHeight="1" x14ac:dyDescent="0.25">
      <c r="Q386" s="146"/>
      <c r="R386" s="146"/>
      <c r="S386" s="146"/>
      <c r="T386" s="146"/>
      <c r="U386" s="146"/>
      <c r="V386" s="147"/>
    </row>
    <row r="387" spans="17:22" ht="17.25" customHeight="1" x14ac:dyDescent="0.25">
      <c r="Q387" s="146"/>
      <c r="R387" s="146"/>
      <c r="S387" s="146"/>
      <c r="T387" s="146"/>
      <c r="U387" s="146"/>
      <c r="V387" s="147"/>
    </row>
    <row r="388" spans="17:22" ht="17.25" customHeight="1" x14ac:dyDescent="0.25">
      <c r="Q388" s="146"/>
      <c r="R388" s="146"/>
      <c r="S388" s="146"/>
      <c r="T388" s="146"/>
      <c r="U388" s="146"/>
      <c r="V388" s="147"/>
    </row>
    <row r="389" spans="17:22" ht="17.25" customHeight="1" x14ac:dyDescent="0.25">
      <c r="Q389" s="146"/>
      <c r="R389" s="146"/>
      <c r="S389" s="146"/>
      <c r="T389" s="146"/>
      <c r="U389" s="146"/>
      <c r="V389" s="147"/>
    </row>
    <row r="390" spans="17:22" ht="17.25" customHeight="1" x14ac:dyDescent="0.25">
      <c r="Q390" s="146"/>
      <c r="R390" s="146"/>
      <c r="S390" s="146"/>
      <c r="T390" s="146"/>
      <c r="U390" s="146"/>
      <c r="V390" s="147"/>
    </row>
    <row r="391" spans="17:22" ht="17.25" customHeight="1" x14ac:dyDescent="0.25">
      <c r="Q391" s="146"/>
      <c r="R391" s="146"/>
      <c r="S391" s="146"/>
      <c r="T391" s="146"/>
      <c r="U391" s="146"/>
      <c r="V391" s="147"/>
    </row>
    <row r="392" spans="17:22" ht="17.25" customHeight="1" x14ac:dyDescent="0.25">
      <c r="Q392" s="146"/>
      <c r="R392" s="146"/>
      <c r="S392" s="146"/>
      <c r="T392" s="146"/>
      <c r="U392" s="146"/>
      <c r="V392" s="147"/>
    </row>
    <row r="393" spans="17:22" ht="17.25" customHeight="1" x14ac:dyDescent="0.25">
      <c r="Q393" s="146"/>
      <c r="R393" s="146"/>
      <c r="S393" s="146"/>
      <c r="T393" s="146"/>
      <c r="U393" s="146"/>
      <c r="V393" s="147"/>
    </row>
    <row r="394" spans="17:22" ht="17.25" customHeight="1" x14ac:dyDescent="0.25">
      <c r="Q394" s="146"/>
      <c r="R394" s="146"/>
      <c r="S394" s="146"/>
      <c r="T394" s="146"/>
      <c r="U394" s="146"/>
      <c r="V394" s="147"/>
    </row>
    <row r="395" spans="17:22" ht="17.25" customHeight="1" x14ac:dyDescent="0.25">
      <c r="Q395" s="146"/>
      <c r="R395" s="146"/>
      <c r="S395" s="146"/>
      <c r="T395" s="146"/>
      <c r="U395" s="146"/>
      <c r="V395" s="147"/>
    </row>
    <row r="396" spans="17:22" ht="17.25" customHeight="1" x14ac:dyDescent="0.25">
      <c r="Q396" s="146"/>
      <c r="R396" s="146"/>
      <c r="S396" s="146"/>
      <c r="T396" s="146"/>
      <c r="U396" s="146"/>
      <c r="V396" s="147"/>
    </row>
    <row r="397" spans="17:22" ht="17.25" customHeight="1" x14ac:dyDescent="0.25">
      <c r="Q397" s="146"/>
      <c r="R397" s="146"/>
      <c r="S397" s="146"/>
      <c r="T397" s="146"/>
      <c r="U397" s="146"/>
      <c r="V397" s="147"/>
    </row>
    <row r="398" spans="17:22" ht="17.25" customHeight="1" x14ac:dyDescent="0.25">
      <c r="Q398" s="146"/>
      <c r="R398" s="146"/>
      <c r="S398" s="146"/>
      <c r="T398" s="146"/>
      <c r="U398" s="146"/>
      <c r="V398" s="147"/>
    </row>
    <row r="399" spans="17:22" ht="17.25" customHeight="1" x14ac:dyDescent="0.25">
      <c r="Q399" s="146"/>
      <c r="R399" s="146"/>
      <c r="S399" s="146"/>
      <c r="T399" s="146"/>
      <c r="U399" s="146"/>
      <c r="V399" s="147"/>
    </row>
    <row r="400" spans="17:22" ht="17.25" customHeight="1" x14ac:dyDescent="0.25">
      <c r="Q400" s="146"/>
      <c r="R400" s="146"/>
      <c r="S400" s="146"/>
      <c r="T400" s="146"/>
      <c r="U400" s="146"/>
      <c r="V400" s="147"/>
    </row>
    <row r="401" spans="17:22" ht="17.25" customHeight="1" x14ac:dyDescent="0.25">
      <c r="Q401" s="146"/>
      <c r="R401" s="146"/>
      <c r="S401" s="146"/>
      <c r="T401" s="146"/>
      <c r="U401" s="146"/>
      <c r="V401" s="147"/>
    </row>
    <row r="402" spans="17:22" ht="17.25" customHeight="1" x14ac:dyDescent="0.25">
      <c r="Q402" s="146"/>
      <c r="R402" s="146"/>
      <c r="S402" s="146"/>
      <c r="T402" s="146"/>
      <c r="U402" s="146"/>
      <c r="V402" s="147"/>
    </row>
    <row r="403" spans="17:22" ht="17.25" customHeight="1" x14ac:dyDescent="0.25">
      <c r="Q403" s="146"/>
      <c r="R403" s="146"/>
      <c r="S403" s="146"/>
      <c r="T403" s="146"/>
      <c r="U403" s="146"/>
      <c r="V403" s="147"/>
    </row>
    <row r="404" spans="17:22" ht="17.25" customHeight="1" x14ac:dyDescent="0.25">
      <c r="Q404" s="146"/>
      <c r="R404" s="146"/>
      <c r="S404" s="146"/>
      <c r="T404" s="146"/>
      <c r="U404" s="146"/>
      <c r="V404" s="147"/>
    </row>
    <row r="405" spans="17:22" ht="17.25" customHeight="1" x14ac:dyDescent="0.25">
      <c r="Q405" s="146"/>
      <c r="R405" s="146"/>
      <c r="S405" s="146"/>
      <c r="T405" s="146"/>
      <c r="U405" s="146"/>
      <c r="V405" s="147"/>
    </row>
    <row r="406" spans="17:22" ht="17.25" customHeight="1" x14ac:dyDescent="0.25">
      <c r="Q406" s="146"/>
      <c r="R406" s="146"/>
      <c r="S406" s="146"/>
      <c r="T406" s="146"/>
      <c r="U406" s="146"/>
      <c r="V406" s="147"/>
    </row>
    <row r="407" spans="17:22" ht="17.25" customHeight="1" x14ac:dyDescent="0.25">
      <c r="Q407" s="146"/>
      <c r="R407" s="146"/>
      <c r="S407" s="146"/>
      <c r="T407" s="146"/>
      <c r="U407" s="146"/>
      <c r="V407" s="147"/>
    </row>
    <row r="408" spans="17:22" ht="17.25" customHeight="1" x14ac:dyDescent="0.25">
      <c r="Q408" s="146"/>
      <c r="R408" s="146"/>
      <c r="S408" s="146"/>
      <c r="T408" s="146"/>
      <c r="U408" s="146"/>
      <c r="V408" s="147"/>
    </row>
    <row r="409" spans="17:22" ht="17.25" customHeight="1" x14ac:dyDescent="0.25">
      <c r="Q409" s="146"/>
      <c r="R409" s="146"/>
      <c r="S409" s="146"/>
      <c r="T409" s="146"/>
      <c r="U409" s="146"/>
      <c r="V409" s="147"/>
    </row>
    <row r="410" spans="17:22" ht="17.25" customHeight="1" x14ac:dyDescent="0.25">
      <c r="Q410" s="146"/>
      <c r="R410" s="146"/>
      <c r="S410" s="146"/>
      <c r="T410" s="146"/>
      <c r="U410" s="146"/>
      <c r="V410" s="147"/>
    </row>
    <row r="411" spans="17:22" ht="17.25" customHeight="1" x14ac:dyDescent="0.25">
      <c r="Q411" s="146"/>
      <c r="R411" s="146"/>
      <c r="S411" s="146"/>
      <c r="T411" s="146"/>
      <c r="U411" s="146"/>
      <c r="V411" s="147"/>
    </row>
    <row r="412" spans="17:22" ht="17.25" customHeight="1" x14ac:dyDescent="0.25">
      <c r="Q412" s="146"/>
      <c r="R412" s="146"/>
      <c r="S412" s="146"/>
      <c r="T412" s="146"/>
      <c r="U412" s="146"/>
      <c r="V412" s="147"/>
    </row>
    <row r="413" spans="17:22" ht="17.25" customHeight="1" x14ac:dyDescent="0.25">
      <c r="Q413" s="146"/>
      <c r="R413" s="146"/>
      <c r="S413" s="146"/>
      <c r="T413" s="146"/>
      <c r="U413" s="146"/>
      <c r="V413" s="147"/>
    </row>
    <row r="414" spans="17:22" ht="17.25" customHeight="1" x14ac:dyDescent="0.25">
      <c r="Q414" s="146"/>
      <c r="R414" s="146"/>
      <c r="S414" s="146"/>
      <c r="T414" s="146"/>
      <c r="U414" s="146"/>
      <c r="V414" s="147"/>
    </row>
    <row r="415" spans="17:22" ht="17.25" customHeight="1" x14ac:dyDescent="0.25">
      <c r="Q415" s="146"/>
      <c r="R415" s="146"/>
      <c r="S415" s="146"/>
      <c r="T415" s="146"/>
      <c r="U415" s="146"/>
      <c r="V415" s="147"/>
    </row>
    <row r="416" spans="17:22" ht="17.25" customHeight="1" x14ac:dyDescent="0.25">
      <c r="Q416" s="146"/>
      <c r="R416" s="146"/>
      <c r="S416" s="146"/>
      <c r="T416" s="146"/>
      <c r="U416" s="146"/>
      <c r="V416" s="147"/>
    </row>
    <row r="417" spans="17:22" ht="17.25" customHeight="1" x14ac:dyDescent="0.25">
      <c r="Q417" s="146"/>
      <c r="R417" s="146"/>
      <c r="S417" s="146"/>
      <c r="T417" s="146"/>
      <c r="U417" s="146"/>
      <c r="V417" s="147"/>
    </row>
    <row r="418" spans="17:22" ht="17.25" customHeight="1" x14ac:dyDescent="0.25">
      <c r="Q418" s="146"/>
      <c r="R418" s="146"/>
      <c r="S418" s="146"/>
      <c r="T418" s="146"/>
      <c r="U418" s="146"/>
      <c r="V418" s="147"/>
    </row>
    <row r="419" spans="17:22" ht="17.25" customHeight="1" x14ac:dyDescent="0.25">
      <c r="Q419" s="146"/>
      <c r="R419" s="146"/>
      <c r="S419" s="146"/>
      <c r="T419" s="146"/>
      <c r="U419" s="146"/>
      <c r="V419" s="147"/>
    </row>
    <row r="420" spans="17:22" ht="17.25" customHeight="1" x14ac:dyDescent="0.25">
      <c r="Q420" s="146"/>
      <c r="R420" s="146"/>
      <c r="S420" s="146"/>
      <c r="T420" s="146"/>
      <c r="U420" s="146"/>
      <c r="V420" s="147"/>
    </row>
    <row r="421" spans="17:22" ht="17.25" customHeight="1" x14ac:dyDescent="0.25">
      <c r="Q421" s="146"/>
      <c r="R421" s="146"/>
      <c r="S421" s="146"/>
      <c r="T421" s="146"/>
      <c r="U421" s="146"/>
      <c r="V421" s="147"/>
    </row>
    <row r="422" spans="17:22" ht="17.25" customHeight="1" x14ac:dyDescent="0.25">
      <c r="Q422" s="146"/>
      <c r="R422" s="146"/>
      <c r="S422" s="146"/>
      <c r="T422" s="146"/>
      <c r="U422" s="146"/>
      <c r="V422" s="147"/>
    </row>
    <row r="423" spans="17:22" ht="17.25" customHeight="1" x14ac:dyDescent="0.25">
      <c r="Q423" s="146"/>
      <c r="R423" s="146"/>
      <c r="S423" s="146"/>
      <c r="T423" s="146"/>
      <c r="U423" s="146"/>
      <c r="V423" s="147"/>
    </row>
    <row r="424" spans="17:22" ht="17.25" customHeight="1" x14ac:dyDescent="0.25">
      <c r="Q424" s="146"/>
      <c r="R424" s="146"/>
      <c r="S424" s="146"/>
      <c r="T424" s="146"/>
      <c r="U424" s="146"/>
      <c r="V424" s="147"/>
    </row>
    <row r="425" spans="17:22" ht="17.25" customHeight="1" x14ac:dyDescent="0.25">
      <c r="Q425" s="146"/>
      <c r="R425" s="146"/>
      <c r="S425" s="146"/>
      <c r="T425" s="146"/>
      <c r="U425" s="146"/>
      <c r="V425" s="147"/>
    </row>
    <row r="426" spans="17:22" ht="17.25" customHeight="1" x14ac:dyDescent="0.25">
      <c r="Q426" s="146"/>
      <c r="R426" s="146"/>
      <c r="S426" s="146"/>
      <c r="T426" s="146"/>
      <c r="U426" s="146"/>
      <c r="V426" s="147"/>
    </row>
    <row r="427" spans="17:22" ht="17.25" customHeight="1" x14ac:dyDescent="0.25">
      <c r="Q427" s="146"/>
      <c r="R427" s="146"/>
      <c r="S427" s="146"/>
      <c r="T427" s="146"/>
      <c r="U427" s="146"/>
      <c r="V427" s="147"/>
    </row>
    <row r="428" spans="17:22" ht="17.25" customHeight="1" x14ac:dyDescent="0.25">
      <c r="Q428" s="146"/>
      <c r="R428" s="146"/>
      <c r="S428" s="146"/>
      <c r="T428" s="146"/>
      <c r="U428" s="146"/>
      <c r="V428" s="147"/>
    </row>
    <row r="429" spans="17:22" ht="17.25" customHeight="1" x14ac:dyDescent="0.25">
      <c r="Q429" s="146"/>
      <c r="R429" s="146"/>
      <c r="S429" s="146"/>
      <c r="T429" s="146"/>
      <c r="U429" s="146"/>
      <c r="V429" s="147"/>
    </row>
    <row r="430" spans="17:22" ht="17.25" customHeight="1" x14ac:dyDescent="0.25">
      <c r="Q430" s="146"/>
      <c r="R430" s="146"/>
      <c r="S430" s="146"/>
      <c r="T430" s="146"/>
      <c r="U430" s="146"/>
      <c r="V430" s="147"/>
    </row>
    <row r="431" spans="17:22" ht="17.25" customHeight="1" x14ac:dyDescent="0.25">
      <c r="Q431" s="146"/>
      <c r="R431" s="146"/>
      <c r="S431" s="146"/>
      <c r="T431" s="146"/>
      <c r="U431" s="146"/>
      <c r="V431" s="147"/>
    </row>
    <row r="432" spans="17:22" ht="17.25" customHeight="1" x14ac:dyDescent="0.25">
      <c r="Q432" s="146"/>
      <c r="R432" s="146"/>
      <c r="S432" s="146"/>
      <c r="T432" s="146"/>
      <c r="U432" s="146"/>
      <c r="V432" s="147"/>
    </row>
  </sheetData>
  <mergeCells count="110">
    <mergeCell ref="JA9:JQ9"/>
    <mergeCell ref="A312:A318"/>
    <mergeCell ref="A305:A311"/>
    <mergeCell ref="A10:B10"/>
    <mergeCell ref="A263:A269"/>
    <mergeCell ref="A270:A276"/>
    <mergeCell ref="A277:A283"/>
    <mergeCell ref="A284:A290"/>
    <mergeCell ref="A291:A297"/>
    <mergeCell ref="A298:A304"/>
    <mergeCell ref="A221:A227"/>
    <mergeCell ref="A228:A234"/>
    <mergeCell ref="A235:A241"/>
    <mergeCell ref="A242:A248"/>
    <mergeCell ref="A249:A255"/>
    <mergeCell ref="A256:A262"/>
    <mergeCell ref="A179:A185"/>
    <mergeCell ref="A186:A192"/>
    <mergeCell ref="A214:A220"/>
    <mergeCell ref="A193:A199"/>
    <mergeCell ref="A200:A206"/>
    <mergeCell ref="A207:A213"/>
    <mergeCell ref="P102:P108"/>
    <mergeCell ref="A32:A38"/>
    <mergeCell ref="V3:AF5"/>
    <mergeCell ref="A172:A178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A151:A157"/>
    <mergeCell ref="A158:A164"/>
    <mergeCell ref="A60:A66"/>
    <mergeCell ref="P60:P66"/>
    <mergeCell ref="P67:P73"/>
    <mergeCell ref="A165:A171"/>
    <mergeCell ref="A88:A94"/>
    <mergeCell ref="A11:A17"/>
    <mergeCell ref="A18:A24"/>
    <mergeCell ref="A67:A73"/>
    <mergeCell ref="A74:A80"/>
    <mergeCell ref="A81:A87"/>
    <mergeCell ref="A25:A31"/>
    <mergeCell ref="A8:V8"/>
    <mergeCell ref="AN9:BD9"/>
    <mergeCell ref="BE9:BU9"/>
    <mergeCell ref="A39:A45"/>
    <mergeCell ref="A46:A52"/>
    <mergeCell ref="BV9:CL9"/>
    <mergeCell ref="A9:C9"/>
    <mergeCell ref="A53:A59"/>
    <mergeCell ref="P11:P17"/>
    <mergeCell ref="P18:P24"/>
    <mergeCell ref="P25:P31"/>
    <mergeCell ref="P32:P38"/>
    <mergeCell ref="P39:P45"/>
    <mergeCell ref="P46:P52"/>
    <mergeCell ref="P53:P59"/>
    <mergeCell ref="D9:P9"/>
    <mergeCell ref="Q10:U10"/>
    <mergeCell ref="Q9:V9"/>
    <mergeCell ref="W9:AM9"/>
    <mergeCell ref="IJ9:IZ9"/>
    <mergeCell ref="P144:P150"/>
    <mergeCell ref="P151:P157"/>
    <mergeCell ref="P158:P164"/>
    <mergeCell ref="P165:P171"/>
    <mergeCell ref="P172:P178"/>
    <mergeCell ref="P109:P115"/>
    <mergeCell ref="P116:P122"/>
    <mergeCell ref="P123:P129"/>
    <mergeCell ref="P130:P136"/>
    <mergeCell ref="P137:P143"/>
    <mergeCell ref="CM9:DC9"/>
    <mergeCell ref="DD9:DT9"/>
    <mergeCell ref="DU9:EK9"/>
    <mergeCell ref="EL9:FB9"/>
    <mergeCell ref="FC9:FS9"/>
    <mergeCell ref="FT9:GJ9"/>
    <mergeCell ref="GK9:HA9"/>
    <mergeCell ref="HB9:HR9"/>
    <mergeCell ref="HS9:II9"/>
    <mergeCell ref="P74:P80"/>
    <mergeCell ref="P81:P87"/>
    <mergeCell ref="P88:P94"/>
    <mergeCell ref="P95:P101"/>
    <mergeCell ref="P214:P220"/>
    <mergeCell ref="P221:P227"/>
    <mergeCell ref="P228:P234"/>
    <mergeCell ref="P235:P241"/>
    <mergeCell ref="P242:P248"/>
    <mergeCell ref="P179:P185"/>
    <mergeCell ref="P186:P192"/>
    <mergeCell ref="P193:P199"/>
    <mergeCell ref="P200:P206"/>
    <mergeCell ref="P207:P213"/>
    <mergeCell ref="P284:P290"/>
    <mergeCell ref="P291:P297"/>
    <mergeCell ref="P298:P304"/>
    <mergeCell ref="P305:P311"/>
    <mergeCell ref="P312:P318"/>
    <mergeCell ref="P249:P255"/>
    <mergeCell ref="P256:P262"/>
    <mergeCell ref="P263:P269"/>
    <mergeCell ref="P270:P276"/>
    <mergeCell ref="P277:P283"/>
  </mergeCells>
  <phoneticPr fontId="2" type="noConversion"/>
  <conditionalFormatting sqref="G1:I7 K1:U7 G10:H10 O10:Q10 K10:N1048576 O11:U11 G11:I1048576 O18:U18 O25:U25 O32:U32 O39:U39 O46:U46 O53:U53 O60:U60 O67:U67 O74:U74 O81:U81 O88:U88 O95:U95 O102:U102 O109:U109 O116:U116 O123:U123 P130 O130:O318 Q130:U318 P137 P144 P151 P158 O165:P165 P172 P179 P186 P193 P200 P207 P214 P221 P228 P235 P242 P249 P256 P263 P270 P277 P284 P291 P298 P305 P312 Q319 O319:P432 O433:U1048576">
    <cfRule type="cellIs" dxfId="225" priority="471" operator="equal">
      <formula>0</formula>
    </cfRule>
  </conditionalFormatting>
  <conditionalFormatting sqref="AA1:AA2 JR8 AA11:AA1048576 JV347:JV1048576">
    <cfRule type="cellIs" dxfId="224" priority="742" operator="greaterThanOrEqual">
      <formula>1.5</formula>
    </cfRule>
    <cfRule type="cellIs" dxfId="223" priority="746" operator="between">
      <formula>0.65</formula>
      <formula>0.799999999999999</formula>
    </cfRule>
    <cfRule type="cellIs" dxfId="222" priority="745" operator="between">
      <formula>0.8</formula>
      <formula>1.3</formula>
    </cfRule>
    <cfRule type="cellIs" dxfId="221" priority="744" operator="between">
      <formula>1.4</formula>
      <formula>1.49999999999999</formula>
    </cfRule>
    <cfRule type="cellIs" dxfId="220" priority="743" operator="between">
      <formula>1.3</formula>
      <formula>1.39999999999999</formula>
    </cfRule>
  </conditionalFormatting>
  <conditionalFormatting sqref="AA6:AA8">
    <cfRule type="cellIs" dxfId="219" priority="566" operator="between">
      <formula>0.65</formula>
      <formula>0.799999999999999</formula>
    </cfRule>
    <cfRule type="cellIs" dxfId="218" priority="565" operator="between">
      <formula>0.8</formula>
      <formula>1.3</formula>
    </cfRule>
    <cfRule type="cellIs" dxfId="217" priority="564" operator="between">
      <formula>1.4</formula>
      <formula>1.49999999999999</formula>
    </cfRule>
    <cfRule type="cellIs" dxfId="216" priority="563" operator="between">
      <formula>1.3</formula>
      <formula>1.39999999999999</formula>
    </cfRule>
    <cfRule type="cellIs" dxfId="215" priority="562" operator="greaterThanOrEqual">
      <formula>1.5</formula>
    </cfRule>
  </conditionalFormatting>
  <conditionalFormatting sqref="AR1:AR2 AR11:AR1048576">
    <cfRule type="cellIs" dxfId="214" priority="318" operator="between">
      <formula>1.4</formula>
      <formula>1.49999999999999</formula>
    </cfRule>
    <cfRule type="cellIs" dxfId="213" priority="316" operator="greaterThanOrEqual">
      <formula>1.5</formula>
    </cfRule>
    <cfRule type="cellIs" dxfId="212" priority="319" operator="between">
      <formula>0.8</formula>
      <formula>1.3</formula>
    </cfRule>
    <cfRule type="cellIs" dxfId="211" priority="317" operator="between">
      <formula>1.3</formula>
      <formula>1.39999999999999</formula>
    </cfRule>
    <cfRule type="cellIs" dxfId="210" priority="320" operator="between">
      <formula>0.65</formula>
      <formula>0.799999999999999</formula>
    </cfRule>
  </conditionalFormatting>
  <conditionalFormatting sqref="AR6:AR8">
    <cfRule type="cellIs" dxfId="209" priority="314" operator="between">
      <formula>0.8</formula>
      <formula>1.3</formula>
    </cfRule>
    <cfRule type="cellIs" dxfId="208" priority="315" operator="between">
      <formula>0.65</formula>
      <formula>0.799999999999999</formula>
    </cfRule>
    <cfRule type="cellIs" dxfId="207" priority="313" operator="between">
      <formula>1.4</formula>
      <formula>1.49999999999999</formula>
    </cfRule>
    <cfRule type="cellIs" dxfId="206" priority="312" operator="between">
      <formula>1.3</formula>
      <formula>1.39999999999999</formula>
    </cfRule>
    <cfRule type="cellIs" dxfId="205" priority="311" operator="greaterThanOrEqual">
      <formula>1.5</formula>
    </cfRule>
  </conditionalFormatting>
  <conditionalFormatting sqref="BI1:BI2">
    <cfRule type="cellIs" dxfId="204" priority="309" operator="between">
      <formula>0.8</formula>
      <formula>1.3</formula>
    </cfRule>
    <cfRule type="cellIs" dxfId="203" priority="310" operator="between">
      <formula>0.65</formula>
      <formula>0.799999999999999</formula>
    </cfRule>
    <cfRule type="cellIs" dxfId="202" priority="308" operator="between">
      <formula>1.4</formula>
      <formula>1.49999999999999</formula>
    </cfRule>
    <cfRule type="cellIs" dxfId="201" priority="307" operator="between">
      <formula>1.3</formula>
      <formula>1.39999999999999</formula>
    </cfRule>
    <cfRule type="cellIs" dxfId="200" priority="306" operator="greaterThanOrEqual">
      <formula>1.5</formula>
    </cfRule>
  </conditionalFormatting>
  <conditionalFormatting sqref="BI6:BI8">
    <cfRule type="cellIs" dxfId="199" priority="304" operator="between">
      <formula>0.8</formula>
      <formula>1.3</formula>
    </cfRule>
    <cfRule type="cellIs" dxfId="198" priority="303" operator="between">
      <formula>1.4</formula>
      <formula>1.49999999999999</formula>
    </cfRule>
    <cfRule type="cellIs" dxfId="197" priority="302" operator="between">
      <formula>1.3</formula>
      <formula>1.39999999999999</formula>
    </cfRule>
    <cfRule type="cellIs" dxfId="196" priority="301" operator="greaterThanOrEqual">
      <formula>1.5</formula>
    </cfRule>
    <cfRule type="cellIs" dxfId="195" priority="305" operator="between">
      <formula>0.65</formula>
      <formula>0.799999999999999</formula>
    </cfRule>
  </conditionalFormatting>
  <conditionalFormatting sqref="BI11:BI1048576">
    <cfRule type="cellIs" dxfId="194" priority="108" operator="between">
      <formula>1.4</formula>
      <formula>1.49999999999999</formula>
    </cfRule>
    <cfRule type="cellIs" dxfId="193" priority="107" operator="between">
      <formula>1.3</formula>
      <formula>1.39999999999999</formula>
    </cfRule>
    <cfRule type="cellIs" dxfId="192" priority="106" operator="greaterThanOrEqual">
      <formula>1.5</formula>
    </cfRule>
    <cfRule type="cellIs" dxfId="191" priority="109" operator="between">
      <formula>0.8</formula>
      <formula>1.3</formula>
    </cfRule>
    <cfRule type="cellIs" dxfId="190" priority="110" operator="between">
      <formula>0.65</formula>
      <formula>0.799999999999999</formula>
    </cfRule>
  </conditionalFormatting>
  <conditionalFormatting sqref="BZ1:BZ2">
    <cfRule type="cellIs" dxfId="189" priority="270" operator="between">
      <formula>0.65</formula>
      <formula>0.799999999999999</formula>
    </cfRule>
    <cfRule type="cellIs" dxfId="188" priority="268" operator="between">
      <formula>1.4</formula>
      <formula>1.49999999999999</formula>
    </cfRule>
    <cfRule type="cellIs" dxfId="187" priority="267" operator="between">
      <formula>1.3</formula>
      <formula>1.39999999999999</formula>
    </cfRule>
    <cfRule type="cellIs" dxfId="186" priority="266" operator="greaterThanOrEqual">
      <formula>1.5</formula>
    </cfRule>
    <cfRule type="cellIs" dxfId="185" priority="269" operator="between">
      <formula>0.8</formula>
      <formula>1.3</formula>
    </cfRule>
  </conditionalFormatting>
  <conditionalFormatting sqref="BZ6:BZ8">
    <cfRule type="cellIs" dxfId="184" priority="262" operator="between">
      <formula>1.3</formula>
      <formula>1.39999999999999</formula>
    </cfRule>
    <cfRule type="cellIs" dxfId="183" priority="261" operator="greaterThanOrEqual">
      <formula>1.5</formula>
    </cfRule>
    <cfRule type="cellIs" dxfId="182" priority="265" operator="between">
      <formula>0.65</formula>
      <formula>0.799999999999999</formula>
    </cfRule>
    <cfRule type="cellIs" dxfId="181" priority="264" operator="between">
      <formula>0.8</formula>
      <formula>1.3</formula>
    </cfRule>
    <cfRule type="cellIs" dxfId="180" priority="263" operator="between">
      <formula>1.4</formula>
      <formula>1.49999999999999</formula>
    </cfRule>
  </conditionalFormatting>
  <conditionalFormatting sqref="BZ11:BZ1048576">
    <cfRule type="cellIs" dxfId="179" priority="91" operator="greaterThanOrEqual">
      <formula>1.5</formula>
    </cfRule>
    <cfRule type="cellIs" dxfId="178" priority="93" operator="between">
      <formula>1.4</formula>
      <formula>1.49999999999999</formula>
    </cfRule>
    <cfRule type="cellIs" dxfId="177" priority="94" operator="between">
      <formula>0.8</formula>
      <formula>1.3</formula>
    </cfRule>
    <cfRule type="cellIs" dxfId="176" priority="95" operator="between">
      <formula>0.65</formula>
      <formula>0.799999999999999</formula>
    </cfRule>
    <cfRule type="cellIs" dxfId="175" priority="92" operator="between">
      <formula>1.3</formula>
      <formula>1.39999999999999</formula>
    </cfRule>
  </conditionalFormatting>
  <conditionalFormatting sqref="CQ1:CQ2">
    <cfRule type="cellIs" dxfId="174" priority="259" operator="between">
      <formula>0.8</formula>
      <formula>1.3</formula>
    </cfRule>
    <cfRule type="cellIs" dxfId="173" priority="257" operator="between">
      <formula>1.3</formula>
      <formula>1.39999999999999</formula>
    </cfRule>
    <cfRule type="cellIs" dxfId="172" priority="256" operator="greaterThanOrEqual">
      <formula>1.5</formula>
    </cfRule>
    <cfRule type="cellIs" dxfId="171" priority="260" operator="between">
      <formula>0.65</formula>
      <formula>0.799999999999999</formula>
    </cfRule>
    <cfRule type="cellIs" dxfId="170" priority="258" operator="between">
      <formula>1.4</formula>
      <formula>1.49999999999999</formula>
    </cfRule>
  </conditionalFormatting>
  <conditionalFormatting sqref="CQ6:CQ8">
    <cfRule type="cellIs" dxfId="169" priority="255" operator="between">
      <formula>0.65</formula>
      <formula>0.799999999999999</formula>
    </cfRule>
    <cfRule type="cellIs" dxfId="168" priority="254" operator="between">
      <formula>0.8</formula>
      <formula>1.3</formula>
    </cfRule>
    <cfRule type="cellIs" dxfId="167" priority="253" operator="between">
      <formula>1.4</formula>
      <formula>1.49999999999999</formula>
    </cfRule>
    <cfRule type="cellIs" dxfId="166" priority="252" operator="between">
      <formula>1.3</formula>
      <formula>1.39999999999999</formula>
    </cfRule>
    <cfRule type="cellIs" dxfId="165" priority="251" operator="greaterThanOrEqual">
      <formula>1.5</formula>
    </cfRule>
  </conditionalFormatting>
  <conditionalFormatting sqref="CQ11:CQ1048576">
    <cfRule type="cellIs" dxfId="164" priority="88" operator="between">
      <formula>1.4</formula>
      <formula>1.49999999999999</formula>
    </cfRule>
    <cfRule type="cellIs" dxfId="163" priority="89" operator="between">
      <formula>0.8</formula>
      <formula>1.3</formula>
    </cfRule>
    <cfRule type="cellIs" dxfId="162" priority="90" operator="between">
      <formula>0.65</formula>
      <formula>0.799999999999999</formula>
    </cfRule>
    <cfRule type="cellIs" dxfId="161" priority="86" operator="greaterThanOrEqual">
      <formula>1.5</formula>
    </cfRule>
    <cfRule type="cellIs" dxfId="160" priority="87" operator="between">
      <formula>1.3</formula>
      <formula>1.39999999999999</formula>
    </cfRule>
  </conditionalFormatting>
  <conditionalFormatting sqref="DH1:DH2">
    <cfRule type="cellIs" dxfId="159" priority="250" operator="between">
      <formula>0.65</formula>
      <formula>0.799999999999999</formula>
    </cfRule>
    <cfRule type="cellIs" dxfId="158" priority="249" operator="between">
      <formula>0.8</formula>
      <formula>1.3</formula>
    </cfRule>
    <cfRule type="cellIs" dxfId="157" priority="248" operator="between">
      <formula>1.4</formula>
      <formula>1.49999999999999</formula>
    </cfRule>
    <cfRule type="cellIs" dxfId="156" priority="247" operator="between">
      <formula>1.3</formula>
      <formula>1.39999999999999</formula>
    </cfRule>
    <cfRule type="cellIs" dxfId="155" priority="246" operator="greaterThanOrEqual">
      <formula>1.5</formula>
    </cfRule>
  </conditionalFormatting>
  <conditionalFormatting sqref="DH6:DH8">
    <cfRule type="cellIs" dxfId="154" priority="241" operator="greaterThanOrEqual">
      <formula>1.5</formula>
    </cfRule>
    <cfRule type="cellIs" dxfId="153" priority="243" operator="between">
      <formula>1.4</formula>
      <formula>1.49999999999999</formula>
    </cfRule>
    <cfRule type="cellIs" dxfId="152" priority="242" operator="between">
      <formula>1.3</formula>
      <formula>1.39999999999999</formula>
    </cfRule>
    <cfRule type="cellIs" dxfId="151" priority="244" operator="between">
      <formula>0.8</formula>
      <formula>1.3</formula>
    </cfRule>
    <cfRule type="cellIs" dxfId="150" priority="245" operator="between">
      <formula>0.65</formula>
      <formula>0.799999999999999</formula>
    </cfRule>
  </conditionalFormatting>
  <conditionalFormatting sqref="DH11:DH1048576">
    <cfRule type="cellIs" dxfId="149" priority="85" operator="between">
      <formula>0.65</formula>
      <formula>0.799999999999999</formula>
    </cfRule>
    <cfRule type="cellIs" dxfId="148" priority="81" operator="greaterThanOrEqual">
      <formula>1.5</formula>
    </cfRule>
    <cfRule type="cellIs" dxfId="147" priority="82" operator="between">
      <formula>1.3</formula>
      <formula>1.39999999999999</formula>
    </cfRule>
    <cfRule type="cellIs" dxfId="146" priority="83" operator="between">
      <formula>1.4</formula>
      <formula>1.49999999999999</formula>
    </cfRule>
    <cfRule type="cellIs" dxfId="145" priority="84" operator="between">
      <formula>0.8</formula>
      <formula>1.3</formula>
    </cfRule>
  </conditionalFormatting>
  <conditionalFormatting sqref="DY1:DY2">
    <cfRule type="cellIs" dxfId="144" priority="218" operator="between">
      <formula>1.4</formula>
      <formula>1.49999999999999</formula>
    </cfRule>
    <cfRule type="cellIs" dxfId="143" priority="217" operator="between">
      <formula>1.3</formula>
      <formula>1.39999999999999</formula>
    </cfRule>
    <cfRule type="cellIs" dxfId="142" priority="216" operator="greaterThanOrEqual">
      <formula>1.5</formula>
    </cfRule>
    <cfRule type="cellIs" dxfId="141" priority="220" operator="between">
      <formula>0.65</formula>
      <formula>0.799999999999999</formula>
    </cfRule>
    <cfRule type="cellIs" dxfId="140" priority="219" operator="between">
      <formula>0.8</formula>
      <formula>1.3</formula>
    </cfRule>
  </conditionalFormatting>
  <conditionalFormatting sqref="DY6:DY8">
    <cfRule type="cellIs" dxfId="139" priority="213" operator="between">
      <formula>1.4</formula>
      <formula>1.49999999999999</formula>
    </cfRule>
    <cfRule type="cellIs" dxfId="138" priority="214" operator="between">
      <formula>0.8</formula>
      <formula>1.3</formula>
    </cfRule>
    <cfRule type="cellIs" dxfId="137" priority="215" operator="between">
      <formula>0.65</formula>
      <formula>0.799999999999999</formula>
    </cfRule>
    <cfRule type="cellIs" dxfId="136" priority="211" operator="greaterThanOrEqual">
      <formula>1.5</formula>
    </cfRule>
    <cfRule type="cellIs" dxfId="135" priority="212" operator="between">
      <formula>1.3</formula>
      <formula>1.39999999999999</formula>
    </cfRule>
  </conditionalFormatting>
  <conditionalFormatting sqref="DY11:DY1048576">
    <cfRule type="cellIs" dxfId="134" priority="76" operator="greaterThanOrEqual">
      <formula>1.5</formula>
    </cfRule>
    <cfRule type="cellIs" dxfId="133" priority="80" operator="between">
      <formula>0.65</formula>
      <formula>0.799999999999999</formula>
    </cfRule>
    <cfRule type="cellIs" dxfId="132" priority="79" operator="between">
      <formula>0.8</formula>
      <formula>1.3</formula>
    </cfRule>
    <cfRule type="cellIs" dxfId="131" priority="78" operator="between">
      <formula>1.4</formula>
      <formula>1.49999999999999</formula>
    </cfRule>
    <cfRule type="cellIs" dxfId="130" priority="77" operator="between">
      <formula>1.3</formula>
      <formula>1.39999999999999</formula>
    </cfRule>
  </conditionalFormatting>
  <conditionalFormatting sqref="EP1:EP2">
    <cfRule type="cellIs" dxfId="129" priority="206" operator="greaterThanOrEqual">
      <formula>1.5</formula>
    </cfRule>
    <cfRule type="cellIs" dxfId="128" priority="207" operator="between">
      <formula>1.3</formula>
      <formula>1.39999999999999</formula>
    </cfRule>
    <cfRule type="cellIs" dxfId="127" priority="208" operator="between">
      <formula>1.4</formula>
      <formula>1.49999999999999</formula>
    </cfRule>
    <cfRule type="cellIs" dxfId="126" priority="209" operator="between">
      <formula>0.8</formula>
      <formula>1.3</formula>
    </cfRule>
    <cfRule type="cellIs" dxfId="125" priority="210" operator="between">
      <formula>0.65</formula>
      <formula>0.799999999999999</formula>
    </cfRule>
  </conditionalFormatting>
  <conditionalFormatting sqref="EP6:EP8">
    <cfRule type="cellIs" dxfId="124" priority="201" operator="greaterThanOrEqual">
      <formula>1.5</formula>
    </cfRule>
    <cfRule type="cellIs" dxfId="123" priority="202" operator="between">
      <formula>1.3</formula>
      <formula>1.39999999999999</formula>
    </cfRule>
    <cfRule type="cellIs" dxfId="122" priority="203" operator="between">
      <formula>1.4</formula>
      <formula>1.49999999999999</formula>
    </cfRule>
    <cfRule type="cellIs" dxfId="121" priority="204" operator="between">
      <formula>0.8</formula>
      <formula>1.3</formula>
    </cfRule>
    <cfRule type="cellIs" dxfId="120" priority="205" operator="between">
      <formula>0.65</formula>
      <formula>0.799999999999999</formula>
    </cfRule>
  </conditionalFormatting>
  <conditionalFormatting sqref="EP11:EP1048576">
    <cfRule type="cellIs" dxfId="119" priority="75" operator="between">
      <formula>0.65</formula>
      <formula>0.799999999999999</formula>
    </cfRule>
    <cfRule type="cellIs" dxfId="118" priority="74" operator="between">
      <formula>0.8</formula>
      <formula>1.3</formula>
    </cfRule>
    <cfRule type="cellIs" dxfId="117" priority="73" operator="between">
      <formula>1.4</formula>
      <formula>1.49999999999999</formula>
    </cfRule>
    <cfRule type="cellIs" dxfId="116" priority="72" operator="between">
      <formula>1.3</formula>
      <formula>1.39999999999999</formula>
    </cfRule>
    <cfRule type="cellIs" dxfId="115" priority="71" operator="greaterThanOrEqual">
      <formula>1.5</formula>
    </cfRule>
  </conditionalFormatting>
  <conditionalFormatting sqref="FG1:FG2">
    <cfRule type="cellIs" dxfId="114" priority="198" operator="between">
      <formula>1.4</formula>
      <formula>1.49999999999999</formula>
    </cfRule>
    <cfRule type="cellIs" dxfId="113" priority="200" operator="between">
      <formula>0.65</formula>
      <formula>0.799999999999999</formula>
    </cfRule>
    <cfRule type="cellIs" dxfId="112" priority="199" operator="between">
      <formula>0.8</formula>
      <formula>1.3</formula>
    </cfRule>
    <cfRule type="cellIs" dxfId="111" priority="196" operator="greaterThanOrEqual">
      <formula>1.5</formula>
    </cfRule>
    <cfRule type="cellIs" dxfId="110" priority="197" operator="between">
      <formula>1.3</formula>
      <formula>1.39999999999999</formula>
    </cfRule>
  </conditionalFormatting>
  <conditionalFormatting sqref="FG6:FG8">
    <cfRule type="cellIs" dxfId="109" priority="191" operator="greaterThanOrEqual">
      <formula>1.5</formula>
    </cfRule>
    <cfRule type="cellIs" dxfId="108" priority="193" operator="between">
      <formula>1.4</formula>
      <formula>1.49999999999999</formula>
    </cfRule>
    <cfRule type="cellIs" dxfId="107" priority="194" operator="between">
      <formula>0.8</formula>
      <formula>1.3</formula>
    </cfRule>
    <cfRule type="cellIs" dxfId="106" priority="195" operator="between">
      <formula>0.65</formula>
      <formula>0.799999999999999</formula>
    </cfRule>
    <cfRule type="cellIs" dxfId="105" priority="192" operator="between">
      <formula>1.3</formula>
      <formula>1.39999999999999</formula>
    </cfRule>
  </conditionalFormatting>
  <conditionalFormatting sqref="FG11:FG1048576">
    <cfRule type="cellIs" dxfId="104" priority="66" operator="greaterThanOrEqual">
      <formula>1.5</formula>
    </cfRule>
    <cfRule type="cellIs" dxfId="103" priority="68" operator="between">
      <formula>1.4</formula>
      <formula>1.49999999999999</formula>
    </cfRule>
    <cfRule type="cellIs" dxfId="102" priority="69" operator="between">
      <formula>0.8</formula>
      <formula>1.3</formula>
    </cfRule>
    <cfRule type="cellIs" dxfId="101" priority="70" operator="between">
      <formula>0.65</formula>
      <formula>0.799999999999999</formula>
    </cfRule>
    <cfRule type="cellIs" dxfId="100" priority="67" operator="between">
      <formula>1.3</formula>
      <formula>1.39999999999999</formula>
    </cfRule>
  </conditionalFormatting>
  <conditionalFormatting sqref="FX1:FX2">
    <cfRule type="cellIs" dxfId="99" priority="190" operator="between">
      <formula>0.65</formula>
      <formula>0.799999999999999</formula>
    </cfRule>
    <cfRule type="cellIs" dxfId="98" priority="189" operator="between">
      <formula>0.8</formula>
      <formula>1.3</formula>
    </cfRule>
    <cfRule type="cellIs" dxfId="97" priority="186" operator="greaterThanOrEqual">
      <formula>1.5</formula>
    </cfRule>
    <cfRule type="cellIs" dxfId="96" priority="187" operator="between">
      <formula>1.3</formula>
      <formula>1.39999999999999</formula>
    </cfRule>
    <cfRule type="cellIs" dxfId="95" priority="188" operator="between">
      <formula>1.4</formula>
      <formula>1.49999999999999</formula>
    </cfRule>
  </conditionalFormatting>
  <conditionalFormatting sqref="FX6:FX8">
    <cfRule type="cellIs" dxfId="94" priority="181" operator="greaterThanOrEqual">
      <formula>1.5</formula>
    </cfRule>
    <cfRule type="cellIs" dxfId="93" priority="182" operator="between">
      <formula>1.3</formula>
      <formula>1.39999999999999</formula>
    </cfRule>
    <cfRule type="cellIs" dxfId="92" priority="183" operator="between">
      <formula>1.4</formula>
      <formula>1.49999999999999</formula>
    </cfRule>
    <cfRule type="cellIs" dxfId="91" priority="184" operator="between">
      <formula>0.8</formula>
      <formula>1.3</formula>
    </cfRule>
    <cfRule type="cellIs" dxfId="90" priority="185" operator="between">
      <formula>0.65</formula>
      <formula>0.799999999999999</formula>
    </cfRule>
  </conditionalFormatting>
  <conditionalFormatting sqref="FX11:FX1048576">
    <cfRule type="cellIs" dxfId="89" priority="61" operator="greaterThanOrEqual">
      <formula>1.5</formula>
    </cfRule>
    <cfRule type="cellIs" dxfId="88" priority="62" operator="between">
      <formula>1.3</formula>
      <formula>1.39999999999999</formula>
    </cfRule>
    <cfRule type="cellIs" dxfId="87" priority="63" operator="between">
      <formula>1.4</formula>
      <formula>1.49999999999999</formula>
    </cfRule>
    <cfRule type="cellIs" dxfId="86" priority="64" operator="between">
      <formula>0.8</formula>
      <formula>1.3</formula>
    </cfRule>
    <cfRule type="cellIs" dxfId="85" priority="65" operator="between">
      <formula>0.65</formula>
      <formula>0.799999999999999</formula>
    </cfRule>
  </conditionalFormatting>
  <conditionalFormatting sqref="GO1:GO2">
    <cfRule type="cellIs" dxfId="84" priority="177" operator="between">
      <formula>1.3</formula>
      <formula>1.39999999999999</formula>
    </cfRule>
    <cfRule type="cellIs" dxfId="83" priority="176" operator="greaterThanOrEqual">
      <formula>1.5</formula>
    </cfRule>
    <cfRule type="cellIs" dxfId="82" priority="180" operator="between">
      <formula>0.65</formula>
      <formula>0.799999999999999</formula>
    </cfRule>
    <cfRule type="cellIs" dxfId="81" priority="179" operator="between">
      <formula>0.8</formula>
      <formula>1.3</formula>
    </cfRule>
    <cfRule type="cellIs" dxfId="80" priority="178" operator="between">
      <formula>1.4</formula>
      <formula>1.49999999999999</formula>
    </cfRule>
  </conditionalFormatting>
  <conditionalFormatting sqref="GO6:GO8">
    <cfRule type="cellIs" dxfId="79" priority="174" operator="between">
      <formula>0.8</formula>
      <formula>1.3</formula>
    </cfRule>
    <cfRule type="cellIs" dxfId="78" priority="173" operator="between">
      <formula>1.4</formula>
      <formula>1.49999999999999</formula>
    </cfRule>
    <cfRule type="cellIs" dxfId="77" priority="172" operator="between">
      <formula>1.3</formula>
      <formula>1.39999999999999</formula>
    </cfRule>
    <cfRule type="cellIs" dxfId="76" priority="171" operator="greaterThanOrEqual">
      <formula>1.5</formula>
    </cfRule>
    <cfRule type="cellIs" dxfId="75" priority="175" operator="between">
      <formula>0.65</formula>
      <formula>0.799999999999999</formula>
    </cfRule>
  </conditionalFormatting>
  <conditionalFormatting sqref="GO11:GO1048576">
    <cfRule type="cellIs" dxfId="74" priority="58" operator="between">
      <formula>1.4</formula>
      <formula>1.49999999999999</formula>
    </cfRule>
    <cfRule type="cellIs" dxfId="73" priority="57" operator="between">
      <formula>1.3</formula>
      <formula>1.39999999999999</formula>
    </cfRule>
    <cfRule type="cellIs" dxfId="72" priority="56" operator="greaterThanOrEqual">
      <formula>1.5</formula>
    </cfRule>
    <cfRule type="cellIs" dxfId="71" priority="60" operator="between">
      <formula>0.65</formula>
      <formula>0.799999999999999</formula>
    </cfRule>
    <cfRule type="cellIs" dxfId="70" priority="59" operator="between">
      <formula>0.8</formula>
      <formula>1.3</formula>
    </cfRule>
  </conditionalFormatting>
  <conditionalFormatting sqref="HF1:HF2">
    <cfRule type="cellIs" dxfId="69" priority="41" operator="greaterThanOrEqual">
      <formula>1.5</formula>
    </cfRule>
    <cfRule type="cellIs" dxfId="68" priority="42" operator="between">
      <formula>1.3</formula>
      <formula>1.39999999999999</formula>
    </cfRule>
    <cfRule type="cellIs" dxfId="67" priority="43" operator="between">
      <formula>1.4</formula>
      <formula>1.49999999999999</formula>
    </cfRule>
    <cfRule type="cellIs" dxfId="66" priority="44" operator="between">
      <formula>0.8</formula>
      <formula>1.3</formula>
    </cfRule>
    <cfRule type="cellIs" dxfId="65" priority="45" operator="between">
      <formula>0.65</formula>
      <formula>0.799999999999999</formula>
    </cfRule>
  </conditionalFormatting>
  <conditionalFormatting sqref="HF6:HF8">
    <cfRule type="cellIs" dxfId="64" priority="36" operator="greaterThanOrEqual">
      <formula>1.5</formula>
    </cfRule>
    <cfRule type="cellIs" dxfId="63" priority="37" operator="between">
      <formula>1.3</formula>
      <formula>1.39999999999999</formula>
    </cfRule>
    <cfRule type="cellIs" dxfId="62" priority="38" operator="between">
      <formula>1.4</formula>
      <formula>1.49999999999999</formula>
    </cfRule>
    <cfRule type="cellIs" dxfId="61" priority="39" operator="between">
      <formula>0.8</formula>
      <formula>1.3</formula>
    </cfRule>
    <cfRule type="cellIs" dxfId="60" priority="40" operator="between">
      <formula>0.65</formula>
      <formula>0.799999999999999</formula>
    </cfRule>
  </conditionalFormatting>
  <conditionalFormatting sqref="HF11:HF1048576">
    <cfRule type="cellIs" dxfId="59" priority="32" operator="between">
      <formula>1.3</formula>
      <formula>1.39999999999999</formula>
    </cfRule>
    <cfRule type="cellIs" dxfId="58" priority="33" operator="between">
      <formula>1.4</formula>
      <formula>1.49999999999999</formula>
    </cfRule>
    <cfRule type="cellIs" dxfId="57" priority="34" operator="between">
      <formula>0.8</formula>
      <formula>1.3</formula>
    </cfRule>
    <cfRule type="cellIs" dxfId="56" priority="35" operator="between">
      <formula>0.65</formula>
      <formula>0.799999999999999</formula>
    </cfRule>
    <cfRule type="cellIs" dxfId="55" priority="31" operator="greaterThanOrEqual">
      <formula>1.5</formula>
    </cfRule>
  </conditionalFormatting>
  <conditionalFormatting sqref="HW1:HW2">
    <cfRule type="cellIs" dxfId="54" priority="28" operator="between">
      <formula>1.4</formula>
      <formula>1.49999999999999</formula>
    </cfRule>
    <cfRule type="cellIs" dxfId="53" priority="30" operator="between">
      <formula>0.65</formula>
      <formula>0.799999999999999</formula>
    </cfRule>
    <cfRule type="cellIs" dxfId="52" priority="29" operator="between">
      <formula>0.8</formula>
      <formula>1.3</formula>
    </cfRule>
    <cfRule type="cellIs" dxfId="51" priority="26" operator="greaterThanOrEqual">
      <formula>1.5</formula>
    </cfRule>
    <cfRule type="cellIs" dxfId="50" priority="27" operator="between">
      <formula>1.3</formula>
      <formula>1.39999999999999</formula>
    </cfRule>
  </conditionalFormatting>
  <conditionalFormatting sqref="HW6:HW8">
    <cfRule type="cellIs" dxfId="49" priority="24" operator="between">
      <formula>0.8</formula>
      <formula>1.3</formula>
    </cfRule>
    <cfRule type="cellIs" dxfId="48" priority="25" operator="between">
      <formula>0.65</formula>
      <formula>0.799999999999999</formula>
    </cfRule>
    <cfRule type="cellIs" dxfId="47" priority="23" operator="between">
      <formula>1.4</formula>
      <formula>1.49999999999999</formula>
    </cfRule>
    <cfRule type="cellIs" dxfId="46" priority="22" operator="between">
      <formula>1.3</formula>
      <formula>1.39999999999999</formula>
    </cfRule>
    <cfRule type="cellIs" dxfId="45" priority="21" operator="greaterThanOrEqual">
      <formula>1.5</formula>
    </cfRule>
  </conditionalFormatting>
  <conditionalFormatting sqref="HW11:HW1048576">
    <cfRule type="cellIs" dxfId="44" priority="20" operator="between">
      <formula>0.65</formula>
      <formula>0.799999999999999</formula>
    </cfRule>
    <cfRule type="cellIs" dxfId="43" priority="19" operator="between">
      <formula>0.8</formula>
      <formula>1.3</formula>
    </cfRule>
    <cfRule type="cellIs" dxfId="42" priority="18" operator="between">
      <formula>1.4</formula>
      <formula>1.49999999999999</formula>
    </cfRule>
    <cfRule type="cellIs" dxfId="41" priority="17" operator="between">
      <formula>1.3</formula>
      <formula>1.39999999999999</formula>
    </cfRule>
    <cfRule type="cellIs" dxfId="40" priority="16" operator="greaterThanOrEqual">
      <formula>1.5</formula>
    </cfRule>
  </conditionalFormatting>
  <conditionalFormatting sqref="IN1:IN2">
    <cfRule type="cellIs" dxfId="39" priority="116" operator="greaterThanOrEqual">
      <formula>1.5</formula>
    </cfRule>
    <cfRule type="cellIs" dxfId="38" priority="120" operator="between">
      <formula>0.65</formula>
      <formula>0.799999999999999</formula>
    </cfRule>
    <cfRule type="cellIs" dxfId="37" priority="117" operator="between">
      <formula>1.3</formula>
      <formula>1.39999999999999</formula>
    </cfRule>
    <cfRule type="cellIs" dxfId="36" priority="119" operator="between">
      <formula>0.8</formula>
      <formula>1.3</formula>
    </cfRule>
    <cfRule type="cellIs" dxfId="35" priority="118" operator="between">
      <formula>1.4</formula>
      <formula>1.49999999999999</formula>
    </cfRule>
  </conditionalFormatting>
  <conditionalFormatting sqref="IN6:IN8">
    <cfRule type="cellIs" dxfId="34" priority="115" operator="between">
      <formula>0.65</formula>
      <formula>0.799999999999999</formula>
    </cfRule>
    <cfRule type="cellIs" dxfId="33" priority="114" operator="between">
      <formula>0.8</formula>
      <formula>1.3</formula>
    </cfRule>
    <cfRule type="cellIs" dxfId="32" priority="113" operator="between">
      <formula>1.4</formula>
      <formula>1.49999999999999</formula>
    </cfRule>
    <cfRule type="cellIs" dxfId="31" priority="112" operator="between">
      <formula>1.3</formula>
      <formula>1.39999999999999</formula>
    </cfRule>
    <cfRule type="cellIs" dxfId="30" priority="111" operator="greaterThanOrEqual">
      <formula>1.5</formula>
    </cfRule>
  </conditionalFormatting>
  <conditionalFormatting sqref="IN11:IN1048576">
    <cfRule type="cellIs" dxfId="29" priority="99" operator="between">
      <formula>0.8</formula>
      <formula>1.3</formula>
    </cfRule>
    <cfRule type="cellIs" dxfId="28" priority="98" operator="between">
      <formula>1.4</formula>
      <formula>1.49999999999999</formula>
    </cfRule>
    <cfRule type="cellIs" dxfId="27" priority="97" operator="between">
      <formula>1.3</formula>
      <formula>1.39999999999999</formula>
    </cfRule>
    <cfRule type="cellIs" dxfId="26" priority="100" operator="between">
      <formula>0.65</formula>
      <formula>0.799999999999999</formula>
    </cfRule>
    <cfRule type="cellIs" dxfId="25" priority="96" operator="greaterThanOrEqual">
      <formula>1.5</formula>
    </cfRule>
  </conditionalFormatting>
  <conditionalFormatting sqref="JE1:JE2">
    <cfRule type="cellIs" dxfId="24" priority="13" operator="between">
      <formula>1.4</formula>
      <formula>1.49999999999999</formula>
    </cfRule>
    <cfRule type="cellIs" dxfId="23" priority="12" operator="between">
      <formula>1.3</formula>
      <formula>1.39999999999999</formula>
    </cfRule>
    <cfRule type="cellIs" dxfId="22" priority="11" operator="greaterThanOrEqual">
      <formula>1.5</formula>
    </cfRule>
    <cfRule type="cellIs" dxfId="21" priority="15" operator="between">
      <formula>0.65</formula>
      <formula>0.799999999999999</formula>
    </cfRule>
    <cfRule type="cellIs" dxfId="20" priority="14" operator="between">
      <formula>0.8</formula>
      <formula>1.3</formula>
    </cfRule>
  </conditionalFormatting>
  <conditionalFormatting sqref="JE6:JE8">
    <cfRule type="cellIs" dxfId="19" priority="8" operator="between">
      <formula>1.4</formula>
      <formula>1.49999999999999</formula>
    </cfRule>
    <cfRule type="cellIs" dxfId="18" priority="7" operator="between">
      <formula>1.3</formula>
      <formula>1.39999999999999</formula>
    </cfRule>
    <cfRule type="cellIs" dxfId="17" priority="6" operator="greaterThanOrEqual">
      <formula>1.5</formula>
    </cfRule>
    <cfRule type="cellIs" dxfId="16" priority="10" operator="between">
      <formula>0.65</formula>
      <formula>0.799999999999999</formula>
    </cfRule>
    <cfRule type="cellIs" dxfId="15" priority="9" operator="between">
      <formula>0.8</formula>
      <formula>1.3</formula>
    </cfRule>
  </conditionalFormatting>
  <conditionalFormatting sqref="JE11:JE1048576">
    <cfRule type="cellIs" dxfId="14" priority="5" operator="between">
      <formula>0.65</formula>
      <formula>0.799999999999999</formula>
    </cfRule>
    <cfRule type="cellIs" dxfId="13" priority="4" operator="between">
      <formula>0.8</formula>
      <formula>1.3</formula>
    </cfRule>
    <cfRule type="cellIs" dxfId="12" priority="3" operator="between">
      <formula>1.4</formula>
      <formula>1.49999999999999</formula>
    </cfRule>
    <cfRule type="cellIs" dxfId="11" priority="2" operator="between">
      <formula>1.3</formula>
      <formula>1.39999999999999</formula>
    </cfRule>
    <cfRule type="cellIs" dxfId="10" priority="1" operator="greaterThanOrEqual">
      <formula>1.5</formula>
    </cfRule>
  </conditionalFormatting>
  <conditionalFormatting sqref="JV1:JV2">
    <cfRule type="cellIs" dxfId="9" priority="149" operator="between">
      <formula>0.8</formula>
      <formula>1.3</formula>
    </cfRule>
    <cfRule type="cellIs" dxfId="8" priority="148" operator="between">
      <formula>1.4</formula>
      <formula>1.49999999999999</formula>
    </cfRule>
    <cfRule type="cellIs" dxfId="7" priority="147" operator="between">
      <formula>1.3</formula>
      <formula>1.39999999999999</formula>
    </cfRule>
    <cfRule type="cellIs" dxfId="6" priority="146" operator="greaterThanOrEqual">
      <formula>1.5</formula>
    </cfRule>
    <cfRule type="cellIs" dxfId="5" priority="150" operator="between">
      <formula>0.65</formula>
      <formula>0.799999999999999</formula>
    </cfRule>
  </conditionalFormatting>
  <conditionalFormatting sqref="JV6:JV7">
    <cfRule type="cellIs" dxfId="4" priority="145" operator="between">
      <formula>0.65</formula>
      <formula>0.799999999999999</formula>
    </cfRule>
    <cfRule type="cellIs" dxfId="3" priority="144" operator="between">
      <formula>0.8</formula>
      <formula>1.3</formula>
    </cfRule>
    <cfRule type="cellIs" dxfId="2" priority="142" operator="between">
      <formula>1.3</formula>
      <formula>1.39999999999999</formula>
    </cfRule>
    <cfRule type="cellIs" dxfId="1" priority="141" operator="greaterThanOrEqual">
      <formula>1.5</formula>
    </cfRule>
    <cfRule type="cellIs" dxfId="0" priority="143" operator="between">
      <formula>1.4</formula>
      <formula>1.49999999999999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A66E-EAB3-4FE4-94E2-30D7F03133F3}">
  <dimension ref="A1"/>
  <sheetViews>
    <sheetView workbookViewId="0">
      <selection activeCell="C3" sqref="C3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24bfbdfcaa02b866975c564c0dbca769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dee7e68b513a26d78ff20ead668828c3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1BCC81-F7A3-4932-8633-8508027F3481}"/>
</file>

<file path=customXml/itemProps2.xml><?xml version="1.0" encoding="utf-8"?>
<ds:datastoreItem xmlns:ds="http://schemas.openxmlformats.org/officeDocument/2006/customXml" ds:itemID="{0B0DBE5B-560C-45AD-8176-BA0C0EFFF4B9}"/>
</file>

<file path=customXml/itemProps3.xml><?xml version="1.0" encoding="utf-8"?>
<ds:datastoreItem xmlns:ds="http://schemas.openxmlformats.org/officeDocument/2006/customXml" ds:itemID="{6EC5EC9A-9E3B-4322-B8EF-A3B46ACFDE6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Pedro Jesús González Haro</cp:lastModifiedBy>
  <dcterms:created xsi:type="dcterms:W3CDTF">2021-08-20T21:55:45Z</dcterms:created>
  <dcterms:modified xsi:type="dcterms:W3CDTF">2024-08-11T16:46:24Z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</Properties>
</file>